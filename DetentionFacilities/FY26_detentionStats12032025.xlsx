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4332"/>
  <workbookPr codeName="ThisWorkbook"/>
  <mc:AlternateContent xmlns:mc="http://schemas.openxmlformats.org/markup-compatibility/2006">
    <mc:Choice Requires="x15">
      <x15ac:absPath xmlns:x15ac="http://schemas.microsoft.com/office/spreadsheetml/2010/11/ac" url="C:\Users\acer\Desktop\Relevant Research Projects\Detention reports\ice_detention_reports\DetentionFacilities\"/>
    </mc:Choice>
  </mc:AlternateContent>
  <xr:revisionPtr revIDLastSave="0" documentId="13_ncr:1_{DF4B03EB-76FD-455A-87C8-049F6C4D2A98}" xr6:coauthVersionLast="47" xr6:coauthVersionMax="47" xr10:uidLastSave="{00000000-0000-0000-0000-000000000000}"/>
  <bookViews>
    <workbookView minimized="1" xWindow="1848" yWindow="1848" windowWidth="17280" windowHeight="8880" tabRatio="668" firstSheet="6" activeTab="6" xr2:uid="{00000000-000D-0000-FFFF-FFFF00000000}"/>
  </bookViews>
  <sheets>
    <sheet name="Header" sheetId="9" r:id="rId1"/>
    <sheet name="ATD FY26 YTD" sheetId="32" r:id="rId2"/>
    <sheet name="Detention FY26" sheetId="33" r:id="rId3"/>
    <sheet name=" ICLOS and Detainees" sheetId="34" r:id="rId4"/>
    <sheet name="Semiannual" sheetId="35" r:id="rId5"/>
    <sheet name="Monthly Bond Statistics" sheetId="36" r:id="rId6"/>
    <sheet name="Facilities FY26" sheetId="31" r:id="rId7"/>
    <sheet name="FY26 Monthly Segregation" sheetId="28" r:id="rId8"/>
    <sheet name="Vulnerable &amp; Special Population" sheetId="18" r:id="rId9"/>
    <sheet name="Footnotes" sheetId="37" r:id="rId10"/>
  </sheets>
  <definedNames>
    <definedName name="_xlnm._FilterDatabase" localSheetId="6" hidden="1">'Facilities FY26'!$A$10:$AA$229</definedName>
    <definedName name="_xlnm._FilterDatabase" localSheetId="4" hidden="1">Semiannual!$A$103:$F$120</definedName>
    <definedName name="_xlnm.Print_Area" localSheetId="2">'Detention FY26'!$A$1:$V$133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6" i="36" l="1"/>
  <c r="N6" i="36"/>
  <c r="BS48" i="34"/>
  <c r="BR48" i="34"/>
  <c r="BQ48" i="34"/>
  <c r="BP48" i="34"/>
  <c r="BO48" i="34"/>
  <c r="BN48" i="34"/>
  <c r="BM48" i="34"/>
  <c r="BL48" i="34"/>
  <c r="BK48" i="34"/>
  <c r="BJ48" i="34"/>
  <c r="BI48" i="34"/>
  <c r="BH48" i="34"/>
  <c r="BG48" i="34"/>
  <c r="BF48" i="34"/>
  <c r="BE48" i="34"/>
  <c r="BD48" i="34"/>
  <c r="BC48" i="34"/>
  <c r="BB48" i="34"/>
  <c r="BA48" i="34"/>
  <c r="AZ48" i="34"/>
  <c r="AY48" i="34"/>
  <c r="AX48" i="34"/>
  <c r="AW48" i="34"/>
  <c r="AV48" i="34"/>
  <c r="AU48" i="34"/>
  <c r="AT48" i="34"/>
  <c r="AS48" i="34"/>
  <c r="AR48" i="34"/>
  <c r="AQ48" i="34"/>
  <c r="AP48" i="34"/>
  <c r="AO48" i="34"/>
  <c r="AN48" i="34"/>
  <c r="AM48" i="34"/>
  <c r="AL48" i="34"/>
  <c r="AK48" i="34"/>
  <c r="AJ48" i="34"/>
  <c r="AI48" i="34"/>
  <c r="AH48" i="34"/>
  <c r="AG48" i="34"/>
  <c r="AF48" i="34"/>
  <c r="AE48" i="34"/>
  <c r="AD48" i="34"/>
  <c r="AC48" i="34"/>
  <c r="AB48" i="34"/>
  <c r="AA48" i="34"/>
  <c r="Z48" i="34"/>
  <c r="Y48" i="34"/>
  <c r="X48" i="34"/>
  <c r="W48" i="34"/>
  <c r="V48" i="34"/>
  <c r="U48" i="34"/>
  <c r="T48" i="34"/>
  <c r="S48" i="34"/>
  <c r="R48" i="34"/>
  <c r="Q48" i="34"/>
  <c r="P48" i="34"/>
  <c r="O48" i="34"/>
  <c r="N48" i="34"/>
  <c r="M48" i="34"/>
  <c r="L48" i="34"/>
  <c r="K48" i="34"/>
  <c r="J48" i="34"/>
  <c r="I48" i="34"/>
  <c r="H48" i="34"/>
  <c r="G48" i="34"/>
  <c r="F48" i="34"/>
  <c r="E48" i="34"/>
  <c r="D48" i="34"/>
  <c r="C48" i="34"/>
  <c r="B48" i="34"/>
  <c r="BS47" i="34"/>
  <c r="BR47" i="34"/>
  <c r="BQ47" i="34"/>
  <c r="BP47" i="34"/>
  <c r="BO47" i="34"/>
  <c r="BN47" i="34"/>
  <c r="BM47" i="34"/>
  <c r="BL47" i="34"/>
  <c r="BK47" i="34"/>
  <c r="BJ47" i="34"/>
  <c r="BI47" i="34"/>
  <c r="BH47" i="34"/>
  <c r="BG47" i="34"/>
  <c r="BF47" i="34"/>
  <c r="BE47" i="34"/>
  <c r="BD47" i="34"/>
  <c r="BC47" i="34"/>
  <c r="BB47" i="34"/>
  <c r="BA47" i="34"/>
  <c r="AZ47" i="34"/>
  <c r="AY47" i="34"/>
  <c r="AX47" i="34"/>
  <c r="AW47" i="34"/>
  <c r="AV47" i="34"/>
  <c r="AU47" i="34"/>
  <c r="AT47" i="34"/>
  <c r="AS47" i="34"/>
  <c r="AR47" i="34"/>
  <c r="AQ47" i="34"/>
  <c r="AP47" i="34"/>
  <c r="AO47" i="34"/>
  <c r="AN47" i="34"/>
  <c r="AM47" i="34"/>
  <c r="AL47" i="34"/>
  <c r="AK47" i="34"/>
  <c r="AJ47" i="34"/>
  <c r="AI47" i="34"/>
  <c r="AH47" i="34"/>
  <c r="AG47" i="34"/>
  <c r="AF47" i="34"/>
  <c r="AE47" i="34"/>
  <c r="AD47" i="34"/>
  <c r="AC47" i="34"/>
  <c r="AB47" i="34"/>
  <c r="AA47" i="34"/>
  <c r="Z47" i="34"/>
  <c r="Y47" i="34"/>
  <c r="X47" i="34"/>
  <c r="W47" i="34"/>
  <c r="V47" i="34"/>
  <c r="U47" i="34"/>
  <c r="T47" i="34"/>
  <c r="S47" i="34"/>
  <c r="R47" i="34"/>
  <c r="Q47" i="34"/>
  <c r="P47" i="34"/>
  <c r="O47" i="34"/>
  <c r="N47" i="34"/>
  <c r="M47" i="34"/>
  <c r="L47" i="34"/>
  <c r="K47" i="34"/>
  <c r="J47" i="34"/>
  <c r="I47" i="34"/>
  <c r="H47" i="34"/>
  <c r="G47" i="34"/>
  <c r="F47" i="34"/>
  <c r="E47" i="34"/>
  <c r="D47" i="34"/>
  <c r="C47" i="34"/>
  <c r="B47" i="34"/>
  <c r="BS46" i="34"/>
  <c r="BR46" i="34"/>
  <c r="BQ46" i="34"/>
  <c r="BP46" i="34"/>
  <c r="BO46" i="34"/>
  <c r="BN46" i="34"/>
  <c r="BM46" i="34"/>
  <c r="BL46" i="34"/>
  <c r="BK46" i="34"/>
  <c r="BJ46" i="34"/>
  <c r="BI46" i="34"/>
  <c r="BH46" i="34"/>
  <c r="BG46" i="34"/>
  <c r="BF46" i="34"/>
  <c r="BE46" i="34"/>
  <c r="BD46" i="34"/>
  <c r="BC46" i="34"/>
  <c r="BB46" i="34"/>
  <c r="BA46" i="34"/>
  <c r="AZ46" i="34"/>
  <c r="AY46" i="34"/>
  <c r="AX46" i="34"/>
  <c r="AW46" i="34"/>
  <c r="AV46" i="34"/>
  <c r="AU46" i="34"/>
  <c r="AT46" i="34"/>
  <c r="AS46" i="34"/>
  <c r="AR46" i="34"/>
  <c r="AQ46" i="34"/>
  <c r="AP46" i="34"/>
  <c r="AO46" i="34"/>
  <c r="AN46" i="34"/>
  <c r="AM46" i="34"/>
  <c r="AL46" i="34"/>
  <c r="AK46" i="34"/>
  <c r="AJ46" i="34"/>
  <c r="AI46" i="34"/>
  <c r="AH46" i="34"/>
  <c r="AG46" i="34"/>
  <c r="AF46" i="34"/>
  <c r="AE46" i="34"/>
  <c r="AD46" i="34"/>
  <c r="AC46" i="34"/>
  <c r="AB46" i="34"/>
  <c r="AA46" i="34"/>
  <c r="Z46" i="34"/>
  <c r="Y46" i="34"/>
  <c r="X46" i="34"/>
  <c r="W46" i="34"/>
  <c r="V46" i="34"/>
  <c r="U46" i="34"/>
  <c r="T46" i="34"/>
  <c r="S46" i="34"/>
  <c r="R46" i="34"/>
  <c r="Q46" i="34"/>
  <c r="P46" i="34"/>
  <c r="O46" i="34"/>
  <c r="N46" i="34"/>
  <c r="M46" i="34"/>
  <c r="L46" i="34"/>
  <c r="K46" i="34"/>
  <c r="J46" i="34"/>
  <c r="I46" i="34"/>
  <c r="H46" i="34"/>
  <c r="G46" i="34"/>
  <c r="F46" i="34"/>
  <c r="E46" i="34"/>
  <c r="D46" i="34"/>
  <c r="C46" i="34"/>
  <c r="B46" i="34"/>
  <c r="BS45" i="34"/>
  <c r="BR45" i="34"/>
  <c r="BQ45" i="34"/>
  <c r="BP45" i="34"/>
  <c r="BO45" i="34"/>
  <c r="BN45" i="34"/>
  <c r="BM45" i="34"/>
  <c r="BL45" i="34"/>
  <c r="BK45" i="34"/>
  <c r="BJ45" i="34"/>
  <c r="BI45" i="34"/>
  <c r="BH45" i="34"/>
  <c r="BG45" i="34"/>
  <c r="BF45" i="34"/>
  <c r="BE45" i="34"/>
  <c r="BD45" i="34"/>
  <c r="BC45" i="34"/>
  <c r="BB45" i="34"/>
  <c r="BA45" i="34"/>
  <c r="AZ45" i="34"/>
  <c r="AY45" i="34"/>
  <c r="AX45" i="34"/>
  <c r="AW45" i="34"/>
  <c r="AV45" i="34"/>
  <c r="AU45" i="34"/>
  <c r="AT45" i="34"/>
  <c r="AS45" i="34"/>
  <c r="AR45" i="34"/>
  <c r="AQ45" i="34"/>
  <c r="AP45" i="34"/>
  <c r="AO45" i="34"/>
  <c r="AN45" i="34"/>
  <c r="AM45" i="34"/>
  <c r="AL45" i="34"/>
  <c r="AK45" i="34"/>
  <c r="AJ45" i="34"/>
  <c r="AI45" i="34"/>
  <c r="AH45" i="34"/>
  <c r="AG45" i="34"/>
  <c r="AF45" i="34"/>
  <c r="AE45" i="34"/>
  <c r="AD45" i="34"/>
  <c r="AC45" i="34"/>
  <c r="AB45" i="34"/>
  <c r="AA45" i="34"/>
  <c r="Z45" i="34"/>
  <c r="Y45" i="34"/>
  <c r="X45" i="34"/>
  <c r="W45" i="34"/>
  <c r="V45" i="34"/>
  <c r="U45" i="34"/>
  <c r="T45" i="34"/>
  <c r="S45" i="34"/>
  <c r="R45" i="34"/>
  <c r="Q45" i="34"/>
  <c r="P45" i="34"/>
  <c r="O45" i="34"/>
  <c r="N45" i="34"/>
  <c r="M45" i="34"/>
  <c r="L45" i="34"/>
  <c r="K45" i="34"/>
  <c r="J45" i="34"/>
  <c r="I45" i="34"/>
  <c r="H45" i="34"/>
  <c r="G45" i="34"/>
  <c r="F45" i="34"/>
  <c r="E45" i="34"/>
  <c r="D45" i="34"/>
  <c r="C45" i="34"/>
  <c r="B45" i="34"/>
  <c r="BS44" i="34"/>
  <c r="BR44" i="34"/>
  <c r="BQ44" i="34"/>
  <c r="BP44" i="34"/>
  <c r="BO44" i="34"/>
  <c r="BN44" i="34"/>
  <c r="BM44" i="34"/>
  <c r="BL44" i="34"/>
  <c r="BK44" i="34"/>
  <c r="BJ44" i="34"/>
  <c r="BI44" i="34"/>
  <c r="BH44" i="34"/>
  <c r="BG44" i="34"/>
  <c r="BF44" i="34"/>
  <c r="BE44" i="34"/>
  <c r="BD44" i="34"/>
  <c r="BC44" i="34"/>
  <c r="BB44" i="34"/>
  <c r="BA44" i="34"/>
  <c r="AZ44" i="34"/>
  <c r="AY44" i="34"/>
  <c r="AX44" i="34"/>
  <c r="AW44" i="34"/>
  <c r="AV44" i="34"/>
  <c r="AU44" i="34"/>
  <c r="AT44" i="34"/>
  <c r="AS44" i="34"/>
  <c r="AR44" i="34"/>
  <c r="AQ44" i="34"/>
  <c r="AP44" i="34"/>
  <c r="AO44" i="34"/>
  <c r="AN44" i="34"/>
  <c r="AM44" i="34"/>
  <c r="AL44" i="34"/>
  <c r="AK44" i="34"/>
  <c r="AJ44" i="34"/>
  <c r="AI44" i="34"/>
  <c r="AH44" i="34"/>
  <c r="AG44" i="34"/>
  <c r="AF44" i="34"/>
  <c r="AE44" i="34"/>
  <c r="AD44" i="34"/>
  <c r="AC44" i="34"/>
  <c r="AB44" i="34"/>
  <c r="AA44" i="34"/>
  <c r="Z44" i="34"/>
  <c r="Y44" i="34"/>
  <c r="X44" i="34"/>
  <c r="W44" i="34"/>
  <c r="V44" i="34"/>
  <c r="U44" i="34"/>
  <c r="T44" i="34"/>
  <c r="S44" i="34"/>
  <c r="R44" i="34"/>
  <c r="Q44" i="34"/>
  <c r="P44" i="34"/>
  <c r="O44" i="34"/>
  <c r="N44" i="34"/>
  <c r="M44" i="34"/>
  <c r="L44" i="34"/>
  <c r="K44" i="34"/>
  <c r="J44" i="34"/>
  <c r="I44" i="34"/>
  <c r="H44" i="34"/>
  <c r="G44" i="34"/>
  <c r="F44" i="34"/>
  <c r="E44" i="34"/>
  <c r="D44" i="34"/>
  <c r="C44" i="34"/>
  <c r="B44" i="34"/>
  <c r="C161" i="33"/>
  <c r="O155" i="33"/>
  <c r="O154" i="33"/>
  <c r="O153" i="33"/>
  <c r="O152" i="33"/>
  <c r="O151" i="33"/>
  <c r="O150" i="33"/>
  <c r="N146" i="33"/>
  <c r="N145" i="33"/>
  <c r="N144" i="33"/>
  <c r="O86" i="33"/>
  <c r="O85" i="33"/>
  <c r="O84" i="33"/>
  <c r="O83" i="33"/>
  <c r="N83" i="33"/>
  <c r="M83" i="33"/>
  <c r="L83" i="33"/>
  <c r="K83" i="33"/>
  <c r="J83" i="33"/>
  <c r="I83" i="33"/>
  <c r="H83" i="33"/>
  <c r="G83" i="33"/>
  <c r="F83" i="33"/>
  <c r="E83" i="33"/>
  <c r="D83" i="33"/>
  <c r="C83" i="33"/>
  <c r="O82" i="33"/>
  <c r="O81" i="33"/>
  <c r="O80" i="33"/>
  <c r="O79" i="33"/>
  <c r="N79" i="33"/>
  <c r="M79" i="33"/>
  <c r="L79" i="33"/>
  <c r="K79" i="33"/>
  <c r="J79" i="33"/>
  <c r="I79" i="33"/>
  <c r="H79" i="33"/>
  <c r="G79" i="33"/>
  <c r="F79" i="33"/>
  <c r="E79" i="33"/>
  <c r="D79" i="33"/>
  <c r="C79" i="33"/>
  <c r="O78" i="33"/>
  <c r="O77" i="33"/>
  <c r="O76" i="33"/>
  <c r="O75" i="33"/>
  <c r="N75" i="33"/>
  <c r="M75" i="33"/>
  <c r="L75" i="33"/>
  <c r="K75" i="33"/>
  <c r="J75" i="33"/>
  <c r="I75" i="33"/>
  <c r="H75" i="33"/>
  <c r="G75" i="33"/>
  <c r="F75" i="33"/>
  <c r="E75" i="33"/>
  <c r="D75" i="33"/>
  <c r="C75" i="33"/>
  <c r="O74" i="33"/>
  <c r="O73" i="33"/>
  <c r="O72" i="33"/>
  <c r="O71" i="33"/>
  <c r="N71" i="33"/>
  <c r="M71" i="33"/>
  <c r="L71" i="33"/>
  <c r="K71" i="33"/>
  <c r="J71" i="33"/>
  <c r="I71" i="33"/>
  <c r="H71" i="33"/>
  <c r="G71" i="33"/>
  <c r="F71" i="33"/>
  <c r="E71" i="33"/>
  <c r="D71" i="33"/>
  <c r="C71" i="33"/>
  <c r="O70" i="33"/>
  <c r="O69" i="33"/>
  <c r="O68" i="33"/>
  <c r="O67" i="33"/>
  <c r="N67" i="33"/>
  <c r="M67" i="33"/>
  <c r="L67" i="33"/>
  <c r="K67" i="33"/>
  <c r="J67" i="33"/>
  <c r="I67" i="33"/>
  <c r="H67" i="33"/>
  <c r="G67" i="33"/>
  <c r="F67" i="33"/>
  <c r="E67" i="33"/>
  <c r="D67" i="33"/>
  <c r="C67" i="33"/>
  <c r="O66" i="33"/>
  <c r="O65" i="33"/>
  <c r="O64" i="33"/>
  <c r="O63" i="33"/>
  <c r="N63" i="33"/>
  <c r="M63" i="33"/>
  <c r="L63" i="33"/>
  <c r="K63" i="33"/>
  <c r="J63" i="33"/>
  <c r="I63" i="33"/>
  <c r="H63" i="33"/>
  <c r="G63" i="33"/>
  <c r="F63" i="33"/>
  <c r="E63" i="33"/>
  <c r="D63" i="33"/>
  <c r="C63" i="33"/>
  <c r="O62" i="33"/>
  <c r="O61" i="33"/>
  <c r="O60" i="33"/>
  <c r="O59" i="33"/>
  <c r="N59" i="33"/>
  <c r="M59" i="33"/>
  <c r="L59" i="33"/>
  <c r="K59" i="33"/>
  <c r="J59" i="33"/>
  <c r="I59" i="33"/>
  <c r="H59" i="33"/>
  <c r="G59" i="33"/>
  <c r="F59" i="33"/>
  <c r="E59" i="33"/>
  <c r="D59" i="33"/>
  <c r="C59" i="33"/>
  <c r="O58" i="33"/>
  <c r="O57" i="33"/>
  <c r="O56" i="33"/>
  <c r="O55" i="33"/>
  <c r="N55" i="33"/>
  <c r="M55" i="33"/>
  <c r="L55" i="33"/>
  <c r="K55" i="33"/>
  <c r="J55" i="33"/>
  <c r="I55" i="33"/>
  <c r="H55" i="33"/>
  <c r="G55" i="33"/>
  <c r="F55" i="33"/>
  <c r="E55" i="33"/>
  <c r="D55" i="33"/>
  <c r="C55" i="33"/>
  <c r="O54" i="33"/>
  <c r="O53" i="33"/>
  <c r="O52" i="33"/>
  <c r="O51" i="33"/>
  <c r="N51" i="33"/>
  <c r="M51" i="33"/>
  <c r="L51" i="33"/>
  <c r="K51" i="33"/>
  <c r="J51" i="33"/>
  <c r="I51" i="33"/>
  <c r="H51" i="33"/>
  <c r="G51" i="33"/>
  <c r="F51" i="33"/>
  <c r="E51" i="33"/>
  <c r="D51" i="33"/>
  <c r="C51" i="33"/>
  <c r="O50" i="33"/>
  <c r="O49" i="33"/>
  <c r="O48" i="33"/>
  <c r="O47" i="33"/>
  <c r="N47" i="33"/>
  <c r="M47" i="33"/>
  <c r="L47" i="33"/>
  <c r="K47" i="33"/>
  <c r="J47" i="33"/>
  <c r="I47" i="33"/>
  <c r="H47" i="33"/>
  <c r="G47" i="33"/>
  <c r="F47" i="33"/>
  <c r="E47" i="33"/>
  <c r="D47" i="33"/>
  <c r="C47" i="33"/>
  <c r="O46" i="33"/>
  <c r="O45" i="33"/>
  <c r="O44" i="33"/>
  <c r="O43" i="33"/>
  <c r="N43" i="33"/>
  <c r="M43" i="33"/>
  <c r="L43" i="33"/>
  <c r="K43" i="33"/>
  <c r="J43" i="33"/>
  <c r="I43" i="33"/>
  <c r="H43" i="33"/>
  <c r="G43" i="33"/>
  <c r="F43" i="33"/>
  <c r="E43" i="33"/>
  <c r="D43" i="33"/>
  <c r="C43" i="33"/>
  <c r="O42" i="33"/>
  <c r="O41" i="33"/>
  <c r="O40" i="33"/>
  <c r="O39" i="33"/>
  <c r="N39" i="33"/>
  <c r="M39" i="33"/>
  <c r="L39" i="33"/>
  <c r="K39" i="33"/>
  <c r="J39" i="33"/>
  <c r="I39" i="33"/>
  <c r="H39" i="33"/>
  <c r="G39" i="33"/>
  <c r="F39" i="33"/>
  <c r="E39" i="33"/>
  <c r="D39" i="33"/>
  <c r="C39" i="33"/>
  <c r="O38" i="33"/>
  <c r="N38" i="33"/>
  <c r="M38" i="33"/>
  <c r="L38" i="33"/>
  <c r="K38" i="33"/>
  <c r="J38" i="33"/>
  <c r="I38" i="33"/>
  <c r="H38" i="33"/>
  <c r="G38" i="33"/>
  <c r="F38" i="33"/>
  <c r="E38" i="33"/>
  <c r="D38" i="33"/>
  <c r="C38" i="33"/>
  <c r="E31" i="33"/>
  <c r="E30" i="33"/>
  <c r="J29" i="33"/>
  <c r="E29" i="33"/>
  <c r="D29" i="33"/>
  <c r="C29" i="33"/>
  <c r="B29" i="33"/>
  <c r="F23" i="33"/>
  <c r="E23" i="33"/>
  <c r="C23" i="33"/>
  <c r="V22" i="33"/>
  <c r="F22" i="33"/>
  <c r="E22" i="33"/>
  <c r="C22" i="33"/>
  <c r="V21" i="33"/>
  <c r="F21" i="33"/>
  <c r="E21" i="33"/>
  <c r="C21" i="33"/>
  <c r="V20" i="33"/>
  <c r="U20" i="33"/>
  <c r="T20" i="33"/>
  <c r="S20" i="33"/>
  <c r="R20" i="33"/>
  <c r="Q20" i="33"/>
  <c r="P20" i="33"/>
  <c r="O20" i="33"/>
  <c r="N20" i="33"/>
  <c r="M20" i="33"/>
  <c r="L20" i="33"/>
  <c r="K20" i="33"/>
  <c r="J20" i="33"/>
  <c r="F20" i="33"/>
  <c r="E20" i="33"/>
  <c r="D20" i="33"/>
  <c r="C20" i="33"/>
  <c r="B20" i="33"/>
  <c r="D14" i="33"/>
  <c r="D13" i="33"/>
  <c r="D12" i="33"/>
  <c r="D11" i="33"/>
  <c r="P10" i="33"/>
  <c r="D10" i="33"/>
  <c r="C10" i="33"/>
  <c r="B10" i="33"/>
  <c r="A24" i="32"/>
</calcChain>
</file>

<file path=xl/sharedStrings.xml><?xml version="1.0" encoding="utf-8"?>
<sst xmlns="http://schemas.openxmlformats.org/spreadsheetml/2006/main" count="3912" uniqueCount="1268">
  <si>
    <t>ICE Detention Statistics</t>
  </si>
  <si>
    <t>These statistics are made available to the public pursuant to the Fiscal Year 2020 Department of Homeland Security Appropriations Bill.</t>
  </si>
  <si>
    <t xml:space="preserve">ICE provides the following Detention and Alternatives to Detention (ATD) statistics, which may be downloaded by clicking below. The data tables are searchable and sortable, and worksheets are protected to ensure their accuracy and reliability. </t>
  </si>
  <si>
    <t>Records related to credible fear are USCIS records, and are provided to ICE by USCIS.</t>
  </si>
  <si>
    <t xml:space="preserve">ICE confirms the integrity of the data as published on this site and cannot attest to subsequent transmissions.  Data fluctuate until “locked” at the conclusion of the fiscal year. </t>
  </si>
  <si>
    <t>U.S. Immigration and Customs Enforcement</t>
  </si>
  <si>
    <t>ICE ALTERNATIVES TO DETENTION DATA, FY26</t>
  </si>
  <si>
    <t>ATD Active Population Counts and Daily Cost by Technology</t>
  </si>
  <si>
    <t>FY26 thru October Court Appearance: Total Hearings*</t>
  </si>
  <si>
    <t>Technology</t>
  </si>
  <si>
    <t>Count</t>
  </si>
  <si>
    <t>Daily Tech Cost</t>
  </si>
  <si>
    <t>Metric</t>
  </si>
  <si>
    <t>%</t>
  </si>
  <si>
    <t>SmartLINK</t>
  </si>
  <si>
    <t>Attended</t>
  </si>
  <si>
    <t>Ankle Monitor</t>
  </si>
  <si>
    <t>Failed to Attend</t>
  </si>
  <si>
    <t>Wristworn</t>
  </si>
  <si>
    <t>Total</t>
  </si>
  <si>
    <t>VoiceID</t>
  </si>
  <si>
    <t xml:space="preserve">Court Data from BI Inc. </t>
  </si>
  <si>
    <t>No Tech</t>
  </si>
  <si>
    <t>*Only Participants with court tracking assigned</t>
  </si>
  <si>
    <t>Dual Tech</t>
  </si>
  <si>
    <t>Data from BI Inc. Participants Report, 11.29.2025</t>
  </si>
  <si>
    <t>Costs listed above are only related to technology costs, and do not include other associated contract and case management costs that are a part of the ATD program. Average daily participant cost is greater than those listed in the table above.</t>
  </si>
  <si>
    <t>ATD Active Population by Status, Extended Case Management Service, Count and ALIP, FY26</t>
  </si>
  <si>
    <t>FY26 thru October Court Appearance: Final Hearings*</t>
  </si>
  <si>
    <t>FAMU Status</t>
  </si>
  <si>
    <t>ALIP</t>
  </si>
  <si>
    <t>FAMU</t>
  </si>
  <si>
    <t>Single Adult</t>
  </si>
  <si>
    <t>Court Data from BI Inc.</t>
  </si>
  <si>
    <t>Data from OBP Report, 11.29.2025</t>
  </si>
  <si>
    <t xml:space="preserve">From '11/17/2025' and '11/30/2025', 4 FAMU individuals were released from ICE custody. </t>
  </si>
  <si>
    <t>Active ATD Participants and Average Length in Program, FY26,  as of 11/29/2025, by AOR and Technology</t>
  </si>
  <si>
    <t>AOR/Technology</t>
  </si>
  <si>
    <t>Average Length in Program</t>
  </si>
  <si>
    <t>Atlanta</t>
  </si>
  <si>
    <t>Baltimore</t>
  </si>
  <si>
    <t>Boston</t>
  </si>
  <si>
    <t>Buffalo</t>
  </si>
  <si>
    <t>Chicago</t>
  </si>
  <si>
    <t>Dallas</t>
  </si>
  <si>
    <t>Denver</t>
  </si>
  <si>
    <t>Detroit</t>
  </si>
  <si>
    <t>El Paso</t>
  </si>
  <si>
    <t>Harlingen</t>
  </si>
  <si>
    <t>Houston</t>
  </si>
  <si>
    <t>Los Angeles</t>
  </si>
  <si>
    <t>Miami</t>
  </si>
  <si>
    <t>New Orleans</t>
  </si>
  <si>
    <t>New York</t>
  </si>
  <si>
    <t>Newark</t>
  </si>
  <si>
    <t>Philadelphia</t>
  </si>
  <si>
    <t>Phoenix</t>
  </si>
  <si>
    <t>Salt Lake City</t>
  </si>
  <si>
    <t>San Antonio</t>
  </si>
  <si>
    <t>San Diego</t>
  </si>
  <si>
    <t>San Francisco</t>
  </si>
  <si>
    <t>Seattle</t>
  </si>
  <si>
    <t>St Paul</t>
  </si>
  <si>
    <t>Washington DC</t>
  </si>
  <si>
    <t>ICE DETENTION DATA, FY2026</t>
  </si>
  <si>
    <t>ICE Currently Detained by Processing Disposition and Detention Facility Type: FY2026</t>
  </si>
  <si>
    <t>Average Time from USCIS Fear Decision Service Date to ICE Release (In Days)</t>
  </si>
  <si>
    <t>Aliens with USCIS-Established Fear Decisions in an ICE Detention Facility by Facility Type</t>
  </si>
  <si>
    <t>Processing Disposition</t>
  </si>
  <si>
    <t>FSC</t>
  </si>
  <si>
    <t>Adult</t>
  </si>
  <si>
    <t>ICE Release Fiscal Year</t>
  </si>
  <si>
    <t>Detention Facility Type</t>
  </si>
  <si>
    <t>Total Detained</t>
  </si>
  <si>
    <t>FY2026</t>
  </si>
  <si>
    <t>Expedited Removal (I-860)</t>
  </si>
  <si>
    <t>Notice to Appear (I-862)</t>
  </si>
  <si>
    <t>Reinstatement of Deport Order (I-871)</t>
  </si>
  <si>
    <t>Other</t>
  </si>
  <si>
    <t>ICE Currently Detained by Criminality and Arresting Agency: FY2026</t>
  </si>
  <si>
    <t>ICE Initial Book-Ins by Arresting Agency and Month: FY2026</t>
  </si>
  <si>
    <t>Criminality</t>
  </si>
  <si>
    <t>ICE</t>
  </si>
  <si>
    <t>Percent ICE</t>
  </si>
  <si>
    <t>CBP</t>
  </si>
  <si>
    <t>Percent CBP</t>
  </si>
  <si>
    <t>Agency</t>
  </si>
  <si>
    <t>Oct</t>
  </si>
  <si>
    <t>Nov</t>
  </si>
  <si>
    <t>Dec</t>
  </si>
  <si>
    <t>Jan</t>
  </si>
  <si>
    <t>Feb</t>
  </si>
  <si>
    <t>Mar</t>
  </si>
  <si>
    <t>Apr</t>
  </si>
  <si>
    <t>May</t>
  </si>
  <si>
    <t>Jun</t>
  </si>
  <si>
    <t>Jul</t>
  </si>
  <si>
    <t>Aug</t>
  </si>
  <si>
    <t>Sep</t>
  </si>
  <si>
    <t>Convicted Criminal</t>
  </si>
  <si>
    <t>Pending Criminal Charges</t>
  </si>
  <si>
    <t xml:space="preserve">ICE  </t>
  </si>
  <si>
    <t>Other Immigration Violator</t>
  </si>
  <si>
    <t>ICE Initial Book-Ins by Facility Type and Criminality: FY2026</t>
  </si>
  <si>
    <t>ICE Final Book Outs by Facility Type: FY2026</t>
  </si>
  <si>
    <t>ICE Removals: FY2026</t>
  </si>
  <si>
    <t>Facility Type</t>
  </si>
  <si>
    <t>Removals</t>
  </si>
  <si>
    <t>Removals with a FAMU Identifier</t>
  </si>
  <si>
    <t>ICE Final Book Outs by Release Reason, Month and Criminality: FY2026</t>
  </si>
  <si>
    <t>Release Reason</t>
  </si>
  <si>
    <t>Bonded Out</t>
  </si>
  <si>
    <t>Bond Set by ICE</t>
  </si>
  <si>
    <t>Bond Set by IJ</t>
  </si>
  <si>
    <t>Order of Recognizance</t>
  </si>
  <si>
    <t>Order of Supervision</t>
  </si>
  <si>
    <t>Paroled</t>
  </si>
  <si>
    <t>Proceedings Terminated</t>
  </si>
  <si>
    <t>Release to Remove</t>
  </si>
  <si>
    <t>Relief Granted by IJ</t>
  </si>
  <si>
    <t>Transfer to U.S. Marshals or other agency</t>
  </si>
  <si>
    <t>Transferred</t>
  </si>
  <si>
    <t>ICE Average Daily Population by Arresting Agency, Month and Criminality: FY2026</t>
  </si>
  <si>
    <t>FY Overall</t>
  </si>
  <si>
    <t>CBP Average</t>
  </si>
  <si>
    <t xml:space="preserve">ICE Average  </t>
  </si>
  <si>
    <t xml:space="preserve">Average </t>
  </si>
  <si>
    <t>ICE Average Length of Stay by Arresting Agency, Month and Criminality: FY2026</t>
  </si>
  <si>
    <t>ICE Average Daily Population by Facility Type and Month: FY2026</t>
  </si>
  <si>
    <t>ICE Average Length of Stay by Facility Type and Month: FY2026</t>
  </si>
  <si>
    <t>ICE Average Length of Stay Adult Facility Type by Month and Arresting Agency: FY2026</t>
  </si>
  <si>
    <t>Arresting Agency</t>
  </si>
  <si>
    <t>Aliens with Positive Credible Fear Determination Parole Requested: FY2024 - FY2026</t>
  </si>
  <si>
    <t>Fiscal Year</t>
  </si>
  <si>
    <t>FY2025</t>
  </si>
  <si>
    <t>FY2024</t>
  </si>
  <si>
    <t>Aliens with Positive Credible Fear Determination Parole Status: FY2024 - FY2026</t>
  </si>
  <si>
    <t>Parole Status</t>
  </si>
  <si>
    <t>Parole Granted</t>
  </si>
  <si>
    <t>Parole Denied</t>
  </si>
  <si>
    <t>ICE Currently Detained of Stateless Aliens by Detention Facility</t>
  </si>
  <si>
    <t>Detention Facility</t>
  </si>
  <si>
    <t>Detention Facility Code</t>
  </si>
  <si>
    <t>ADAMS COUNTY CORRECTIONAL CENTER</t>
  </si>
  <si>
    <t>ADAMSMS</t>
  </si>
  <si>
    <t>ADELANTO ICE PROCESSING CENTER</t>
  </si>
  <si>
    <t>ADLNTCA</t>
  </si>
  <si>
    <t>ALEXANDRIA STAGING FACILITY</t>
  </si>
  <si>
    <t>JENATLA</t>
  </si>
  <si>
    <t>BAKER COUNTY SHERIFF DEPT.</t>
  </si>
  <si>
    <t>BAKERFL</t>
  </si>
  <si>
    <t>BLUEBONNET DET FCLTY</t>
  </si>
  <si>
    <t>BLBNATX</t>
  </si>
  <si>
    <t>BUFFALO SPC</t>
  </si>
  <si>
    <t>BTV</t>
  </si>
  <si>
    <t>BUTLER COUNTY JAIL</t>
  </si>
  <si>
    <t>BUTLEOH</t>
  </si>
  <si>
    <t>CAL CITY ICE PROCESSING CENTER</t>
  </si>
  <si>
    <t>CACTYCA</t>
  </si>
  <si>
    <t>CALHOMI CALHOUN CO., BATTLE CR,MI</t>
  </si>
  <si>
    <t>CALHOMI</t>
  </si>
  <si>
    <t>CAROLINE DETENTION FACILITY</t>
  </si>
  <si>
    <t>CARDFVA</t>
  </si>
  <si>
    <t>CCA NORTHEAST OH CORRECTS</t>
  </si>
  <si>
    <t>CCANOOH</t>
  </si>
  <si>
    <t>CCA, FLORENCE CORRECTIONAL CENTER</t>
  </si>
  <si>
    <t>CCAFLAZ</t>
  </si>
  <si>
    <t>CENTRAL LOUISIANA ICE PROC CTR</t>
  </si>
  <si>
    <t>JENADLA</t>
  </si>
  <si>
    <t>DENVER CONTRACT DETENTION FACILITY</t>
  </si>
  <si>
    <t>DENICDF</t>
  </si>
  <si>
    <t>EDEN DETENTION CTR</t>
  </si>
  <si>
    <t>EDNDCTX</t>
  </si>
  <si>
    <t>EL PASO SPC</t>
  </si>
  <si>
    <t>EPC</t>
  </si>
  <si>
    <t>ELOY FED CTR FACILITY (CORE CIVIC)</t>
  </si>
  <si>
    <t>EAZ</t>
  </si>
  <si>
    <t>ERO EL PASO CAMP EAST MONTANA</t>
  </si>
  <si>
    <t>EROFCB</t>
  </si>
  <si>
    <t>FLORENCE SPC</t>
  </si>
  <si>
    <t>FLO</t>
  </si>
  <si>
    <t>FOLKSTON D RAY ICE PROCESSING CTR</t>
  </si>
  <si>
    <t>FIPCDGA</t>
  </si>
  <si>
    <t>GLADES COUNTY DETENTION CENTER</t>
  </si>
  <si>
    <t>GLADEFL</t>
  </si>
  <si>
    <t>GREENE COUNTY JAIL</t>
  </si>
  <si>
    <t>GREENMO</t>
  </si>
  <si>
    <t>HOUSTON CONTRACT DET.FAC.</t>
  </si>
  <si>
    <t>HOUICDF</t>
  </si>
  <si>
    <t>IAH SECURE ADULT DET. FACILITY</t>
  </si>
  <si>
    <t>POLKCTX</t>
  </si>
  <si>
    <t>JACKSON PARISH CORRECTIONAL CENTER</t>
  </si>
  <si>
    <t>JKPCCLA</t>
  </si>
  <si>
    <t>KARNES CO IMMIGRATION PROCESS CTR</t>
  </si>
  <si>
    <t>KRNRCTX</t>
  </si>
  <si>
    <t>KENTON CO DETENTION CTR</t>
  </si>
  <si>
    <t>KENTOKY</t>
  </si>
  <si>
    <t>KROME NORTH SPC</t>
  </si>
  <si>
    <t>KRO</t>
  </si>
  <si>
    <t>LEAVENWORTH USP</t>
  </si>
  <si>
    <t>BOPLVN</t>
  </si>
  <si>
    <t>LOUISIANA ICE PROCESSING CENTER</t>
  </si>
  <si>
    <t>LICEPLA</t>
  </si>
  <si>
    <t>MAHONING COUNTY JAIL</t>
  </si>
  <si>
    <t>MAHONOH</t>
  </si>
  <si>
    <t>MIAMI CORRECTIONAL CENTER</t>
  </si>
  <si>
    <t>INMIAMI</t>
  </si>
  <si>
    <t>MIAMI FED.DET.CENTER</t>
  </si>
  <si>
    <t>BOPMIM</t>
  </si>
  <si>
    <t>MONROE COUNTY DETENTION-DORM</t>
  </si>
  <si>
    <t>MONROMI</t>
  </si>
  <si>
    <t>MOSHANNON VALLEY PROCESSING CENTER</t>
  </si>
  <si>
    <t>MSVPCPA</t>
  </si>
  <si>
    <t>NORTH LAKE CORRECTIONAL FACILITY</t>
  </si>
  <si>
    <t>NRLKCMI</t>
  </si>
  <si>
    <t>NW ICE PROCESSING CTR</t>
  </si>
  <si>
    <t>CSCNWWA</t>
  </si>
  <si>
    <t>OTAY MESA DETENTION CENTER</t>
  </si>
  <si>
    <t>CCASDCA</t>
  </si>
  <si>
    <t>OTERO CO PROCESSING CENTER</t>
  </si>
  <si>
    <t>OTRPCNM</t>
  </si>
  <si>
    <t>PINE PRAIRIE ICE PROCESSING CENTER</t>
  </si>
  <si>
    <t>PINEPLA</t>
  </si>
  <si>
    <t>PRAIRIELAND DETENTION CENTER</t>
  </si>
  <si>
    <t>PRLDCTX</t>
  </si>
  <si>
    <t>River Correctional Center</t>
  </si>
  <si>
    <t>RVRCCLA</t>
  </si>
  <si>
    <t>SAN LUIS REGIONAL DET CENTER</t>
  </si>
  <si>
    <t>SLRDCAZ</t>
  </si>
  <si>
    <t>SOUTH TEXAS ICE PROCESSING CENTER</t>
  </si>
  <si>
    <t>STCDFTX</t>
  </si>
  <si>
    <t>STEWART DETENTION CENTER</t>
  </si>
  <si>
    <t>STWRTGA</t>
  </si>
  <si>
    <t>T DON HUTTO DETENTION CENTER</t>
  </si>
  <si>
    <t>CCAHUTX</t>
  </si>
  <si>
    <t>WINN CORRECTIONAL CENTER</t>
  </si>
  <si>
    <t>LAWINCI</t>
  </si>
  <si>
    <t>Average In Custody Length of Stay (ICLOS)</t>
  </si>
  <si>
    <t xml:space="preserve">Population </t>
  </si>
  <si>
    <t>January</t>
  </si>
  <si>
    <t>February</t>
  </si>
  <si>
    <t>March</t>
  </si>
  <si>
    <t>April</t>
  </si>
  <si>
    <t>June</t>
  </si>
  <si>
    <t>July</t>
  </si>
  <si>
    <t>August</t>
  </si>
  <si>
    <t>September</t>
  </si>
  <si>
    <t>October</t>
  </si>
  <si>
    <t>November</t>
  </si>
  <si>
    <t>December</t>
  </si>
  <si>
    <t xml:space="preserve">mid </t>
  </si>
  <si>
    <t>end</t>
  </si>
  <si>
    <t>Adult Facility Aliens</t>
  </si>
  <si>
    <t>FSC Facility Individuals</t>
  </si>
  <si>
    <t>Single Adults with a Positive Fear Determination Still in Custody</t>
  </si>
  <si>
    <t>Family Units with a Positive Fear Determination Still in Custody</t>
  </si>
  <si>
    <t>Detainees</t>
  </si>
  <si>
    <t>0-180 Days</t>
  </si>
  <si>
    <t>181-365 Days</t>
  </si>
  <si>
    <t>366-730 Days</t>
  </si>
  <si>
    <t>More than 730 Days</t>
  </si>
  <si>
    <t>The data contained within this Semiannual page has been refreshed for the United States Armed Forces, United States Citizens, Parents of United States Citizens, and Temporary Protective Status Countries tables. These tables will not be updated until after March 31, 2026.</t>
  </si>
  <si>
    <t>United States Armed Forces Alien Arrests FY2018 - FY2025</t>
  </si>
  <si>
    <t>Arrests</t>
  </si>
  <si>
    <t>FY2018</t>
  </si>
  <si>
    <t>FY2019</t>
  </si>
  <si>
    <t>FY2020</t>
  </si>
  <si>
    <t>FY2021</t>
  </si>
  <si>
    <t xml:space="preserve">FY2022 </t>
  </si>
  <si>
    <t>FY2023</t>
  </si>
  <si>
    <t>United States Armed Forces Alien Bookins FY2018 - FY2025</t>
  </si>
  <si>
    <t>Bookins</t>
  </si>
  <si>
    <t>United States Armed Forces Alien Removals FY2018 - FY2025</t>
  </si>
  <si>
    <t>United States Citizen Arrests FY2018 - FY2025</t>
  </si>
  <si>
    <t>FY2022</t>
  </si>
  <si>
    <t>United States Citizens Bookins FY2018 - FY2025</t>
  </si>
  <si>
    <t>United States Citizens Removals FY2018 - FY2025</t>
  </si>
  <si>
    <t>Parents of USC Arrests FY2018 - FY2025</t>
  </si>
  <si>
    <t>Parents of USC Bookins FY2018 - FY2025</t>
  </si>
  <si>
    <t>Parents of USC Removals FY2018 - FY2025</t>
  </si>
  <si>
    <t>Temporary Protected Status Countries Arrests FY2018 - FY2025</t>
  </si>
  <si>
    <t>Citizenship Country</t>
  </si>
  <si>
    <t>Afghanistan</t>
  </si>
  <si>
    <t>Burma (Myanmar)</t>
  </si>
  <si>
    <t>Cameroon</t>
  </si>
  <si>
    <t>El Salvador</t>
  </si>
  <si>
    <t>Ethiopia</t>
  </si>
  <si>
    <t>Haiti</t>
  </si>
  <si>
    <t>Honduras</t>
  </si>
  <si>
    <t>Lebanon</t>
  </si>
  <si>
    <t>Nepal</t>
  </si>
  <si>
    <t>Nicaragua</t>
  </si>
  <si>
    <t>Somalia</t>
  </si>
  <si>
    <t>South Sudan</t>
  </si>
  <si>
    <t>Sudan</t>
  </si>
  <si>
    <t>Syria</t>
  </si>
  <si>
    <t>Ukraine</t>
  </si>
  <si>
    <t>Venezuela</t>
  </si>
  <si>
    <t>Yemen</t>
  </si>
  <si>
    <t>Temporary Protected Status Countries Bookins FY2018 - FY2025</t>
  </si>
  <si>
    <t>Temporary Protected Status Countries Removals FY2018 - FY2025</t>
  </si>
  <si>
    <t>FY2026 Bonded Out Book Outs Count and ALOS - Prior 12 months plus Current Month</t>
  </si>
  <si>
    <t>Total ICE Final Book Outs</t>
  </si>
  <si>
    <t>ICE Final Book Outs with Bond Posted</t>
  </si>
  <si>
    <t>Bond Posted Book Outs/Releases (%)</t>
  </si>
  <si>
    <t>Average Bond Amount ($)</t>
  </si>
  <si>
    <t>ALOS (Days)</t>
  </si>
  <si>
    <t>These statistics are made available to the public pursuant to H.R. 1158 Sec. 218 - Department of Homeland Security Appropriations Act, 2020. The information in this report is subject to change.</t>
  </si>
  <si>
    <t>ICE Facilities Data, FY26</t>
  </si>
  <si>
    <t>ICE Enforcement and Removal Operations Data, FY26</t>
  </si>
  <si>
    <t>Data Source: ICE Integrated Decision Support (IIDS), 11/28/2025</t>
  </si>
  <si>
    <t>This list is limited to facilities that have a population count of greater than or equal to 1 as the time of the data pull. This list does not include HOLD, HOSPITAL, JUVENILE, MIRP, or ORR facilities.</t>
  </si>
  <si>
    <t>Facility Information</t>
  </si>
  <si>
    <t> </t>
  </si>
  <si>
    <t>Facility Average Length of Stay</t>
  </si>
  <si>
    <t>FY26 ADP: Detainee Classification Level</t>
  </si>
  <si>
    <t>FY26 ADP: Criminality</t>
  </si>
  <si>
    <t>FY26 ADP: ICE Threat Level</t>
  </si>
  <si>
    <t>FY26 ADP: Mandatory</t>
  </si>
  <si>
    <t>Contract Facility Inspections Information</t>
  </si>
  <si>
    <t>Name</t>
  </si>
  <si>
    <t>Address</t>
  </si>
  <si>
    <t>City</t>
  </si>
  <si>
    <t>State</t>
  </si>
  <si>
    <t>Zip</t>
  </si>
  <si>
    <t>AOR</t>
  </si>
  <si>
    <t>Type Detailed</t>
  </si>
  <si>
    <t>Male/Female</t>
  </si>
  <si>
    <t>FY26 ALOS</t>
  </si>
  <si>
    <t>Level A</t>
  </si>
  <si>
    <t>Level B</t>
  </si>
  <si>
    <t>Level C</t>
  </si>
  <si>
    <t>Level D</t>
  </si>
  <si>
    <t>Male Crim</t>
  </si>
  <si>
    <t>Male Non-Crim</t>
  </si>
  <si>
    <t>Female Crim</t>
  </si>
  <si>
    <t>Female Non-Crim</t>
  </si>
  <si>
    <t>ICE Threat Level 1</t>
  </si>
  <si>
    <t>ICE Threat Level 2</t>
  </si>
  <si>
    <t>ICE Threat Level 3</t>
  </si>
  <si>
    <t>No ICE Threat Level</t>
  </si>
  <si>
    <t>Mandatory</t>
  </si>
  <si>
    <t>Guaranteed Minimum</t>
  </si>
  <si>
    <t>Last Inspection Type</t>
  </si>
  <si>
    <t>Last Inspection End Date</t>
  </si>
  <si>
    <t>Last Inspection Standard</t>
  </si>
  <si>
    <t>Last Final Rating</t>
  </si>
  <si>
    <t>20 HOBO FORK RD.</t>
  </si>
  <si>
    <t>NATCHEZ</t>
  </si>
  <si>
    <t>MS</t>
  </si>
  <si>
    <t>NOL</t>
  </si>
  <si>
    <t>DIGSA</t>
  </si>
  <si>
    <t>Male</t>
  </si>
  <si>
    <t>ODO</t>
  </si>
  <si>
    <t>PBNDS 2011 - 2016 Revisions</t>
  </si>
  <si>
    <t>Pass</t>
  </si>
  <si>
    <t>10250 RANCHO ROAD</t>
  </si>
  <si>
    <t>ADELANTO</t>
  </si>
  <si>
    <t>CA</t>
  </si>
  <si>
    <t>LOS</t>
  </si>
  <si>
    <t>CDF</t>
  </si>
  <si>
    <t>ALEXANDRIA STAGING FACILI</t>
  </si>
  <si>
    <t>96 GEORGE THOMPSON DR.</t>
  </si>
  <si>
    <t>ALEXANDRIA</t>
  </si>
  <si>
    <t>LA</t>
  </si>
  <si>
    <t>STAGING</t>
  </si>
  <si>
    <t>ALLEGANY COUNTY JAIL</t>
  </si>
  <si>
    <t>4884 STATE ROUTE 19</t>
  </si>
  <si>
    <t>BELMONT</t>
  </si>
  <si>
    <t>NY</t>
  </si>
  <si>
    <t>BUF</t>
  </si>
  <si>
    <t>USMS IGA</t>
  </si>
  <si>
    <t>Female/Male</t>
  </si>
  <si>
    <t>ALLEN PARISH PUBLIC SAFETY COMPLEX</t>
  </si>
  <si>
    <t>7340 HIGHWAY 26 WEST</t>
  </si>
  <si>
    <t>OBERLIN</t>
  </si>
  <si>
    <t>IGSA</t>
  </si>
  <si>
    <t>ANCHORAGE CORRECTIONAL COMPLEX</t>
  </si>
  <si>
    <t>1400 E. 4TH AVE</t>
  </si>
  <si>
    <t>ANCHORAGE</t>
  </si>
  <si>
    <t>AK</t>
  </si>
  <si>
    <t>SEA</t>
  </si>
  <si>
    <t>ORSA</t>
  </si>
  <si>
    <t>ORSA NDS 2019</t>
  </si>
  <si>
    <t>BAKER CORRECTIONAL INSTITUTION</t>
  </si>
  <si>
    <t>20706 US 90 W</t>
  </si>
  <si>
    <t>SANDERSON</t>
  </si>
  <si>
    <t>FL</t>
  </si>
  <si>
    <t>MIA</t>
  </si>
  <si>
    <t>STATE</t>
  </si>
  <si>
    <t>1 SHERIFF OFFICE DRIVE</t>
  </si>
  <si>
    <t>MACCLENNY</t>
  </si>
  <si>
    <t>NDS 2019</t>
  </si>
  <si>
    <t>BALDWIN COUNTY CORRECTIONAL CENTER</t>
  </si>
  <si>
    <t>200 HAND AVE.</t>
  </si>
  <si>
    <t>BAY MINETTE</t>
  </si>
  <si>
    <t>AL</t>
  </si>
  <si>
    <t>Fail</t>
  </si>
  <si>
    <t>BERLIN FED. CORR. INST.</t>
  </si>
  <si>
    <t>1 SUCCESS LOOP DR.</t>
  </si>
  <si>
    <t>BERLIN</t>
  </si>
  <si>
    <t>NH</t>
  </si>
  <si>
    <t>BOS</t>
  </si>
  <si>
    <t>BOP</t>
  </si>
  <si>
    <t>BLUEBONNET DETENTION FACILITY</t>
  </si>
  <si>
    <t>400 2ND STREET</t>
  </si>
  <si>
    <t>ANSON</t>
  </si>
  <si>
    <t>TX</t>
  </si>
  <si>
    <t>DAL</t>
  </si>
  <si>
    <t>BOONE COUNTY JAIL</t>
  </si>
  <si>
    <t>3020 CONRAD LANE</t>
  </si>
  <si>
    <t>BURLINGTON</t>
  </si>
  <si>
    <t>KY</t>
  </si>
  <si>
    <t>CHI</t>
  </si>
  <si>
    <t>BOURBON CO DET CENTER</t>
  </si>
  <si>
    <t>BOURBON CO COURTHOUSE, MAIN STREET</t>
  </si>
  <si>
    <t>PARIS</t>
  </si>
  <si>
    <t>BROOKLYN MDC</t>
  </si>
  <si>
    <t>100 29TH STREET</t>
  </si>
  <si>
    <t>BROOKLYN</t>
  </si>
  <si>
    <t>NYC</t>
  </si>
  <si>
    <t>BROOKS COUNTY DETENTION CENTER</t>
  </si>
  <si>
    <t>901 COUNTY ROAD 201</t>
  </si>
  <si>
    <t>FALFURRIAS</t>
  </si>
  <si>
    <t>HLG</t>
  </si>
  <si>
    <t>ODO OASIP</t>
  </si>
  <si>
    <t>FPBDS</t>
  </si>
  <si>
    <t>BROOME COUNTY JAIL</t>
  </si>
  <si>
    <t>897 FRONT STREET</t>
  </si>
  <si>
    <t>BINGHAMPTON</t>
  </si>
  <si>
    <t>BROWARD COUNTY JAIL</t>
  </si>
  <si>
    <t>555 SE 1ST AVENUE</t>
  </si>
  <si>
    <t>FT.LAUDERDALE</t>
  </si>
  <si>
    <t>BROWARD TRANSITIONAL CENTER</t>
  </si>
  <si>
    <t>3900 NORTH POWERLINE ROAD</t>
  </si>
  <si>
    <t>POMPANO BEACH</t>
  </si>
  <si>
    <t>BUFFALO SERVICE PROCESSING CENTER</t>
  </si>
  <si>
    <t>4250 FEDERAL DRIVE</t>
  </si>
  <si>
    <t>BATAVIA</t>
  </si>
  <si>
    <t>SPC</t>
  </si>
  <si>
    <t>BURLEIGH COUNTY</t>
  </si>
  <si>
    <t>P.O. BOX 1416</t>
  </si>
  <si>
    <t>BISMARCK</t>
  </si>
  <si>
    <t>ND</t>
  </si>
  <si>
    <t>SPM</t>
  </si>
  <si>
    <t>705 HANOVER STREET</t>
  </si>
  <si>
    <t>HAMILTON</t>
  </si>
  <si>
    <t>OH</t>
  </si>
  <si>
    <t>DET</t>
  </si>
  <si>
    <t>CALHOUN COUNTY CORRECTIONAL CENTER</t>
  </si>
  <si>
    <t>185 EAST MICHIGAN AVENUE</t>
  </si>
  <si>
    <t>BATTLE CREEK</t>
  </si>
  <si>
    <t>MI</t>
  </si>
  <si>
    <t>CALIFORNIA CITY IMMIGRATION PROCESSING CENTER</t>
  </si>
  <si>
    <t>22844 VIRGINIA BOULEVARD</t>
  </si>
  <si>
    <t>CALIFORNIA CITY</t>
  </si>
  <si>
    <t>SFR</t>
  </si>
  <si>
    <t>CAMBRIA COUNTY JAIL, PA</t>
  </si>
  <si>
    <t>425 MANOR DRIVE</t>
  </si>
  <si>
    <t>EBENSBURG</t>
  </si>
  <si>
    <t>PA</t>
  </si>
  <si>
    <t>PHI</t>
  </si>
  <si>
    <t>CAMPBELL CO DET CTR</t>
  </si>
  <si>
    <t>601 CENTRAL AVE</t>
  </si>
  <si>
    <t>NEWPORT</t>
  </si>
  <si>
    <t>11093 S.W. LEWIS MEMORIAL DRIVE</t>
  </si>
  <si>
    <t>BOWLING GREEN</t>
  </si>
  <si>
    <t>VA</t>
  </si>
  <si>
    <t>WAS</t>
  </si>
  <si>
    <t>CASCADE COUNTY JAIL, MT</t>
  </si>
  <si>
    <t>3800 ULM NORTH FRONTAGE ROAD</t>
  </si>
  <si>
    <t>GREAT FALLS</t>
  </si>
  <si>
    <t>MT</t>
  </si>
  <si>
    <t>SLC</t>
  </si>
  <si>
    <t>1100 BOWLING ROAD</t>
  </si>
  <si>
    <t>FLORENCE</t>
  </si>
  <si>
    <t>AZ</t>
  </si>
  <si>
    <t>PHO</t>
  </si>
  <si>
    <t>USMS CDF</t>
  </si>
  <si>
    <t>CENTRAL LOUISIANA ICE PROCESSING CENTER (CLIPC)</t>
  </si>
  <si>
    <t>830 PINEHILL ROAD</t>
  </si>
  <si>
    <t>JENA</t>
  </si>
  <si>
    <t>CHASE COUNTY JAIL</t>
  </si>
  <si>
    <t>301 SOUTH WALNUT STREET</t>
  </si>
  <si>
    <t>COTTONWOOD FALL</t>
  </si>
  <si>
    <t>KS</t>
  </si>
  <si>
    <t>CHAVEZ DETENTION CENTER</t>
  </si>
  <si>
    <t>3701 S. ATKINSON</t>
  </si>
  <si>
    <t>ROSWELL</t>
  </si>
  <si>
    <t>NM</t>
  </si>
  <si>
    <t>ELP</t>
  </si>
  <si>
    <t>CHIPPEWA COUNTY SSM</t>
  </si>
  <si>
    <t>325 COURT STREET</t>
  </si>
  <si>
    <t>SAULT STE MARIE</t>
  </si>
  <si>
    <t>CHITTENDEN REGIONAL CORRECTIONAL FACILITY</t>
  </si>
  <si>
    <t>7 FARRELL STREET</t>
  </si>
  <si>
    <t>SOUTH BURLINGTON</t>
  </si>
  <si>
    <t>VT</t>
  </si>
  <si>
    <t>CHRISTIAN COUNTY JAIL</t>
  </si>
  <si>
    <t>410 WEST 7TH STREET,</t>
  </si>
  <si>
    <t>HOPKINSVILLE</t>
  </si>
  <si>
    <t>CIBOLA COUNTY CORRECTIONAL CENTER</t>
  </si>
  <si>
    <t>2000 CIBOLA LOOP</t>
  </si>
  <si>
    <t>MILAN</t>
  </si>
  <si>
    <t>CIMMARRON CORR FACILITY</t>
  </si>
  <si>
    <t>3700 S. KINGS HWY</t>
  </si>
  <si>
    <t>CUSHING</t>
  </si>
  <si>
    <t>OK</t>
  </si>
  <si>
    <t>CLARK COUNTY JAIL (IN)</t>
  </si>
  <si>
    <t>501 EAST COURT AVE.</t>
  </si>
  <si>
    <t>JEFFERSONVILLE</t>
  </si>
  <si>
    <t>IN</t>
  </si>
  <si>
    <t>CLAY COUNTY JUSTICE CENTER</t>
  </si>
  <si>
    <t>611 EAST JACKSON STREET</t>
  </si>
  <si>
    <t>BRAZIL</t>
  </si>
  <si>
    <t>CLINTON COUNTY CORRECTIONAL FACILITY</t>
  </si>
  <si>
    <t>58 PINE MOUNTAIN RD.</t>
  </si>
  <si>
    <t>MCELHATTAN</t>
  </si>
  <si>
    <t>CLINTON COUNTY JAIL</t>
  </si>
  <si>
    <t>25 MCCARTHY DRIVE</t>
  </si>
  <si>
    <t>PLATTSBURGH</t>
  </si>
  <si>
    <t>301 E WALNUT STREET</t>
  </si>
  <si>
    <t>FRANKFORT</t>
  </si>
  <si>
    <t>COASTAL BEND DETENTION FACILITY</t>
  </si>
  <si>
    <t>4909 FM 2826</t>
  </si>
  <si>
    <t>ROBSTOWN</t>
  </si>
  <si>
    <t>COLLIER COUNTY NAPLES JAIL CENTER</t>
  </si>
  <si>
    <t>3347 TAMIAMI TRAIL E</t>
  </si>
  <si>
    <t>NAPLES</t>
  </si>
  <si>
    <t>CORR. CTR OF NORTHWEST OHIO</t>
  </si>
  <si>
    <t>3151 COUNTY ROAD 2425</t>
  </si>
  <si>
    <t>STRYKER</t>
  </si>
  <si>
    <t>CROW WING COUNTY JAIL</t>
  </si>
  <si>
    <t>313 LAUREL ST</t>
  </si>
  <si>
    <t>BRAINERD</t>
  </si>
  <si>
    <t>MN</t>
  </si>
  <si>
    <t>CUMBERLAND COUNTY JAIL</t>
  </si>
  <si>
    <t>50 COUNTY WAY</t>
  </si>
  <si>
    <t>PORTLAND</t>
  </si>
  <si>
    <t>ME</t>
  </si>
  <si>
    <t>DAKOTA COUNTY JAIL</t>
  </si>
  <si>
    <t>1601 BROADWAY</t>
  </si>
  <si>
    <t>DAKOTA CITY</t>
  </si>
  <si>
    <t>NE</t>
  </si>
  <si>
    <t>DALLAS COUNTY JAIL - LEW STERRETT JUSTICE CENTER</t>
  </si>
  <si>
    <t>111 WEST COMMERCE STREET</t>
  </si>
  <si>
    <t>DALLAS</t>
  </si>
  <si>
    <t>DAVIESS COUNTY DETENTION</t>
  </si>
  <si>
    <t>3337 HIGHWAY 144</t>
  </si>
  <si>
    <t>OWENSBORO</t>
  </si>
  <si>
    <t>DAVIS COUNTY</t>
  </si>
  <si>
    <t>800 WEST STATE STREET</t>
  </si>
  <si>
    <t>FARMINGTON</t>
  </si>
  <si>
    <t>UT</t>
  </si>
  <si>
    <t>DELANEY HALL DETENTION FACILITY</t>
  </si>
  <si>
    <t>451 DOREMUS AVENUE</t>
  </si>
  <si>
    <t>NEWARK</t>
  </si>
  <si>
    <t>NJ</t>
  </si>
  <si>
    <t>NEW</t>
  </si>
  <si>
    <t>3130 OAKLAND ST</t>
  </si>
  <si>
    <t>AURORA</t>
  </si>
  <si>
    <t>CO</t>
  </si>
  <si>
    <t>DEN</t>
  </si>
  <si>
    <t>DEPARTMENT OF CORRECTIONS HAGATNA</t>
  </si>
  <si>
    <t>203 ASPINAL AVE. PO BOX 3236</t>
  </si>
  <si>
    <t>HAGATNA</t>
  </si>
  <si>
    <t>GU</t>
  </si>
  <si>
    <t>DESERT VIEW ANNEX</t>
  </si>
  <si>
    <t>10450 RANCHO ROAD</t>
  </si>
  <si>
    <t>DILLEY IMMIGRATION PROCESSING CENTER</t>
  </si>
  <si>
    <t>300 EL RANCHO WAY</t>
  </si>
  <si>
    <t>DILLEY</t>
  </si>
  <si>
    <t>SNA</t>
  </si>
  <si>
    <t>FAMILY</t>
  </si>
  <si>
    <t>FRS</t>
  </si>
  <si>
    <t>DODGE COUNTY JAIL</t>
  </si>
  <si>
    <t>215 WEST CENTRAL STREET</t>
  </si>
  <si>
    <t>JUNEAU</t>
  </si>
  <si>
    <t>WI</t>
  </si>
  <si>
    <t>DONA ANA COUNTY DETENTION CENTER</t>
  </si>
  <si>
    <t>1850 COPPER LOOP</t>
  </si>
  <si>
    <t>LAS CRUCES</t>
  </si>
  <si>
    <t>FY2027</t>
  </si>
  <si>
    <t>DOUGLAS COUNTY</t>
  </si>
  <si>
    <t>1409 HAMMOND AVENUE</t>
  </si>
  <si>
    <t>SUPERIOR</t>
  </si>
  <si>
    <t>EAST HIDALGO DETENTION CENTER</t>
  </si>
  <si>
    <t>1330 HIGHWAY 107</t>
  </si>
  <si>
    <t>LA VILLA</t>
  </si>
  <si>
    <t>EASTERN REGIONAL JAIL</t>
  </si>
  <si>
    <t>94 GRAPEVINE RD</t>
  </si>
  <si>
    <t>MARTINSBURG</t>
  </si>
  <si>
    <t>WV</t>
  </si>
  <si>
    <t>702 E BROADWAY ST</t>
  </si>
  <si>
    <t>EDEN</t>
  </si>
  <si>
    <t>EL PASO COUNTY DETENTION FACILITY</t>
  </si>
  <si>
    <t>601 E. OVERLAND</t>
  </si>
  <si>
    <t>EL PASO</t>
  </si>
  <si>
    <t>EL PASO SERVICE PROCESSING CENTER</t>
  </si>
  <si>
    <t>8915 MONTANA AVE.</t>
  </si>
  <si>
    <t>EL VALLE DETENTION FACILITY</t>
  </si>
  <si>
    <t>1800 INDUSTRIAL DRIVE</t>
  </si>
  <si>
    <t>RAYMONDVILLE</t>
  </si>
  <si>
    <t>ELIZABETH CONTRACT DETENTION FACILITY</t>
  </si>
  <si>
    <t>625 EVANS STREET</t>
  </si>
  <si>
    <t>ELIZABETH</t>
  </si>
  <si>
    <t>ELMORE COUNTY JAIL</t>
  </si>
  <si>
    <t>2255 E. 8TH NORTH</t>
  </si>
  <si>
    <t>MOUNTAIN HOME</t>
  </si>
  <si>
    <t>ID</t>
  </si>
  <si>
    <t>ELOY FEDERAL CONTRACT FACILITY</t>
  </si>
  <si>
    <t>1705 EAST HANNA RD.</t>
  </si>
  <si>
    <t>ELOY</t>
  </si>
  <si>
    <t>ERIE COUNTY JAIL</t>
  </si>
  <si>
    <t>DEPARTMENT OF CORRECTIONS 1618 ASH STREET</t>
  </si>
  <si>
    <t>ERIE</t>
  </si>
  <si>
    <t>6920 DIGITAL RD</t>
  </si>
  <si>
    <t>ETOWAH COUNTY JAIL</t>
  </si>
  <si>
    <t>827 FORREST AVENUE</t>
  </si>
  <si>
    <t>GADSDEN</t>
  </si>
  <si>
    <t>NDS</t>
  </si>
  <si>
    <t>FARMVILLE DETENTION CENTER</t>
  </si>
  <si>
    <t>508 WATERWORKS ROAD</t>
  </si>
  <si>
    <t>FARMVILLE</t>
  </si>
  <si>
    <t>FAYETTE COUNTY DETENTION CENTER</t>
  </si>
  <si>
    <t>600 OLD FRANKFORD CR</t>
  </si>
  <si>
    <t>LEXINGTON</t>
  </si>
  <si>
    <t>FCI ATLANTA</t>
  </si>
  <si>
    <t>601 MCDONOUGH BOULEVARD, SE</t>
  </si>
  <si>
    <t>ATLANTA</t>
  </si>
  <si>
    <t>GA</t>
  </si>
  <si>
    <t>ATL</t>
  </si>
  <si>
    <t>FDC PHILADELPHIA</t>
  </si>
  <si>
    <t>700 ARCH ST.</t>
  </si>
  <si>
    <t>PHILADELPHIA</t>
  </si>
  <si>
    <t>FINNEY COUNTY JAIL</t>
  </si>
  <si>
    <t>304 N. 9TH STREET</t>
  </si>
  <si>
    <t>GARDEN CITY</t>
  </si>
  <si>
    <t>FLORENCE SERVICE PROCESSING CENTER</t>
  </si>
  <si>
    <t>3250 NORTH PINAL PARKWAY</t>
  </si>
  <si>
    <t>FLORENCE STAGING FACILITY</t>
  </si>
  <si>
    <t>FLORIDA SOFT-SIDED FACILITY</t>
  </si>
  <si>
    <t>54575 TAMIAMI TRL E</t>
  </si>
  <si>
    <t>OCHOPEE</t>
  </si>
  <si>
    <t>FOLKSTON ANNEX IPC</t>
  </si>
  <si>
    <t>3424 HWY 252 EAST</t>
  </si>
  <si>
    <t>FOLKSTON</t>
  </si>
  <si>
    <t>3262 HIGHWAY 252</t>
  </si>
  <si>
    <t>FOLKSTON MAIN IPC</t>
  </si>
  <si>
    <t>3026 HWY 252 EAST</t>
  </si>
  <si>
    <t>FRANKLIN COUNTY JAIL</t>
  </si>
  <si>
    <t>625 FRANKLIN FARM LN</t>
  </si>
  <si>
    <t>CHAMBERSBURG</t>
  </si>
  <si>
    <t>FREEBORN COUNTY ADULT DETENTION CENTER</t>
  </si>
  <si>
    <t>411 SOUTH BROADWAY AVENUE</t>
  </si>
  <si>
    <t>ALBERT LEA</t>
  </si>
  <si>
    <t>FULTON CO JAIL INDIANA</t>
  </si>
  <si>
    <t>2006 SWEETGUM RD</t>
  </si>
  <si>
    <t>ROCHESTER</t>
  </si>
  <si>
    <t>GEAUGA COUNTY JAIL</t>
  </si>
  <si>
    <t>12450 MERRITT DR</t>
  </si>
  <si>
    <t>CHARDON</t>
  </si>
  <si>
    <t>1297 EAST SR 78</t>
  </si>
  <si>
    <t>MOORE HAVEN</t>
  </si>
  <si>
    <t>GOLDEN STATE ANNEX</t>
  </si>
  <si>
    <t>611 FRONTAGE RD</t>
  </si>
  <si>
    <t>MCFARLAND</t>
  </si>
  <si>
    <t>GRAND FORKS COUNTY CORRECTIONAL FACILITY</t>
  </si>
  <si>
    <t>1701 NORTH WASHINGTON ST</t>
  </si>
  <si>
    <t>GRAND FORKS</t>
  </si>
  <si>
    <t>GRAYSON COUNTY JAIL</t>
  </si>
  <si>
    <t>320 SHAW STATION ROAD</t>
  </si>
  <si>
    <t>LEITCHFIELD</t>
  </si>
  <si>
    <t>1199 N HASELTINE RD</t>
  </si>
  <si>
    <t>SPRINGFIELD</t>
  </si>
  <si>
    <t>MO</t>
  </si>
  <si>
    <t>HALL COUNTY DEPARTMENT OF CORRECTIONS</t>
  </si>
  <si>
    <t>110 PUBLIC SAFETY DRIVE</t>
  </si>
  <si>
    <t>GRAND ISLAND</t>
  </si>
  <si>
    <t>HANCOCK COUNTY PUBLIC SAFETY COMPLEX</t>
  </si>
  <si>
    <t>8450 HIGHWAY 90</t>
  </si>
  <si>
    <t>BAY ST. LOUIS</t>
  </si>
  <si>
    <t>HARDIN COUNTY JAIL</t>
  </si>
  <si>
    <t>1116 14TH AVENUE</t>
  </si>
  <si>
    <t>ELDORA</t>
  </si>
  <si>
    <t>IA</t>
  </si>
  <si>
    <t>HENDERSON DETENTION</t>
  </si>
  <si>
    <t>18 E BASIC ROAD</t>
  </si>
  <si>
    <t>HENDERSON</t>
  </si>
  <si>
    <t>NV</t>
  </si>
  <si>
    <t>HONOLULU FEDERAL DETENTION CENTER</t>
  </si>
  <si>
    <t>351 ELLIOTT ST.</t>
  </si>
  <si>
    <t>HONOLULU</t>
  </si>
  <si>
    <t>HI</t>
  </si>
  <si>
    <t>HOPKINS COUNTY JAIL</t>
  </si>
  <si>
    <t>2250 LAFOON TRAIL</t>
  </si>
  <si>
    <t>MADISONVILLE</t>
  </si>
  <si>
    <t>HOUSTON CONTRACT DETENTION FACILITY</t>
  </si>
  <si>
    <t>15850 EXPORT PLAZA DRIVE</t>
  </si>
  <si>
    <t>HOUSTON</t>
  </si>
  <si>
    <t>HOU</t>
  </si>
  <si>
    <t>IAH SECURE ADULT DETENTION FACILITY (POLK)</t>
  </si>
  <si>
    <t>3400 FM 350 SOUTH</t>
  </si>
  <si>
    <t>LIVINGSTON</t>
  </si>
  <si>
    <t>IMPERIAL REGIONAL DETENTION FACILITY</t>
  </si>
  <si>
    <t>1572 GATEWAY</t>
  </si>
  <si>
    <t>CALEXICO</t>
  </si>
  <si>
    <t>SND</t>
  </si>
  <si>
    <t>IRWIN COUNTY DETENTION CENTER</t>
  </si>
  <si>
    <t>132 COTTON DRIVE</t>
  </si>
  <si>
    <t>OCILLA</t>
  </si>
  <si>
    <t>327 INDUSTRIAL DRIVE</t>
  </si>
  <si>
    <t>JONESBORO</t>
  </si>
  <si>
    <t>JEFFERSON COUNTY JAIL</t>
  </si>
  <si>
    <t>219 EAST FREMONT AVENUE</t>
  </si>
  <si>
    <t>RIGBY</t>
  </si>
  <si>
    <t>JOE CORLEY PROCESSING CTR</t>
  </si>
  <si>
    <t>500 HILBIG RD</t>
  </si>
  <si>
    <t>CONROE</t>
  </si>
  <si>
    <t>KANDIYOHI COUNTY JAIL</t>
  </si>
  <si>
    <t>2201 23RD ST NE</t>
  </si>
  <si>
    <t>WILLMAR</t>
  </si>
  <si>
    <t>KANSAS CITY HOLDROOM</t>
  </si>
  <si>
    <t>9747 NW CONANT AVENUE</t>
  </si>
  <si>
    <t>KANSAS CITY</t>
  </si>
  <si>
    <t>KARNES COUNTY CORRECTIONAL CENTER</t>
  </si>
  <si>
    <t>810 COMMERCE STREET</t>
  </si>
  <si>
    <t>KARNES CITY</t>
  </si>
  <si>
    <t>KARNES COUNTY IMMIGRATION PROCESSING CENTER</t>
  </si>
  <si>
    <t>409 FM 1144</t>
  </si>
  <si>
    <t>KAY CO JUSTICE FACILITY</t>
  </si>
  <si>
    <t>1101 WEST DRY ROAD</t>
  </si>
  <si>
    <t>NEWKIRK</t>
  </si>
  <si>
    <t>KENTON COUNTY JAIL</t>
  </si>
  <si>
    <t>3000 DECKER CRANE LANE</t>
  </si>
  <si>
    <t>COVINGTON</t>
  </si>
  <si>
    <t>KNOX COUNTY DETENTION FACILITY</t>
  </si>
  <si>
    <t>5001 MALONEYVILLE RD</t>
  </si>
  <si>
    <t>KNOXVILLE</t>
  </si>
  <si>
    <t>TN</t>
  </si>
  <si>
    <t>KROME NORTH SERVICE PROCESSING CENTER</t>
  </si>
  <si>
    <t>18201 SW 12TH ST</t>
  </si>
  <si>
    <t>MIAMI</t>
  </si>
  <si>
    <t>LA SALLE COUNTY REGIONAL DETENTION CENTER</t>
  </si>
  <si>
    <t>832 EAST TEXAS STATE HIGHWAY 44</t>
  </si>
  <si>
    <t>ENCINAL</t>
  </si>
  <si>
    <t>LAKE COUNTY JAIL</t>
  </si>
  <si>
    <t>551 W. MAIN ST.</t>
  </si>
  <si>
    <t>TAVARES</t>
  </si>
  <si>
    <t>LARAMIE COUNTY JAIL</t>
  </si>
  <si>
    <t>1910 PIONEER AVENUE</t>
  </si>
  <si>
    <t>CHEYENNE</t>
  </si>
  <si>
    <t>WY</t>
  </si>
  <si>
    <t>LAREDO PROCESSING CENTER</t>
  </si>
  <si>
    <t>4702 EAST SAUNDERS STREET</t>
  </si>
  <si>
    <t>LAREDO</t>
  </si>
  <si>
    <t>LAUREL COUNTY CORRECTIONAL CENTER</t>
  </si>
  <si>
    <t>440 HAMMOCK ROAD</t>
  </si>
  <si>
    <t>LONDON</t>
  </si>
  <si>
    <t>LAWRENCE COUNTY</t>
  </si>
  <si>
    <t>80 SHERMAN STREET</t>
  </si>
  <si>
    <t>DEADWOOD</t>
  </si>
  <si>
    <t>SD</t>
  </si>
  <si>
    <t>LEAVENWORTH US PENITENTIARY</t>
  </si>
  <si>
    <t>1300 METROPOLITAN AVE.</t>
  </si>
  <si>
    <t>LEAVENWORTH</t>
  </si>
  <si>
    <t>LEXINGTON COUNTY JAIL</t>
  </si>
  <si>
    <t>521 GIBSON ROAD</t>
  </si>
  <si>
    <t>SC</t>
  </si>
  <si>
    <t>LIMESTONE COUNTY DETENTION CENTER</t>
  </si>
  <si>
    <t>910 NORTH TYUS STREET</t>
  </si>
  <si>
    <t>GROESBECK</t>
  </si>
  <si>
    <t>LINCOLN COUNTY JAIL</t>
  </si>
  <si>
    <t>3020 N JEFFERS</t>
  </si>
  <si>
    <t>NORTH PLATTE</t>
  </si>
  <si>
    <t>LINN COUNTY JAIL</t>
  </si>
  <si>
    <t>53 3RD AVENUE BRIDGE</t>
  </si>
  <si>
    <t>CEDAR RAPIDS</t>
  </si>
  <si>
    <t>LOGAN COUNTY JAIL</t>
  </si>
  <si>
    <t>216 S BROAD ST</t>
  </si>
  <si>
    <t>GUTHRIE</t>
  </si>
  <si>
    <t>LOUISIANA ICE PROCESSING</t>
  </si>
  <si>
    <t>18198 TUNICA TRACE BLDG E</t>
  </si>
  <si>
    <t>ANGOLA</t>
  </si>
  <si>
    <t>110 FIFTH AVENUE</t>
  </si>
  <si>
    <t>YOUNGSTOWN</t>
  </si>
  <si>
    <t>MARION COUNTY JAIL</t>
  </si>
  <si>
    <t>695 JUSTICE WAY</t>
  </si>
  <si>
    <t>INDIANAPOLIS</t>
  </si>
  <si>
    <t>MARTIN COUNTY JAIL</t>
  </si>
  <si>
    <t>800 SOUTHEAST MONTEREY ROAD</t>
  </si>
  <si>
    <t>STUART</t>
  </si>
  <si>
    <t>MCCOOK ICE IGSA</t>
  </si>
  <si>
    <t>2309 N HIGHWAY 83</t>
  </si>
  <si>
    <t>MCCOOK</t>
  </si>
  <si>
    <t>MESA VERDE ICE PROCESSING CENTER</t>
  </si>
  <si>
    <t>425 GOLDEN STATE AVE</t>
  </si>
  <si>
    <t>BAKERSFIELD</t>
  </si>
  <si>
    <t>3038 WEST 850 SOUTH P.O. BOX 900</t>
  </si>
  <si>
    <t>BUNKERHILL</t>
  </si>
  <si>
    <t>MIAMI FEDERAL DETENTION</t>
  </si>
  <si>
    <t>33 NE 4 STREET</t>
  </si>
  <si>
    <t>MIAMI STAGING FACILITY</t>
  </si>
  <si>
    <t>UNAVAILABLE</t>
  </si>
  <si>
    <t>MILLER COUNTY JAIL</t>
  </si>
  <si>
    <t>2300 EAST STREET</t>
  </si>
  <si>
    <t>TEXARKANA</t>
  </si>
  <si>
    <t>AR</t>
  </si>
  <si>
    <t>MINICASSIA DETENTION CENTER</t>
  </si>
  <si>
    <t>1415 ALBION AVENUE</t>
  </si>
  <si>
    <t>BURLEY</t>
  </si>
  <si>
    <t>MINNEHAHA COUNTY JAIL</t>
  </si>
  <si>
    <t>500 NORTH MINNESOTA AVENUE</t>
  </si>
  <si>
    <t>SIOUX FALLS</t>
  </si>
  <si>
    <t>7000 EAST DUNBAR ROAD</t>
  </si>
  <si>
    <t>MONROE</t>
  </si>
  <si>
    <t>MONTGOMERY COUNTY JAIL</t>
  </si>
  <si>
    <t>PARK STREET</t>
  </si>
  <si>
    <t>FONDA</t>
  </si>
  <si>
    <t>MONTGOMERY ICE PROCESSING CENTER</t>
  </si>
  <si>
    <t>806 HILBIG RD</t>
  </si>
  <si>
    <t>555 GEO DRIVE</t>
  </si>
  <si>
    <t>PHILIPSBURG</t>
  </si>
  <si>
    <t>MUSCATINE COUNTY JAIL</t>
  </si>
  <si>
    <t>400 WALNUT STREET</t>
  </si>
  <si>
    <t>MUSCATINE</t>
  </si>
  <si>
    <t>NASSAU COUNTY CORRECTIONAL CENTER</t>
  </si>
  <si>
    <t>100 CARMAN AVENUE</t>
  </si>
  <si>
    <t>EAST MEADOW</t>
  </si>
  <si>
    <t>NATRONA COUNTY JAIL</t>
  </si>
  <si>
    <t>1100 BRUCE LANE</t>
  </si>
  <si>
    <t>CASPER</t>
  </si>
  <si>
    <t>NEVADA SOUTHERN DETENTION CENTER</t>
  </si>
  <si>
    <t>2190 EAST MESQUITE AVENUE</t>
  </si>
  <si>
    <t>PAHRUMP</t>
  </si>
  <si>
    <t>NEW HANOVER COUNTY JAIL</t>
  </si>
  <si>
    <t>3950 JUVENILE RD</t>
  </si>
  <si>
    <t>CASTLE HAYNE</t>
  </si>
  <si>
    <t>NC</t>
  </si>
  <si>
    <t>NIAGARA COUNTY JAIL</t>
  </si>
  <si>
    <t>5526 NIAGARA STREET EXTENTION</t>
  </si>
  <si>
    <t>LOCKPORT</t>
  </si>
  <si>
    <t>1805 W 32ND ST</t>
  </si>
  <si>
    <t>BALDWIN</t>
  </si>
  <si>
    <t>NORTHEAST OHIO CORRECTIONAL CENTER</t>
  </si>
  <si>
    <t>2240 HUBBARD ROAD</t>
  </si>
  <si>
    <t>NORTHERN REGIONAL JAIL</t>
  </si>
  <si>
    <t>RD. 2, BOX 1</t>
  </si>
  <si>
    <t>MOUNDSVILLE</t>
  </si>
  <si>
    <t>NORTHWEST ICE PROCESSSING CENTER</t>
  </si>
  <si>
    <t>1623 E. J STREET</t>
  </si>
  <si>
    <t>TACOMA</t>
  </si>
  <si>
    <t>WA</t>
  </si>
  <si>
    <t>NORTHWEST REGIONAL CORRECTIONS CENTER</t>
  </si>
  <si>
    <t>816 MARIN AVE., SUITE 110</t>
  </si>
  <si>
    <t>CROOKSTON</t>
  </si>
  <si>
    <t>NORTHWEST STATE CORRECTIONAL CENTER</t>
  </si>
  <si>
    <t>3649 LOWER NEWTON ROAD</t>
  </si>
  <si>
    <t>SWANTON</t>
  </si>
  <si>
    <t>OLDHAM COUNTY DETENTION CENTER</t>
  </si>
  <si>
    <t>3405 W HWY 146</t>
  </si>
  <si>
    <t>LA GRANGE</t>
  </si>
  <si>
    <t>ORANGE COUNTY JAIL (FL)</t>
  </si>
  <si>
    <t>3855 SOUTH JOHN YOUNG PARKWAY</t>
  </si>
  <si>
    <t>ORLANDO</t>
  </si>
  <si>
    <t>ORANGE COUNTY JAIL (NY)</t>
  </si>
  <si>
    <t>110 WELLS FARM ROAD</t>
  </si>
  <si>
    <t>GOSHEN</t>
  </si>
  <si>
    <t>7488 CALZADA DE LA FUENTE</t>
  </si>
  <si>
    <t>SAN DIEGO</t>
  </si>
  <si>
    <t>OTERO COUNTY PROCESSING CENTER</t>
  </si>
  <si>
    <t>26 MCGREGOR RANGE ROAD</t>
  </si>
  <si>
    <t>CHAPARRAL</t>
  </si>
  <si>
    <t>OZARK COUNTY SHERIFF'S OFFICE</t>
  </si>
  <si>
    <t>1818 COUNTY ROAD 806</t>
  </si>
  <si>
    <t>GAINESVILLE</t>
  </si>
  <si>
    <t>PENNINGTON COUNTY JAIL (SOUTH DAKOTA)</t>
  </si>
  <si>
    <t>300 KANSAS CITY STREET NONE</t>
  </si>
  <si>
    <t>RAPID CITY</t>
  </si>
  <si>
    <t>PHELPS COUNTY JAIL (MO)</t>
  </si>
  <si>
    <t>301 W. 2ND</t>
  </si>
  <si>
    <t>ROLLA</t>
  </si>
  <si>
    <t>PHELPS COUNTY JAIL (NE)</t>
  </si>
  <si>
    <t>715 5TH AVENUE</t>
  </si>
  <si>
    <t>HOLDREGE</t>
  </si>
  <si>
    <t>PICKENS COUNTY DETENTION CENTER</t>
  </si>
  <si>
    <t>188 CEMETERY ST</t>
  </si>
  <si>
    <t>CARROLLTON</t>
  </si>
  <si>
    <t>PIKE COUNTY JAIL</t>
  </si>
  <si>
    <t>175 PIKE COUNTY BOULEVARD</t>
  </si>
  <si>
    <t>LORDS VALLEY</t>
  </si>
  <si>
    <t>1133 HAMPTON DUPRE ROAD</t>
  </si>
  <si>
    <t>PINE PRAIRIE</t>
  </si>
  <si>
    <t>PINELLAS COUNTY JAIL</t>
  </si>
  <si>
    <t>14400 49TH STREET NORTH</t>
  </si>
  <si>
    <t>CLEARWATER</t>
  </si>
  <si>
    <t>PLATTE COUNTY JAIL</t>
  </si>
  <si>
    <t>850 MAPLE STREET</t>
  </si>
  <si>
    <t>WHEATLAND</t>
  </si>
  <si>
    <t>PLYMOUTH COUNTY CORRECTIONAL FACILITY</t>
  </si>
  <si>
    <t>26 LONG POND ROAD</t>
  </si>
  <si>
    <t>PLYMOUTH</t>
  </si>
  <si>
    <t>MA</t>
  </si>
  <si>
    <t>POLK COUNTY JAIL</t>
  </si>
  <si>
    <t>1985 NE 51ST PLACE</t>
  </si>
  <si>
    <t>DES MOINES</t>
  </si>
  <si>
    <t>PORT ISABEL SPC</t>
  </si>
  <si>
    <t>27991 BUENA VISTA BOULEVARD</t>
  </si>
  <si>
    <t>LOS FRESNOS</t>
  </si>
  <si>
    <t>POTTAWATTAMIE COUNTY JAIL</t>
  </si>
  <si>
    <t>1400 BIG LAKE ROAD</t>
  </si>
  <si>
    <t>COUNCIL BLUFFS</t>
  </si>
  <si>
    <t>1209 SUNFLOWER LN</t>
  </si>
  <si>
    <t>ALVARADO</t>
  </si>
  <si>
    <t>PUTNAM COUNTY SHERIFF</t>
  </si>
  <si>
    <t>421 E SPRING ST.</t>
  </si>
  <si>
    <t>COOKEVILLE</t>
  </si>
  <si>
    <t>RICHWOOD CORRECTIONAL CENTER</t>
  </si>
  <si>
    <t>180 PINE BAYOU CIRCLE</t>
  </si>
  <si>
    <t>RIO GRANDE DETENTION CENTER</t>
  </si>
  <si>
    <t>1001 SAN RIO BOULEVARD</t>
  </si>
  <si>
    <t>RIVER CORRECTIONAL CENTER</t>
  </si>
  <si>
    <t>26362 HIGHWAY 15</t>
  </si>
  <si>
    <t>FERRIDAY</t>
  </si>
  <si>
    <t>RIVERSIDE REGIONAL JAIL</t>
  </si>
  <si>
    <t>1000 RIVER ROAD</t>
  </si>
  <si>
    <t>HOPEWELL</t>
  </si>
  <si>
    <t>ROANOKE CITY JAIL</t>
  </si>
  <si>
    <t>340 CAMPBELL AVENUE SOUTHWEST</t>
  </si>
  <si>
    <t>ROANOKE</t>
  </si>
  <si>
    <t>ROBERT A DEYTON DETENTION FACILITY</t>
  </si>
  <si>
    <t>11866 HASTINGS BRIDGE ROAD P.O. BOX 429</t>
  </si>
  <si>
    <t>LOVEJOY</t>
  </si>
  <si>
    <t>ROCKINGHAM COUNTY JAIL</t>
  </si>
  <si>
    <t>25 SOUTH LIBERTY STREET</t>
  </si>
  <si>
    <t>HARRISONBURG</t>
  </si>
  <si>
    <t>SAIPAN DEPARTMENT OF CORRECTIONS (SUSUPE)</t>
  </si>
  <si>
    <t>VICENTE T. SEMAN BLDG, CIVIC CENTER</t>
  </si>
  <si>
    <t>SAIPAN</t>
  </si>
  <si>
    <t>MP</t>
  </si>
  <si>
    <t>SALT LAKE COUNTY METRO JAIL</t>
  </si>
  <si>
    <t>3415 SOUTH 900 WEST</t>
  </si>
  <si>
    <t>SALT LAKE CITY</t>
  </si>
  <si>
    <t>SAN DIEGO DISTRICT STAGING</t>
  </si>
  <si>
    <t>US INS DETENTION &amp; DEPORTATION</t>
  </si>
  <si>
    <t>SAN JUAN STAGING</t>
  </si>
  <si>
    <t>651 FEDERAL DRIVE, SUITE 104</t>
  </si>
  <si>
    <t>GUAYNABO</t>
  </si>
  <si>
    <t>PR</t>
  </si>
  <si>
    <t>SAN LUIS REGIONAL DETENTION CENTER</t>
  </si>
  <si>
    <t>406 NORTH AVENUE D</t>
  </si>
  <si>
    <t>SAN LUIS</t>
  </si>
  <si>
    <t>SARPY COUNTY JAIL</t>
  </si>
  <si>
    <t>1208 GOLDEN GATE DRIVE</t>
  </si>
  <si>
    <t>PAPILLION</t>
  </si>
  <si>
    <t>SAUK COUNTY SHERIFF</t>
  </si>
  <si>
    <t>1300 LANGE CT.</t>
  </si>
  <si>
    <t>BARABOO</t>
  </si>
  <si>
    <t>SCOTT COUNTY DET. FACILITY</t>
  </si>
  <si>
    <t>416 W 4TH ST</t>
  </si>
  <si>
    <t>DAVENPORT</t>
  </si>
  <si>
    <t>SEBASTIAN COUNTY DETENTION CENTER</t>
  </si>
  <si>
    <t>801 SOUTH A STREET</t>
  </si>
  <si>
    <t>FORT SMITH</t>
  </si>
  <si>
    <t>SENECA COUNTY JAIL</t>
  </si>
  <si>
    <t>3040 SOUTH STATE HIGHWAY 100</t>
  </si>
  <si>
    <t>TIFFIN</t>
  </si>
  <si>
    <t>SHERBURNE COUNTY JAIL</t>
  </si>
  <si>
    <t>13880 BUSINESS CENTER DRIVE</t>
  </si>
  <si>
    <t>ELK RIVER</t>
  </si>
  <si>
    <t>SIOUX COUNTY JAIL</t>
  </si>
  <si>
    <t>4363 IRONWOOD AVENUE</t>
  </si>
  <si>
    <t>ORANGE CITY</t>
  </si>
  <si>
    <t>SOUTH CENTRAL REGIONAL JAIL</t>
  </si>
  <si>
    <t>1001 CENTER WAY</t>
  </si>
  <si>
    <t>CHARLESTON</t>
  </si>
  <si>
    <t>SOUTH LOUISIANA ICE PROCESSING CENTER</t>
  </si>
  <si>
    <t>3843 STAGG AVENUE</t>
  </si>
  <si>
    <t>BASILE</t>
  </si>
  <si>
    <t>566 VETERANS DRIVE</t>
  </si>
  <si>
    <t>PEARSALL</t>
  </si>
  <si>
    <t>ST. CLAIR COUNTY JAIL</t>
  </si>
  <si>
    <t>1170 MICHIGAN ROAD</t>
  </si>
  <si>
    <t>PORT HURON</t>
  </si>
  <si>
    <t>STE. GENEVIEVE COUNTY SHERIFF/JAIL</t>
  </si>
  <si>
    <t>5 BASLER DR.</t>
  </si>
  <si>
    <t>STE. GENEVIEVE</t>
  </si>
  <si>
    <t>146 CCA ROAD</t>
  </si>
  <si>
    <t>LUMPKIN</t>
  </si>
  <si>
    <t>STRAFFORD COUNTY CORRECTIONS</t>
  </si>
  <si>
    <t>266 COUNTY FARM ROAD</t>
  </si>
  <si>
    <t>DOVER</t>
  </si>
  <si>
    <t>SWEETWATER COUNTY JAIL</t>
  </si>
  <si>
    <t>50140 UNITED STATES HIGHWAY 191 SOUTH</t>
  </si>
  <si>
    <t>ROCK SPRINGS</t>
  </si>
  <si>
    <t>1001 WELCH STREET</t>
  </si>
  <si>
    <t>TAYLOR</t>
  </si>
  <si>
    <t>TOOELE COUNTY JAIL</t>
  </si>
  <si>
    <t>47 SOUTH MAIN STREET</t>
  </si>
  <si>
    <t>TOOELE</t>
  </si>
  <si>
    <t>TORRANCE/ESTANCIA, NM</t>
  </si>
  <si>
    <t>209 COUNTY ROAD 49</t>
  </si>
  <si>
    <t>ESTANCIA</t>
  </si>
  <si>
    <t>TULSA COUNTY JAIL (DAVID L. MOSS JUSTICE CTR)</t>
  </si>
  <si>
    <t>300 NORTH DENVER AVENUE</t>
  </si>
  <si>
    <t>TULSA</t>
  </si>
  <si>
    <t>TURNER GUILFORD KNIGHT (TGK) JAIL</t>
  </si>
  <si>
    <t>7000 NW 41ST ST.</t>
  </si>
  <si>
    <t>TWO BRIDGES REGIONAL JAIL</t>
  </si>
  <si>
    <t>522 BATH RD</t>
  </si>
  <si>
    <t>WISCASSET</t>
  </si>
  <si>
    <t>UINTA COUNTY JAIL</t>
  </si>
  <si>
    <t>77 COUNTY ROAD 109</t>
  </si>
  <si>
    <t>EVANSTON</t>
  </si>
  <si>
    <t>VICTORIA COUNTY JAIL</t>
  </si>
  <si>
    <t>101 NORTH GLASS STREET</t>
  </si>
  <si>
    <t>VICTORIA</t>
  </si>
  <si>
    <t>WALTON COUNTY JAIL</t>
  </si>
  <si>
    <t>40 SHERIFF CIR</t>
  </si>
  <si>
    <t>DEFUNIAK SPRINGS</t>
  </si>
  <si>
    <t>WARD COUNTY JAIL</t>
  </si>
  <si>
    <t>P.O. BOX 907</t>
  </si>
  <si>
    <t>MINOT</t>
  </si>
  <si>
    <t>WASHINGTON COUNTY DETENTION CENTER</t>
  </si>
  <si>
    <t>1155 WEST CLYDESDALE DRIVE</t>
  </si>
  <si>
    <t>FAYETTEVILLE</t>
  </si>
  <si>
    <t>WASHINGTON COUNTY JAIL (PURGATORY CORRECTIONAL FACILITY)</t>
  </si>
  <si>
    <t>750 SOUTH 5300 WEST</t>
  </si>
  <si>
    <t>HURRICANE</t>
  </si>
  <si>
    <t>WASHOE COUNTY JAIL</t>
  </si>
  <si>
    <t>911 PARR BLVD 775 328 3308</t>
  </si>
  <si>
    <t>RENO</t>
  </si>
  <si>
    <t>WAUKESHA COUNTY JAIL</t>
  </si>
  <si>
    <t>515 WEST MORELAND</t>
  </si>
  <si>
    <t>WAUKESHA</t>
  </si>
  <si>
    <t>WEBB COUNTY DETENTION CENTER (CCA)</t>
  </si>
  <si>
    <t>9998 SOUTH HIGHWAY 83</t>
  </si>
  <si>
    <t>WEBER COUNTY JAIL</t>
  </si>
  <si>
    <t>721 WEST 12TH STREET</t>
  </si>
  <si>
    <t>OGDEN</t>
  </si>
  <si>
    <t>WESTERN TENNESSEE DETENTION FACILITY</t>
  </si>
  <si>
    <t>6299 FINDE NAIFEH DRIVE</t>
  </si>
  <si>
    <t>MASON</t>
  </si>
  <si>
    <t>WESTERN VIRGINIA REGIONAL JAIL</t>
  </si>
  <si>
    <t>5885 W RIVER RD</t>
  </si>
  <si>
    <t>SALEM</t>
  </si>
  <si>
    <t>560 GUM SPRING ROAD</t>
  </si>
  <si>
    <t>WINNFIELD</t>
  </si>
  <si>
    <t>WOODBURY COUNTY JAIL</t>
  </si>
  <si>
    <t>407 7TH STREET</t>
  </si>
  <si>
    <t>SIOUX CITY</t>
  </si>
  <si>
    <t>WYATT DETENTION CENTER</t>
  </si>
  <si>
    <t>950 HIGH STREET</t>
  </si>
  <si>
    <t>CENTRAL FALLS</t>
  </si>
  <si>
    <t>RI</t>
  </si>
  <si>
    <r>
      <rPr>
        <b/>
        <sz val="18"/>
        <color theme="4" tint="-0.499984740745262"/>
        <rFont val="Calibri"/>
        <charset val="134"/>
        <scheme val="minor"/>
      </rPr>
      <t>U.S. Immigration and Customs Enforcement</t>
    </r>
    <r>
      <rPr>
        <b/>
        <sz val="20"/>
        <color theme="4" tint="-0.499984740745262"/>
        <rFont val="Calibri"/>
        <charset val="134"/>
        <scheme val="minor"/>
      </rPr>
      <t xml:space="preserve">
</t>
    </r>
    <r>
      <rPr>
        <sz val="9"/>
        <color theme="4" tint="-0.499984740745262"/>
        <rFont val="Calibri"/>
        <charset val="134"/>
        <scheme val="minor"/>
      </rPr>
      <t xml:space="preserve">This Segregation Review Management System (SRMS) data represents the total number of unique individuals who served one or more days in segregation during the calendar month, per the reporting requirements detailed in ICE Policy 11065.1: Review of the Use of Segregation for ICE Detainees. </t>
    </r>
  </si>
  <si>
    <t>October 2025</t>
  </si>
  <si>
    <t>Facilities</t>
  </si>
  <si>
    <t>Placement Count</t>
  </si>
  <si>
    <t>Grand Total</t>
  </si>
  <si>
    <t xml:space="preserve">Definition for Vulnerable and Special Populations </t>
  </si>
  <si>
    <t xml:space="preserve">U.S. Immigration and Customs Enforcement (ICE) Enforcement and Removal Operations (ERO) is providing segregation data involving vulnerable and special populations based on the special vulnerabilities currently captured in ERO’s Segregation Review Management System (SRMS). This population includes: those who have a serious mental or medical illness; are conducting a hunger strike; are on suicide watch; or who may be susceptible to harm in general population due in part to how others interpret or assume their sexual orientation, or sexual presentation or expression based on outward characteristics, behavior, appearance. 
SRMS captures segregation placements as reported by each of the ERO field offices. Consistent with ERO Policy 24002: Review of the Use of Special Management Units for ICE Detainees (Dec. 6, 2024), all segregation placements, regardless of the length of time spent in segregation, must be entered/recorded into SRMS. </t>
  </si>
  <si>
    <t>Fiscal Year (FY)  2022 Quarter 2 Data</t>
  </si>
  <si>
    <t>Placement Reason</t>
  </si>
  <si>
    <t>Number of Placements</t>
  </si>
  <si>
    <t>Average Number of Consecutive Days in Segregation</t>
  </si>
  <si>
    <t>Average Number of Cumulative Days in Segregation</t>
  </si>
  <si>
    <t xml:space="preserve"> </t>
  </si>
  <si>
    <t>Disciplinary</t>
  </si>
  <si>
    <t>Facility Security Threat</t>
  </si>
  <si>
    <t>Medical/Mental Health</t>
  </si>
  <si>
    <t>Pending Investigation of Disciplinary Violation</t>
  </si>
  <si>
    <t>Protective Custody</t>
  </si>
  <si>
    <t>* Data represents 281 unique detainees. Some detainees have multiple placements within FY22 Q2 (296 total placements).</t>
  </si>
  <si>
    <t>Fiscal Year (FY) 2022 Quarter 3 Data</t>
  </si>
  <si>
    <t>* Data represents 209 unique detainees. Some detainees have multiple placements within FY22 Q3 (226 total placements).</t>
  </si>
  <si>
    <t>**All Q3 detainees previously under the Hunger Strike/Suicide Watch Placement reason have since had their placement reason updated</t>
  </si>
  <si>
    <t>Fiscal Year (FY) 2022 Quarter 4 Data</t>
  </si>
  <si>
    <t>*Data represents 281 unique detainees. Some detainees have multiple placements within FY22 Q4 (311 total placements).</t>
  </si>
  <si>
    <t>Fiscal Year (FY) 2023 Quarter 1 Data</t>
  </si>
  <si>
    <t>*Data represents 344 unique detainees. Some detainees have multiple placements within FY23 Q1 (377 total placements).</t>
  </si>
  <si>
    <t>Fiscal Year (FY) 2023 Quarter 2 Data</t>
  </si>
  <si>
    <t>*Data represents 335 unique detainees. Some detainees have multiple placements within FY23 Q2 (373 total placements).</t>
  </si>
  <si>
    <t>Fiscal Year (FY) 2023 Quarter 3 Data</t>
  </si>
  <si>
    <t>*Data represents 358 unique detainees. Some detainees have multiple placements within FY23 Q3 (418 total placements).</t>
  </si>
  <si>
    <t>Fiscal Year (FY) 2023 Quarter 4 Data</t>
  </si>
  <si>
    <t>*Data represents 288 unique detainees. Some detainees have multiple placements within FY23 Q4 (351 total placements).</t>
  </si>
  <si>
    <t>Fiscal Year (FY) 2024 Quarter 1 Data</t>
  </si>
  <si>
    <t>*Data represents 431 unique detainees. Some detainees have multiple placements within FY24 Q1 (497 total placements).</t>
  </si>
  <si>
    <t>Fiscal Year (FY) 2024 Quarter 2 Data</t>
  </si>
  <si>
    <t>Medical Mental</t>
  </si>
  <si>
    <t>*Data represents 351 unique detainees. Some detainees have multiple placements within FY24 Q2 (391 total placements).</t>
  </si>
  <si>
    <t>Fiscal Year (FY) 2024 Quarter 3 Data</t>
  </si>
  <si>
    <t>*Data represents 414 unique detainees. Some detainees have multiple placements within FY24 Q3 (446 total placements).</t>
  </si>
  <si>
    <t>Fiscal Year (FY) 2024 Quarter 4 Data</t>
  </si>
  <si>
    <t>*Data represents 469 unique detainees. Some detainees have multiple placements within FY24 Q4 (545 total placements).</t>
  </si>
  <si>
    <t>Fiscal Year (FY) 2025 Quarter 1 Data</t>
  </si>
  <si>
    <t>*Data represents 401 unique detainees. Some detainees have multiple placements within FY25 Q1 (475 total placements).</t>
  </si>
  <si>
    <t>Fiscal Year (FY) 2025 Quarter 2 Data</t>
  </si>
  <si>
    <t>*Data represents 425 unique detainees. Some detainees have multiple placements within FY25 Q2 (490 total placements).</t>
  </si>
  <si>
    <t>Fiscal Year (FY) 2025 Quarter 3 Data</t>
  </si>
  <si>
    <t>*Data represents 432 unique detainees. Some detainees have multiple placements within FY25 Q3 (566 total placements).</t>
  </si>
  <si>
    <t>The Basis for Any Use of Facility-Initiated Segregation</t>
  </si>
  <si>
    <t xml:space="preserve">Consistent with ICE detention standards and ICE Policy 11065.1: Review of the Use of Segregation for ICE Detainees, a detainee may be placed into a Special Management Unit (SMU), with either an Administrative Segregation designation for detainees segregated for administrative reasons or a Disciplinary Segregation designation for detainees segregated for disciplinary reasons.  Administrative segregation is provided for detainees who request or need protective custody or who present an immediate, significant threat to the safety, security, or good order of the facility. Disciplinary segregation is used only after a finding by a disciplinary hearing panel that the detainee is guilty of a prohibited act or rule violation.  Disciplinary segregation only serves to regulate the detainee’s behavior and is imposed for a maximum of 30 days per incident, except in extraordinary circumstances.  ICE is required to periodically review these extraordinary cases to determine whether continued detention in disciplinary segregation is warranted.  
Segregation placements are not made solely based upon the presence of a special vulnerability. Placement of detainees in segregation requires careful consideration of alternatives, and administrative segregation placements for a special vulnerability should be used only as a last resort. Representatives from the ICE Health Service Corps (IHSC), Field Operations, and the Office of Principal Legal Advisor coordinate to conduct a weekly review of cases of detainees with mental and medical illnesses and to evaluate whether their current housing placement is appropriate. Headquarters personnel provide guidance to field office leadership, and in coordination with IHSC, may help facilitate the transfer of identified cases to other locations better suited to their individual needs, when applicable.
Please note that the SRMS only reflects the most recent placement reason for that segregation placement. It is possible that the segregation reason changed at some point during the segregation stay. </t>
  </si>
  <si>
    <t xml:space="preserve">The Process for and Frequency of Re-Evaluating Custody Decisions </t>
  </si>
  <si>
    <t xml:space="preserve">The Segregation Directive is intended to complement the requirements set forth by the national detention standards and other applicable ICE policies. Per the 2011 ICE Performance-Based National Detention Standards (revised 2016):
•	A supervisor shall conduct a review within 72 hours of the detainee’s placement in administrative segregation to determine whether segregation is still warranted. A supervisor shall conduct an identical review after the detainee has spent seven days in administrative segregation, and every week thereafter, for the first 30 days and every 10 days thereafter, at a minimum.
•	The facility administrator shall review the status of a detainee in disciplinary segregation after the first 30 days of segregation, and each 30 days thereafter, to determine whether continued detention in disciplinary segregation is warranted.
•	A multi-disciplinary committee of facility staff, including facility leadership, medical and mental health professionals, and security staff, shall meet weekly to review all detainees currently housed in the facility’s SMU. During the meeting, the committee shall review each detainee individually to ensure all staff are aware of the detainee’s status, current behavior, and physical and mental health, and to consider whether any change in status is appropriate.
ERO provides several levels of oversight of ICE’s SMUs to ensure detainees in ICE custody reside in safe, secure, and humane environments, and under appropriate conditions of confinement. 
•	All ICE-approved detention facilities are inspected by a third-party inspection team to ensure the applicable detention standards are met. 
•	ICE Headquarters personnel conduct daily reviews of segregation cases within SRMS to ensure compliance with applicable policy and detention standards. 
•	Representatives from ERO Custody Management, IHSC, Field Operations, and the Office of Principal Legal Advisor conduct a weekly review of cases in which detainees suffer from mental and medical illnesses and to evaluate whether their current housing placement is appropriate. 
•	ICE utilizes Detention Service Managers who are imbedded within the various field offices and whose sole function is to provide daily detention standard oversight and to conduct on-going reviews of all aspects of the detention operations.  
•	ICE’s Office of Professional Responsibility (OPR) conducts independent reviews of ICE ERO’s segregation practices through its facility compliance inspections and oversight of the Self-Inspection Program. Specifically, ICE OPR reviews facility segregation issues during their facility compliance inspections, compares those findings with case management records, and brings any discrepancies to the attention of facility management, the local ICE ERO field office personnel, and ICE Headquarters.  
</t>
  </si>
  <si>
    <t>ICE FOOTNOTES</t>
  </si>
  <si>
    <t>Term</t>
  </si>
  <si>
    <t>Definition</t>
  </si>
  <si>
    <t>ADP</t>
  </si>
  <si>
    <t>Average daily population</t>
  </si>
  <si>
    <t>Average length in program</t>
  </si>
  <si>
    <t>ALOS</t>
  </si>
  <si>
    <t>Average length of stay</t>
  </si>
  <si>
    <t>Area of Responsibility</t>
  </si>
  <si>
    <t>ATD</t>
  </si>
  <si>
    <t>Alternatives to Detention</t>
  </si>
  <si>
    <t>Bonded Out-FO</t>
  </si>
  <si>
    <t>An alien is bonded out due to decision by the Field Office</t>
  </si>
  <si>
    <t>Bonded Out-IJ</t>
  </si>
  <si>
    <t>An alien is bonded out due to decision by the Immigration Judge</t>
  </si>
  <si>
    <t>Customs and Border Protection</t>
  </si>
  <si>
    <t>Classification Level (ADP)</t>
  </si>
  <si>
    <t xml:space="preserve">Upon admission and periodically thereafter, detainees are categorized into a security level based on a variety of public safety factors, and are housed accordingly.  Factors include prior convictions, threat risk, disciplinary record, special vulnerabilities, and special management concerns.  Detainees are categorized into one of four classes of security risk: A/low, B/medium low, C/medium high, and D/high.  </t>
  </si>
  <si>
    <t>Credible Fear</t>
  </si>
  <si>
    <t xml:space="preserve">A finding by USCIS or an Immigration Judge that, taking into account the credibility of the statements made by the alien in support of the alien’s claim and such other facts as are known to the interviewing USCIS officer or Immigration Judge, there is a significant possibility that alien could establish eligibility for asylum under INA § 208, withholding of removal under INA § 241(B)(3), or protection from removal under the convention against torture. </t>
  </si>
  <si>
    <t>FCMP</t>
  </si>
  <si>
    <t>Family Case Management Program</t>
  </si>
  <si>
    <t>Facilities Adhering to ICE Performance Based National Detention Standards (PBNDS2011, PBNDS 2008, and NDS 2019)</t>
  </si>
  <si>
    <t>Meets Standards: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t>
  </si>
  <si>
    <t>Does Not Meet Standards: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t>
  </si>
  <si>
    <t>Facilities Adhering to ICE National Detention Standards (NDS) 2000:</t>
  </si>
  <si>
    <t xml:space="preserve">Acceptable: The facility’s detention functions are being adequately performed. Although deficiencies may be found, they do not detract from the acceptable accomplishment of vital functions or from the delivery of care and well-being for ICE detainees. Internal controls are in place and appropriate corrective actions to resolve deficiencies can be implemented. </t>
  </si>
  <si>
    <t xml:space="preserve">Deficient: The facility’s detention functions are not being performed at a “meets standards” level. Internal controls are weak, thus resulting in serious deficiencies in one or more program areas. Detention operations may be impaired to the point that the facility is not presently accomplishing vital functions. Internal controls are insufficient to reasonably assure acceptable performance can be expected in the near future. </t>
  </si>
  <si>
    <t>Family Unit</t>
  </si>
  <si>
    <t xml:space="preserve">Aliens identified as part of family unit are measured based off the Case Family Status of Intact and Intact-Reunified for that alien.  This includes those aliens identified as a family member by either CBP and/or ICE. Designation as a Family Unit member does not imply that all members of the family unit were removed. </t>
  </si>
  <si>
    <t>GPS</t>
  </si>
  <si>
    <t>Global positioning system tracking device</t>
  </si>
  <si>
    <t>Head of Household</t>
  </si>
  <si>
    <t>Parent or legal guardian of a non-U.S. citizen child or children under the age of 18.</t>
  </si>
  <si>
    <t xml:space="preserve">Immigration and Customs Enforcement </t>
  </si>
  <si>
    <t>ICE Threat Level (ADP)</t>
  </si>
  <si>
    <t>The average daily population by ICE Threat Level. Threat level is determined by the criminality of a detainee, including the recency of the criminal behavior and its severity. A detainee can be graded on a scale of one to three with one being the highest severity. If a detainee has no criminal convictions, he/she will be classified as “No ICE Threat Level.”</t>
  </si>
  <si>
    <t>Inspection Ratings</t>
  </si>
  <si>
    <t>ICE detention facilities are inspected and rated using a Pass/Fail grading system. Annual or biennial inspections, which measure a facility’s program performance and compliance to ICE detention standards over time, will result in ratings.</t>
  </si>
  <si>
    <t>Last Inspection Date</t>
  </si>
  <si>
    <t>The date the facility was last inspected.</t>
  </si>
  <si>
    <t>Last Inspection Rating-Final</t>
  </si>
  <si>
    <t>The most recent finalized inspection rating the facility received.</t>
  </si>
  <si>
    <t>The inspection standard the facility was last inspected against.</t>
  </si>
  <si>
    <t>This indicates the gender(s) of detainees at a facility. M indicates male population, and F indicates female population. Where limited data is available, the default value is M, F.</t>
  </si>
  <si>
    <t>Mandatory (ADP)</t>
  </si>
  <si>
    <t>The average daily population of detainees who are subject to mandatory detention.</t>
  </si>
  <si>
    <t xml:space="preserve">A pre-final order alien is released because he/she is not a detention priority. </t>
  </si>
  <si>
    <t>Order of Supervision-No SLRFF</t>
  </si>
  <si>
    <t xml:space="preserve">A final order alien is released because the Field Office is unable to obtain a travel document. </t>
  </si>
  <si>
    <t xml:space="preserve">A final order alien is released because the field office is unable to obtain a travel document.  </t>
  </si>
  <si>
    <t>Second to Last Inspection Standard</t>
  </si>
  <si>
    <t>The inspection standard the facility was inspected against during the second to the last inspection.</t>
  </si>
  <si>
    <t>Second to Last Rating</t>
  </si>
  <si>
    <t>The final inspection rating a facility received after the second to last inspection.</t>
  </si>
  <si>
    <t>Second to Last Inspection Date</t>
  </si>
  <si>
    <t>The second to last date the facility was inspected.</t>
  </si>
  <si>
    <t>SmartLink</t>
  </si>
  <si>
    <t>Online tracking device using smart phone or tablet</t>
  </si>
  <si>
    <t>TR</t>
  </si>
  <si>
    <t>Telephonic reporting</t>
  </si>
  <si>
    <t>Type--Detailed</t>
  </si>
  <si>
    <t>ICE holds detainees in several different types of facilities, listed below:</t>
  </si>
  <si>
    <t>BOP (Federal Bureau of Prisons): A facility operated by the Federal Bureau of Prisons</t>
  </si>
  <si>
    <t>DIGSA (Dedicated Intergovernmental Service Agreement): A publicly-owned facility operated by state/local government(s), or private contractors, in which ICE contracts to use all bed space via a Dedicated Intergovernmental Service Agreement; or facilities used by ICE pursuant to Inter-governmental Service Agreements, which house only ICE detainees – typically these are operated by private contractors pursuant to their agreements with local governments.</t>
  </si>
  <si>
    <t>IGSA (Intergovernmental Service Agreement): A publicly-owned facility operated by state/local government(s), or private contractors, in which ICE contracts for bed space via an Intergovernmental Service Agreement; or local jails used by ICE pursuant to Inter-governmental Service Agreements, which house both ICE and non-ICE detainees, typically county prisoners awaiting trial or serving short sentences, but sometimes also USMS prisoners.</t>
  </si>
  <si>
    <t>SPC (Service Processing Center): A facility owned by the government and staffed by a combination of federal and contract employees.</t>
  </si>
  <si>
    <t>USMS (United States Marshals Service): A facility primarily contracted with the USMS for housing of USMS detainees, in which ICE contracts with the USMS for bed space.</t>
  </si>
  <si>
    <t>USMS IGA (USMS Intergovernmental Agreement): A USMS Intergovernmental Agreement in which ICE agrees to utilize an already established US Marshal Service contract.</t>
  </si>
  <si>
    <t>USCIS</t>
  </si>
  <si>
    <t>U.S. Citizenship and Immigration Services</t>
  </si>
  <si>
    <t>FY2019 ICE Alternatives to Detention</t>
  </si>
  <si>
    <t>Family Unit (FAMU) subject apprehensions represent all OPB apprehensions of adults (18 years old and over) with a FAMU classification who were subsequently enrolled in ATD.</t>
  </si>
  <si>
    <t>Average Length in Program is calculated for active participants only.</t>
  </si>
  <si>
    <t>Length of Program = 1/31/2020 ATD Original Start Date +1</t>
  </si>
  <si>
    <t>FY2026 ICE Average Daily Population and ICE Average Length of Stay</t>
  </si>
  <si>
    <t>FY2026 YTD ICE Detention data are updated through 11/29/2025 (IIDS Run Date 12/01/2025; EID as of 11/29/2025).</t>
  </si>
  <si>
    <t>ICE Detention data exclude ORR transfers/facilities, as well as U.S. Marshals Service Prisoners.</t>
  </si>
  <si>
    <t>The Average Daily Population (ADP) is based on MANDAY Count.  A MANDAY is based on whether a SUBJECT is in an ERO detention facility for the midnight count.  For every SUBJECT in a facility for the midnight count, that corresponds to one MANDAY.  The ADP is the number of MANDAYS for a given time period, divided by the number of days in that time period.</t>
  </si>
  <si>
    <t>ADP by Arresting Agency, Month and Criminality : FY2022 YTD criminality is defined in the following manner: 
o 	Convicted Criminal: Immigration Violators with a criminal conviction entered into ICE systems of record at the time of ICE custody.
o 	Pending Criminal Charges: Immigration Violators with pending criminal charges entered into ICE system of record at the time of ICE custody.
o 	Other Immigration Violators:  Immigration Violators without any known or a criminal conviction, or pending charges entered into ICE system of record at the time of ICE custody.</t>
  </si>
  <si>
    <t>Starting in FY2018, ICE defines immigration violators' criminality for Average Length of Stay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</si>
  <si>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</si>
  <si>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Alternatives to Detention, ERO Criminal Alien Program, Detained Docket Control, Detention and Deportation, Law Enforcement Area Response Unit, Mobile Criminal Alien Team, Non-Detained Docket Control, Juvenile, Fugitive Operations, Violent Criminal Alien Section,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value--for user initialization only where the users programs were not updated at the time of the data run.</t>
  </si>
  <si>
    <t>The CBP Arresting Agency includes the following programs:  Border Patrol, Inspections, Inspections-Air, Inspections-Land, and Inspections-Sea.</t>
  </si>
  <si>
    <t xml:space="preserve">Average Length of Stay for Family Residential Centers is determined by including, the length of stay at all facilities during a detention stay that started at an FRC, the detention days that started before the current fiscal year, and only detention days for those released from custody. </t>
  </si>
  <si>
    <t>ICE resumed the use of Family Residential Centers on April 7, 2025. Previously ICE discontinued the use of Family Residential Centers on March 31, 2022.</t>
  </si>
  <si>
    <t>FY2026 and FY2025 ICE Final Book Outs</t>
  </si>
  <si>
    <t>FY2026 YTD ICE Final Book Out data are updated through 11/29/2025 (IIDS Run Date 12/01/2025; EID as of 11/29/2025).</t>
  </si>
  <si>
    <t>FY2024 ICE Final Book Out Data is historic and remains static.</t>
  </si>
  <si>
    <t>In FY2024 ICE began tracking Final Bookouts in lieu of Final Releases due to a change in methodology.</t>
  </si>
  <si>
    <t>All bookouts occurring during ICE detention are reported here.  A bookout may be classified as a final release from ICE custody or an interim bookout which occurs during the detention stay.</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</si>
  <si>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an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</si>
  <si>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FY2026 ICE Removals</t>
  </si>
  <si>
    <t>FY2026 YTD ICE Removals data are updated through 11/29/2025 (IIDS Run Date 12/01/2025; EID as of 11/29/2025).</t>
  </si>
  <si>
    <t>ICE Removal Data Include Returns and Expulsions.  Returns include Voluntary Returns, Voluntary Departures and Withdrawals Under Docket Control.</t>
  </si>
  <si>
    <t>ICE Removals include aliens processed for Expedited Removal (ER) or Voluntary Return (VR) that are turned over to ERO for detention or removal by ICE.  As of May 12, 2023, aliens processed for ER that were turned over from Border Patrol to ICE for removal via ICE Air are also included. Aliens processed for ER and not detained by ERO or VR after June 1st, 2013, and not detained by ERO are primarily processed by Border Patrol. Starting in March 2025, Title 50 Expulsions were tracked as part of the overall ICE removals population. Starting in FY2025, ERs and VRs with no detention but were turned over to ICE for removal will be included.</t>
  </si>
  <si>
    <t xml:space="preserve">Starting in FY2009, ICE began to "lock" removal statistics on October 5th at the end of each fiscal year and counted only the Aliens whose removal or return was already confirmed.  Aliens removed or returned in that fiscal year but not confirmed until after October 5th were excluded from the locked data and thus from ICE statistics.  To ensure an accurate and complete representation of all removals and returns, ICE will include the removals and returns confirmed after October 5th into the next fiscal year.  </t>
  </si>
  <si>
    <t>ICE Currently Detained Population Breakdown</t>
  </si>
  <si>
    <t>ICE National Docket data are a snapshot as of 11/30/2025 (IIDS Run Date 12/01/2025; EID as of 11/30/2025).</t>
  </si>
  <si>
    <t>ICE Detention data excludes ORR transfers/facilities, as well as U.S. Marshals Service Prisoners.</t>
  </si>
  <si>
    <t>Starting in FY2018, ICE defines immigration violators' criminality in the following manner:  
Convicted Criminal:  Immigration violators with a criminal conviction entered into ICE systems of record at the time of the enforcement action. 
Pending Criminal Charges:  Immigration Violators with pending criminal charges entered into ICE system of record at the time of the enforcement action.  
Other Immigration Violators:  Immigration Violators without any known criminal convictions, or pending charges entered into ICE system of record at the time of the enforcement action.</t>
  </si>
  <si>
    <t>Processing dispositions of Other may include, but are not limited to, Aliens processed under Administrative Removal, Visa Waiver Program Removal, Stowaway or Crewmember.</t>
  </si>
  <si>
    <t>A stateless person is someone who, under national laws, does not enjoy citizenship – the legal bond between a government and an individual – in any country.</t>
  </si>
  <si>
    <t>FY2026 ICE Initial Book-Ins</t>
  </si>
  <si>
    <t>FY2026 YTD ICE Book-ins data is updated through 11/29/2025 (IIDS Run Date 12/01/2025; EID as of 11/29/2025).</t>
  </si>
  <si>
    <t>The "ICE" Arresting Agency includes ERO, HSI, and Other programs.</t>
  </si>
  <si>
    <t>ERO Programs include CAP Programs (ERO Criminal Alien Program, Joint Criminal Alien Response Team, Law Enforcement Area Response Units, and Violent Criminal Alien Section, and Other Programs), Fugitive Operations, 287G Program, Detained Docket Control, Non-Detained Docket Control, Mobile Criminal Alien Team, Alternatives to Detention, Detention and Deportation, and Juvenile.</t>
  </si>
  <si>
    <t>HSI Programs include HSI Criminal Arrest Only, Intelligence, Joint Terrorism Task Force, Non-User Fee Investigations, Quick Response Team, and User Fee Investigations.</t>
  </si>
  <si>
    <t>Other Programs include Adjudications, Asylum, and PICS Default Value - for user initialization only; these are included in the CAP Program Counts.</t>
  </si>
  <si>
    <t>USCIS Average Time from USCIS Fear Decision Service Date to ICE Release (In Days) &amp; Aliens with USCIS-Established Fear Decisions in an ICE Detention Facility</t>
  </si>
  <si>
    <t>Aliens Currently in ICE Detention Facilities data are a snapshot as 11/30/2025 (IIDS Run Date 12/01/2025; EID as of 11/30/2025).</t>
  </si>
  <si>
    <t>USCIS provided data containing APSO (Asylum Pre Screening Officer) cases clocked during FY2024 - FY2026.  Data were received on 12/03/2025.</t>
  </si>
  <si>
    <t>Aliens Currently in ICE Detention Facilities and the Average Time from USCIS Fear Decision Service Date to ICE Release are determined by matching the Alien File Numbers in the data provided by USCIS to ICE Detention data.  Data only include Alien File Numbers from the USCIS data that have USCIS Fear Determinations of Persecution Claim Established or Torture Claim Established.  Data only include ICE Detention Stays for which the USCIS Decision Service Date falls on or after the initial book in date of the current detention stay.  ICE Detention Stays for which the Decision Service Date falls before the initial book in or after release are not included.</t>
  </si>
  <si>
    <t>An Aliens Fear Screening Determination cannot be confirmed as directly related to an ICE Detention Stay, even if the USCIS Decision Service Date falls within the ICE Detention Stay.</t>
  </si>
  <si>
    <t>Of the 195,511 records in the USCIS provided data, the breakdown of the fear screening determinations is as follows; 77,434 positive fear screening determinations, 79,892 negative fear screening determinations and 38,185 without an identified determination. Of the 77,434 with positive fear screening determinations; 44,641 have Persecution Claim Established and 32,793 have Torture Claim Established.</t>
  </si>
  <si>
    <t>Aliens Currently in ICE Detention Facilities and the Average Time from USCIS Fear Decision Service Date to ICE Release include detentions not associated with a removal case.</t>
  </si>
  <si>
    <t>The data provided by USCIS contains multiple records for some Alien File Numbers. There are 195,511 unique fear determinations and 17,419 of those have multiple records in the data provided by USCIS. The Alien File Numbers with multiple USCIS records are treated as follows                                          
• If an Alien File Number is associated with both positive and negative fear screening determinations, only the most recent screening is included.
• If an Alien File Number is associated with multiple positive fear determinations and only one ICE Detention Stay, only the determinations for which the USCIS Decision Service Date falls within the detention stay are included.
• If an Alien File Number is associated with multiple positive fear determinations and multiple ICE Detention Stays, all determinations for which the USCIS Decision Service Date falls within an ICE Detention Stay are included.
• If an Alien File Number has multiple positive fear determinations for which the USCIS Decision Service Dates fall within a single ICE Detention Stay, this is counted as a single detention.</t>
  </si>
  <si>
    <t xml:space="preserve">Average Time from USCIS Fear Decision Service Date to ICE Release is calculated from the relevant ICE Detention Stays described above, where the USCIS Decision Service Date for a USCIS Fear Determination of Persecution Claim Established or Torture Claim Established falls within an ICE Detention Stay.  The average time for a fiscal year is the average number of days between the USCIS Decision Service Date and the final release from ICE Custody for that fiscal year.  The fiscal year for an ICE Detention Stay in this metric is the fiscal year in which the Alien was released from ICE Custody. </t>
  </si>
  <si>
    <t xml:space="preserve">ICLOS and Detainees </t>
  </si>
  <si>
    <t xml:space="preserve">ICLOS is the average In Custody Length of Stay and is a calculation of how long a detainee has been in custody at a particular point in time and the formula used for this calculation is Date – Book In Date </t>
  </si>
  <si>
    <t>The four categories the ICLOS and Detainees tab is broken out by are 
•	Adult Facility Individuals
o	Anyone who is in an adult facility and does not have a post determined positive fear claim at the date of the snapshot 
•	FRC Facility Individuals
o	Anyone who is in a family facility and does not have a post determined positive fear claim at the date of the snapshot 
•	Post-Determination for Adult Facility Individuals with Positive Fear Claim
o	Anyone who is in an adult facility and has a post determined positive fear claim at the date of the snapshot 
•	Post-Determination for FRC Facility Individuals with Positive Fear Claim
o	Anyone who is in a family facility and has a post determined positive fear claim at the date of the snapshot</t>
  </si>
  <si>
    <t xml:space="preserve">The mid for each month corresponds to the 15th of the month and end corresponds to the last day of the month. </t>
  </si>
  <si>
    <t>It was assumed that if a positive fear claim happened within five days of the initial book in that it was related to the detention stay. This was to account for the 72-hour transfer period from CBP to a detention facility and to account for additional time due to coronavirus.</t>
  </si>
  <si>
    <t>ICE ICLOS and Detainees Data are updated through 12/02/2025 (IIDS Run Date 12/03/2025; EID as of 12/02/2025).</t>
  </si>
  <si>
    <t>Monthly Bond Statistics</t>
  </si>
  <si>
    <t>FY2025 ICE Final Bookouts data is historic and remains static.</t>
  </si>
  <si>
    <t>In FY2054 ICE began tracking Final Bookouts in lieu of Final Releases due to a change in methodology.  Prior year data reflects ICE Final Releases.</t>
  </si>
  <si>
    <t>Bonded Out, Order of Recognizance, Order of Supervision, and Paroled are ICE Final releases from a detention facility. An Alien can be currently still in IJ proceedings, have an appeal, or awaiting removal.  Processing Disposition Changed Locally: An IJ has terminated the current proceedings at EOIR's discretion, or the case is being re-processed Release to Remove, a Alien was removed/deported from the U.S. directly from an ICE detention facility. Relief Granted by IJ: Alien was granted a benefit by the IJ and released from an ICE detention facility.  Transfer to US Marshalls or Other LEA: Alien was transferred to another Law Enforcement Agency to address other possible criminal activity. Transferred: Transferred to another AOR or facility, etc.</t>
  </si>
  <si>
    <t>ICE Detention data exclude ORR transfers/facilities, and U.S. Marshals Service prisoners.</t>
  </si>
  <si>
    <t>BMU provided data containing Bonds Posted cases recorded from 11/01/2024 - 12/01/2025. Data were received on 12/04/2025.</t>
  </si>
  <si>
    <t xml:space="preserve">Bond Posted Book Outs (%) is calculated by the sum total count of ICE Final Book Outs of the aliens with bond posted divided by the total count of ICE Final Book Outs. </t>
  </si>
  <si>
    <t xml:space="preserve">Bond Posted Releases (%) is calculated by the sum total count of ICE Final Releases of the aliens with bond posted divided by the total count of ICE Final Releases. </t>
  </si>
  <si>
    <t>STU determines Bonded Out releases by Release Reason entered and Detention Book Out Date. BMU data uses the Bond Post Date which is not necessarily the same as the Detention Book Out Date.</t>
  </si>
  <si>
    <t>Individuals with Credible Fear Parole</t>
  </si>
  <si>
    <t>FY2026 YTD Encounters data is updated through 12/02/2025 (IIDS Run Date 12/03/2025; EID as of 12/02/2025).</t>
  </si>
  <si>
    <t>Parole requested and parole granted dates are based on the Case Action Decision Date contained in the system of record.</t>
  </si>
  <si>
    <t>Parole granted is defined as Agency-based case action jurisdiction and case decision is "Granted".</t>
  </si>
  <si>
    <t>Parole denied is defined as Agency-based case action jurisdiction and case decision is "Denied".</t>
  </si>
  <si>
    <t>Parole decisions may not be in the same month as parole requested.</t>
  </si>
  <si>
    <t>Semiannual Arrests, Bookins and Removals</t>
  </si>
  <si>
    <t>For United States Armed Forces tables:</t>
  </si>
  <si>
    <t>·       FY2018-FY2024 data are historical and remain static.</t>
  </si>
  <si>
    <t>For United States Citizens tables:</t>
  </si>
  <si>
    <t>For Parents of United States Citizens tables:</t>
  </si>
  <si>
    <t>For Temporary Protected Status Countries tables:</t>
  </si>
  <si>
    <t>USC Arrests, Booking and Removals stats are pulled based on administrative enforcement actions executed by ERO Officers.</t>
  </si>
  <si>
    <t xml:space="preserve">Parents of United States Citizen determined by relationship flag and citizenship of child relation. Parents of U.S. citizens mentioned here are non-citizens who have identified themselves as having U.S. citizen children. This can refer to either one or both parents. The totals given do not imply that a U.S. citizen child has left the country with the parent. </t>
  </si>
  <si>
    <t>ERO Administrative Arrests include all ERO Programs.  ERO Programs include Detention and Deportation (DDP), Fugitive Operations (FUG), Alternatives to Detention (ATD), Criminal Alien Program (CAP), Violent Criminal Alien Section (VCS), ERO Criminal Prosecutions (ECP), Detained Docket Control (DDC), Non-Detained Docket Control (NDD), Joint Criminal Alien Response Team (JCT), Juvenile (JUV), Law Enforcement Area Response (LEA), Mobile Criminal Alien Team (MCT), 287G Program (287g), and 287g Task Force (TFM).</t>
  </si>
  <si>
    <t>All stats are pulled based on Current Program which attributes all cases back to the Program of the processing officer of the event.</t>
  </si>
  <si>
    <t>Country of Citizenship is derived from the ICE system of record as it is input by the officer at the time of processing. An "Unknown" Country indicates the alien failed or refused to identify a country of citizenship or the officer lacked documentation to do so.</t>
  </si>
  <si>
    <t>All stats are pulled based on Current Program which attributes all cases back to the Program of the processing officer of the event. However, if Current Program = OPL, XXX, ZZZ, or null, then Event Program is used.</t>
  </si>
  <si>
    <t>The "ICE" Arresting Agency includes the following ERO and HSI Arresting Agency programs: 287g Program, 287g Task Force, Alternatives to Detention, ERO Criminal Alien Program, Detained Docket Control, Detention and Deportation, Law Enforcement Area Response Unit, Mobile Criminal Alien Team, Non-Detained Docket Control, Juvenile, Fugitive Operations, Violent Criminal Alien Section, ERO Criminal Prosecutions, Joint Criminal Alien Response Team, Probation and Parole, Quick Response Team, User Fee Investigations, Joint Terrorism Task Force, Non-User Fee Investigations, HSI Criminal Arrest Only, and Intelligence. This also includes the Default program area for interface records, and PICS Default value - for user initialization only where the users programs were not updated at the time of the data run.</t>
  </si>
  <si>
    <t xml:space="preserve">Veteran Status flag implemented during FY2021. Prior years required manual input by the officers in the database. </t>
  </si>
  <si>
    <t>TPS Countries</t>
  </si>
  <si>
    <t>Burma (Myanmar) designated TPS as of 05/25/2021. Arrests, Bookins, and Removals reported are since the designation date.</t>
  </si>
  <si>
    <t>Haiti designated TPS as of 08/03/2021. Arrests, Bookins, and Removals reported are since the designation date.</t>
  </si>
  <si>
    <t>Venezuela designated TPS as of 03/09/2021. Arrests, Bookins, and Removals for reported are since the designation date.</t>
  </si>
  <si>
    <t>Afghanistan designated TPS as of 05/20/2022. Arrests, Bookins, and Removals for reported are since the designation date.</t>
  </si>
  <si>
    <t>Cameroon designated TPS as of 06/07/2022. Arrests, Bookins, and Removals reported are since the designation date.</t>
  </si>
  <si>
    <t>Ethiopia designated TPS as of 12/12/2022. Arrests, Bookins, and Removals reported are since the designation date.</t>
  </si>
  <si>
    <t>Ukraine designated TPS as of 04/19/2022. Arrests, Bookins, and Removals for  reported are since the designation date.</t>
  </si>
  <si>
    <t>Lebanon designated TPS as of 11/27/2024. Arrests, Bookins, and Removals for  reported are since the designation date.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</si>
</sst>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1" formatCode="_(* #,##0_);_(* \(#,##0\);_(* &quot;-&quot;_);_(@_)"/>
    <numFmt numFmtId="44" formatCode="_(&quot;$&quot;* #,##0.00_);_(&quot;$&quot;* \(#,##0.00\);_(&quot;$&quot;* &quot;-&quot;??_);_(@_)"/>
    <numFmt numFmtId="43" formatCode="_(* #,##0.00_);_(* \(#,##0.00\);_(* &quot;-&quot;??_);_(@_)"/>
    <numFmt numFmtId="164" formatCode="mmm/yyyy"/>
    <numFmt numFmtId="165" formatCode="_(* #,##0_);_(* \(#,##0\);_(* &quot;-&quot;??_);_(@_)"/>
    <numFmt numFmtId="166" formatCode="0.0%"/>
    <numFmt numFmtId="167" formatCode="_(* #,##0_);_(* \(#,##0\);_(* &quot;-&quot;?_);_(@_)"/>
    <numFmt numFmtId="168" formatCode="_(* #,##0.0_);_(* \(#,##0.0\);_(* &quot;-&quot;?_);_(@_)"/>
    <numFmt numFmtId="169" formatCode="0.0"/>
    <numFmt numFmtId="170" formatCode="_(* #,##0.0_);_(* \(#,##0.0\);_(* &quot;-&quot;_);_(@_)"/>
    <numFmt numFmtId="171" formatCode="&quot;$&quot;#,##0.00"/>
    <numFmt numFmtId="172" formatCode="#,##0.0"/>
  </numFmts>
  <fonts count="52">
    <font>
      <sz val="11"/>
      <color theme="1"/>
      <name val="Calibri"/>
      <charset val="134"/>
      <scheme val="minor"/>
    </font>
    <font>
      <sz val="10"/>
      <name val="Arial"/>
      <charset val="134"/>
    </font>
    <font>
      <b/>
      <sz val="20"/>
      <color theme="4" tint="-0.499984740745262"/>
      <name val="Calibri"/>
      <charset val="134"/>
      <scheme val="minor"/>
    </font>
    <font>
      <b/>
      <sz val="12"/>
      <color theme="4" tint="-0.499984740745262"/>
      <name val="Calibri"/>
      <charset val="134"/>
      <scheme val="minor"/>
    </font>
    <font>
      <sz val="14"/>
      <color theme="0"/>
      <name val="Times New Roman"/>
      <charset val="134"/>
    </font>
    <font>
      <sz val="12"/>
      <color theme="1"/>
      <name val="Times New Roman"/>
      <charset val="134"/>
    </font>
    <font>
      <sz val="12"/>
      <name val="Times New Roman"/>
      <charset val="134"/>
    </font>
    <font>
      <sz val="11"/>
      <color theme="1"/>
      <name val="Times New Roman"/>
      <charset val="134"/>
    </font>
    <font>
      <b/>
      <sz val="12"/>
      <color indexed="18"/>
      <name val="Times New Roman"/>
      <charset val="134"/>
    </font>
    <font>
      <b/>
      <sz val="11"/>
      <color rgb="FF000000"/>
      <name val="Calibri"/>
      <charset val="134"/>
      <scheme val="minor"/>
    </font>
    <font>
      <sz val="11"/>
      <color rgb="FF000000"/>
      <name val="Calibri"/>
      <charset val="134"/>
      <scheme val="minor"/>
    </font>
    <font>
      <i/>
      <sz val="11"/>
      <color theme="1"/>
      <name val="Calibri"/>
      <charset val="134"/>
      <scheme val="minor"/>
    </font>
    <font>
      <sz val="11"/>
      <name val="Calibri"/>
      <charset val="134"/>
      <scheme val="minor"/>
    </font>
    <font>
      <b/>
      <sz val="11"/>
      <color rgb="FF000000"/>
      <name val="Calibri"/>
      <charset val="134"/>
    </font>
    <font>
      <b/>
      <sz val="11"/>
      <name val="Calibri"/>
      <charset val="134"/>
      <scheme val="minor"/>
    </font>
    <font>
      <b/>
      <sz val="12"/>
      <color rgb="FF000000"/>
      <name val="Times New Roman"/>
      <charset val="134"/>
    </font>
    <font>
      <sz val="11"/>
      <color rgb="FF000000"/>
      <name val="Calibri"/>
      <charset val="134"/>
    </font>
    <font>
      <b/>
      <sz val="12"/>
      <color rgb="FFFFFFFF"/>
      <name val="Times New Roman"/>
      <charset val="134"/>
    </font>
    <font>
      <sz val="12"/>
      <color rgb="FF000000"/>
      <name val="Times New Roman"/>
      <charset val="134"/>
    </font>
    <font>
      <b/>
      <sz val="12"/>
      <color theme="1"/>
      <name val="Times New Roman"/>
      <charset val="134"/>
    </font>
    <font>
      <b/>
      <sz val="12"/>
      <color theme="0"/>
      <name val="Times New Roman"/>
      <charset val="134"/>
    </font>
    <font>
      <b/>
      <sz val="14"/>
      <color theme="1"/>
      <name val="Times New Roman"/>
      <charset val="134"/>
    </font>
    <font>
      <b/>
      <sz val="11"/>
      <color theme="1"/>
      <name val="Times New Roman"/>
      <charset val="134"/>
    </font>
    <font>
      <sz val="9"/>
      <color theme="1"/>
      <name val="Times New Roman"/>
      <charset val="134"/>
    </font>
    <font>
      <b/>
      <sz val="11"/>
      <color theme="1"/>
      <name val="Calibri"/>
      <charset val="134"/>
      <scheme val="minor"/>
    </font>
    <font>
      <sz val="9"/>
      <color theme="1"/>
      <name val="Calibri"/>
      <charset val="134"/>
      <scheme val="minor"/>
    </font>
    <font>
      <b/>
      <sz val="9"/>
      <color theme="1"/>
      <name val="Calibri"/>
      <charset val="134"/>
      <scheme val="minor"/>
    </font>
    <font>
      <b/>
      <sz val="18"/>
      <color theme="3" tint="-0.499984740745262"/>
      <name val="Calibri"/>
      <charset val="134"/>
      <scheme val="minor"/>
    </font>
    <font>
      <b/>
      <sz val="9"/>
      <color theme="1"/>
      <name val="Times New Roman"/>
      <charset val="134"/>
    </font>
    <font>
      <b/>
      <sz val="9"/>
      <color theme="0"/>
      <name val="Calibri"/>
      <charset val="134"/>
      <scheme val="minor"/>
    </font>
    <font>
      <b/>
      <i/>
      <sz val="9"/>
      <color theme="1"/>
      <name val="Calibri"/>
      <charset val="134"/>
      <scheme val="minor"/>
    </font>
    <font>
      <i/>
      <sz val="9"/>
      <color theme="1"/>
      <name val="Calibri"/>
      <charset val="134"/>
      <scheme val="minor"/>
    </font>
    <font>
      <b/>
      <sz val="9"/>
      <color theme="0"/>
      <name val="Times New Roman"/>
      <charset val="134"/>
    </font>
    <font>
      <b/>
      <sz val="12"/>
      <name val="Calibri"/>
      <charset val="134"/>
      <scheme val="minor"/>
    </font>
    <font>
      <b/>
      <sz val="12"/>
      <color indexed="18"/>
      <name val="Calibri"/>
      <charset val="134"/>
      <scheme val="minor"/>
    </font>
    <font>
      <b/>
      <sz val="12"/>
      <color rgb="FFFF0000"/>
      <name val="Calibri"/>
      <charset val="134"/>
      <scheme val="minor"/>
    </font>
    <font>
      <b/>
      <sz val="12"/>
      <color theme="1"/>
      <name val="Calibri"/>
      <charset val="134"/>
      <scheme val="minor"/>
    </font>
    <font>
      <b/>
      <sz val="12"/>
      <color theme="0"/>
      <name val="Calibri"/>
      <charset val="134"/>
      <scheme val="minor"/>
    </font>
    <font>
      <sz val="12"/>
      <color rgb="FF000000"/>
      <name val="Calibri"/>
      <charset val="134"/>
      <scheme val="minor"/>
    </font>
    <font>
      <sz val="12"/>
      <color theme="1"/>
      <name val="Calibri"/>
      <charset val="134"/>
      <scheme val="minor"/>
    </font>
    <font>
      <b/>
      <sz val="12"/>
      <color rgb="FF000000"/>
      <name val="Calibri"/>
      <charset val="134"/>
      <scheme val="minor"/>
    </font>
    <font>
      <sz val="8"/>
      <color theme="1"/>
      <name val="Calibri"/>
      <charset val="134"/>
      <scheme val="minor"/>
    </font>
    <font>
      <sz val="8"/>
      <name val="Calibri"/>
      <charset val="134"/>
      <scheme val="minor"/>
    </font>
    <font>
      <b/>
      <sz val="12"/>
      <color indexed="8"/>
      <name val="Calibri"/>
      <charset val="134"/>
      <scheme val="minor"/>
    </font>
    <font>
      <b/>
      <sz val="24"/>
      <color theme="4" tint="-0.499984740745262"/>
      <name val="Calibri"/>
      <charset val="134"/>
      <scheme val="minor"/>
    </font>
    <font>
      <sz val="11"/>
      <color theme="1"/>
      <name val="Calibri"/>
      <charset val="134"/>
      <scheme val="minor"/>
    </font>
    <font>
      <sz val="10"/>
      <name val="MS Sans Serif"/>
      <charset val="134"/>
    </font>
    <font>
      <sz val="10"/>
      <color rgb="FF000000"/>
      <name val="Arial"/>
      <charset val="134"/>
    </font>
    <font>
      <sz val="12"/>
      <color theme="1"/>
      <name val="Times New Roman"/>
      <charset val="134"/>
    </font>
    <font>
      <b/>
      <sz val="18"/>
      <color theme="4" tint="-0.499984740745262"/>
      <name val="Calibri"/>
      <charset val="134"/>
      <scheme val="minor"/>
    </font>
    <font>
      <sz val="9"/>
      <color theme="4" tint="-0.499984740745262"/>
      <name val="Calibri"/>
      <charset val="134"/>
      <scheme val="minor"/>
    </font>
    <font>
      <sz val="12"/>
      <color rgb="FF000000"/>
      <name val="Times New Roman"/>
      <family val="1"/>
    </font>
  </fonts>
  <fills count="24">
    <fill>
      <patternFill patternType="none"/>
    </fill>
    <fill>
      <patternFill patternType="gray125"/>
    </fill>
    <fill>
      <patternFill patternType="solid">
        <fgColor indexed="9"/>
        <bgColor indexed="64"/>
      </patternFill>
    </fill>
    <fill>
      <patternFill patternType="solid">
        <fgColor theme="0" tint="-0.14996795556505021"/>
        <bgColor indexed="64"/>
      </patternFill>
    </fill>
    <fill>
      <patternFill patternType="solid">
        <fgColor rgb="FF002060"/>
        <bgColor indexed="64"/>
      </patternFill>
    </fill>
    <fill>
      <patternFill patternType="solid">
        <fgColor theme="0"/>
        <bgColor indexed="64"/>
      </patternFill>
    </fill>
    <fill>
      <patternFill patternType="solid">
        <fgColor rgb="FFD9E1F2"/>
        <bgColor indexed="64"/>
      </patternFill>
    </fill>
    <fill>
      <patternFill patternType="solid">
        <fgColor rgb="FFFFFFFF"/>
        <bgColor rgb="FF000000"/>
      </patternFill>
    </fill>
    <fill>
      <patternFill patternType="solid">
        <fgColor theme="4" tint="0.59999389629810485"/>
        <bgColor indexed="64"/>
      </patternFill>
    </fill>
    <fill>
      <patternFill patternType="solid">
        <fgColor rgb="FF002060"/>
        <bgColor rgb="FF000000"/>
      </patternFill>
    </fill>
    <fill>
      <patternFill patternType="solid">
        <fgColor rgb="FFD9D9D9"/>
        <bgColor rgb="FF000000"/>
      </patternFill>
    </fill>
    <fill>
      <patternFill patternType="solid">
        <fgColor theme="2"/>
        <bgColor indexed="64"/>
      </patternFill>
    </fill>
    <fill>
      <patternFill patternType="solid">
        <fgColor theme="4" tint="0.39994506668294322"/>
        <bgColor indexed="64"/>
      </patternFill>
    </fill>
    <fill>
      <patternFill patternType="solid">
        <fgColor rgb="FFE7E6E6"/>
        <bgColor rgb="FF000000"/>
      </patternFill>
    </fill>
    <fill>
      <patternFill patternType="solid">
        <fgColor theme="1"/>
        <bgColor indexed="64"/>
      </patternFill>
    </fill>
    <fill>
      <patternFill patternType="solid">
        <fgColor theme="0" tint="-0.249977111117893"/>
        <bgColor indexed="64"/>
      </patternFill>
    </fill>
    <fill>
      <patternFill patternType="solid">
        <fgColor theme="7" tint="0.79995117038483843"/>
        <bgColor indexed="64"/>
      </patternFill>
    </fill>
    <fill>
      <patternFill patternType="solid">
        <fgColor theme="9" tint="0.79995117038483843"/>
        <bgColor indexed="64"/>
      </patternFill>
    </fill>
    <fill>
      <patternFill patternType="solid">
        <fgColor theme="8" tint="0.79995117038483843"/>
        <bgColor indexed="64"/>
      </patternFill>
    </fill>
    <fill>
      <patternFill patternType="solid">
        <fgColor rgb="FFD9D9D9"/>
        <bgColor indexed="64"/>
      </patternFill>
    </fill>
    <fill>
      <patternFill patternType="solid">
        <fgColor theme="4" tint="-0.499984740745262"/>
        <bgColor indexed="64"/>
      </patternFill>
    </fill>
    <fill>
      <patternFill patternType="solid">
        <fgColor theme="4" tint="0.79995117038483843"/>
        <bgColor indexed="64"/>
      </patternFill>
    </fill>
    <fill>
      <patternFill patternType="solid">
        <fgColor rgb="FFFFFF00"/>
        <bgColor indexed="64"/>
      </patternFill>
    </fill>
    <fill>
      <patternFill patternType="solid">
        <fgColor rgb="FFFFFF00"/>
        <bgColor rgb="FF000000"/>
      </patternFill>
    </fill>
  </fills>
  <borders count="50">
    <border>
      <left/>
      <right/>
      <top/>
      <bottom/>
      <diagonal/>
    </border>
    <border>
      <left style="medium">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right style="medium">
        <color auto="1"/>
      </right>
      <top/>
      <bottom style="medium">
        <color auto="1"/>
      </bottom>
      <diagonal/>
    </border>
    <border>
      <left style="medium">
        <color auto="1"/>
      </left>
      <right/>
      <top/>
      <bottom/>
      <diagonal/>
    </border>
    <border>
      <left/>
      <right/>
      <top/>
      <bottom style="medium">
        <color auto="1"/>
      </bottom>
      <diagonal/>
    </border>
    <border>
      <left style="medium">
        <color auto="1"/>
      </left>
      <right/>
      <top style="medium">
        <color auto="1"/>
      </top>
      <bottom/>
      <diagonal/>
    </border>
    <border>
      <left/>
      <right style="medium">
        <color rgb="FF000000"/>
      </right>
      <top style="medium">
        <color auto="1"/>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thin">
        <color auto="1"/>
      </top>
      <bottom style="medium">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top/>
      <bottom style="thin">
        <color auto="1"/>
      </bottom>
      <diagonal/>
    </border>
    <border>
      <left style="medium">
        <color auto="1"/>
      </left>
      <right style="thin">
        <color auto="1"/>
      </right>
      <top/>
      <bottom/>
      <diagonal/>
    </border>
    <border>
      <left style="medium">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medium">
        <color auto="1"/>
      </left>
      <right style="thin">
        <color auto="1"/>
      </right>
      <top/>
      <bottom style="thin">
        <color auto="1"/>
      </bottom>
      <diagonal/>
    </border>
    <border>
      <left/>
      <right/>
      <top style="thin">
        <color auto="1"/>
      </top>
      <bottom/>
      <diagonal/>
    </border>
    <border>
      <left style="medium">
        <color auto="1"/>
      </left>
      <right/>
      <top style="thin">
        <color auto="1"/>
      </top>
      <bottom style="thin">
        <color auto="1"/>
      </bottom>
      <diagonal/>
    </border>
    <border>
      <left style="thin">
        <color auto="1"/>
      </left>
      <right/>
      <top style="thin">
        <color auto="1"/>
      </top>
      <bottom style="double">
        <color auto="1"/>
      </bottom>
      <diagonal/>
    </border>
    <border>
      <left style="thin">
        <color auto="1"/>
      </left>
      <right/>
      <top style="double">
        <color auto="1"/>
      </top>
      <bottom style="thin">
        <color auto="1"/>
      </bottom>
      <diagonal/>
    </border>
    <border>
      <left/>
      <right style="thin">
        <color auto="1"/>
      </right>
      <top style="thin">
        <color auto="1"/>
      </top>
      <bottom style="double">
        <color auto="1"/>
      </bottom>
      <diagonal/>
    </border>
    <border>
      <left/>
      <right style="thin">
        <color auto="1"/>
      </right>
      <top style="double">
        <color auto="1"/>
      </top>
      <bottom style="thin">
        <color auto="1"/>
      </bottom>
      <diagonal/>
    </border>
    <border>
      <left/>
      <right/>
      <top/>
      <bottom style="thin">
        <color auto="1"/>
      </bottom>
      <diagonal/>
    </border>
    <border>
      <left/>
      <right style="medium">
        <color auto="1"/>
      </right>
      <top/>
      <bottom/>
      <diagonal/>
    </border>
    <border>
      <left style="thin">
        <color auto="1"/>
      </left>
      <right/>
      <top/>
      <bottom/>
      <diagonal/>
    </border>
    <border>
      <left/>
      <right style="medium">
        <color auto="1"/>
      </right>
      <top/>
      <bottom style="thin">
        <color auto="1"/>
      </bottom>
      <diagonal/>
    </border>
    <border>
      <left style="thin">
        <color auto="1"/>
      </left>
      <right style="medium">
        <color auto="1"/>
      </right>
      <top style="thin">
        <color auto="1"/>
      </top>
      <bottom style="double">
        <color auto="1"/>
      </bottom>
      <diagonal/>
    </border>
    <border>
      <left style="thin">
        <color auto="1"/>
      </left>
      <right style="medium">
        <color auto="1"/>
      </right>
      <top/>
      <bottom style="thin">
        <color auto="1"/>
      </bottom>
      <diagonal/>
    </border>
    <border>
      <left/>
      <right style="medium">
        <color auto="1"/>
      </right>
      <top style="thin">
        <color auto="1"/>
      </top>
      <bottom style="thin">
        <color auto="1"/>
      </bottom>
      <diagonal/>
    </border>
    <border>
      <left/>
      <right style="medium">
        <color auto="1"/>
      </right>
      <top style="thin">
        <color auto="1"/>
      </top>
      <bottom/>
      <diagonal/>
    </border>
    <border>
      <left style="medium">
        <color auto="1"/>
      </left>
      <right/>
      <top/>
      <bottom style="thin">
        <color auto="1"/>
      </bottom>
      <diagonal/>
    </border>
    <border>
      <left style="thin">
        <color auto="1"/>
      </left>
      <right style="thin">
        <color auto="1"/>
      </right>
      <top style="thin">
        <color auto="1"/>
      </top>
      <bottom/>
      <diagonal/>
    </border>
    <border>
      <left/>
      <right/>
      <top style="thin">
        <color auto="1"/>
      </top>
      <bottom style="medium">
        <color auto="1"/>
      </bottom>
      <diagonal/>
    </border>
    <border>
      <left style="thin">
        <color auto="1"/>
      </left>
      <right style="medium">
        <color auto="1"/>
      </right>
      <top style="double">
        <color auto="1"/>
      </top>
      <bottom style="thin">
        <color auto="1"/>
      </bottom>
      <diagonal/>
    </border>
    <border>
      <left/>
      <right style="medium">
        <color auto="1"/>
      </right>
      <top style="thin">
        <color auto="1"/>
      </top>
      <bottom style="medium">
        <color auto="1"/>
      </bottom>
      <diagonal/>
    </border>
    <border>
      <left style="thin">
        <color auto="1"/>
      </left>
      <right style="thin">
        <color auto="1"/>
      </right>
      <top/>
      <bottom/>
      <diagonal/>
    </border>
  </borders>
  <cellStyleXfs count="8">
    <xf numFmtId="0" fontId="0" fillId="0" borderId="0"/>
    <xf numFmtId="43" fontId="45" fillId="0" borderId="0" applyFont="0" applyFill="0" applyBorder="0" applyAlignment="0" applyProtection="0"/>
    <xf numFmtId="44" fontId="45" fillId="0" borderId="0" applyFont="0" applyFill="0" applyBorder="0" applyAlignment="0" applyProtection="0"/>
    <xf numFmtId="9" fontId="45" fillId="0" borderId="0" applyFont="0" applyFill="0" applyBorder="0" applyAlignment="0" applyProtection="0"/>
    <xf numFmtId="0" fontId="46" fillId="0" borderId="0"/>
    <xf numFmtId="0" fontId="47" fillId="0" borderId="0"/>
    <xf numFmtId="0" fontId="48" fillId="0" borderId="0"/>
    <xf numFmtId="0" fontId="1" fillId="0" borderId="0"/>
  </cellStyleXfs>
  <cellXfs count="443">
    <xf numFmtId="0" fontId="0" fillId="0" borderId="0" xfId="0"/>
    <xf numFmtId="0" fontId="1" fillId="0" borderId="0" xfId="4" applyFont="1" applyAlignment="1">
      <alignment horizontal="left" vertical="center"/>
    </xf>
    <xf numFmtId="0" fontId="0" fillId="0" borderId="0" xfId="0" applyAlignment="1">
      <alignment horizontal="left" vertical="top"/>
    </xf>
    <xf numFmtId="0" fontId="2" fillId="3" borderId="0" xfId="6" applyFont="1" applyFill="1" applyAlignment="1">
      <alignment vertical="top"/>
    </xf>
    <xf numFmtId="0" fontId="2" fillId="3" borderId="0" xfId="6" applyFont="1" applyFill="1" applyAlignment="1">
      <alignment horizontal="center" vertical="top"/>
    </xf>
    <xf numFmtId="0" fontId="4" fillId="4" borderId="1" xfId="0" applyFont="1" applyFill="1" applyBorder="1" applyAlignment="1">
      <alignment horizontal="left" vertical="top" wrapText="1"/>
    </xf>
    <xf numFmtId="0" fontId="4" fillId="4" borderId="2" xfId="0" applyFont="1" applyFill="1" applyBorder="1" applyAlignment="1">
      <alignment horizontal="left" vertical="top" wrapText="1"/>
    </xf>
    <xf numFmtId="0" fontId="5" fillId="0" borderId="3" xfId="0" applyFont="1" applyBorder="1" applyAlignment="1">
      <alignment horizontal="left" vertical="top" wrapText="1"/>
    </xf>
    <xf numFmtId="0" fontId="5" fillId="0" borderId="4" xfId="0" applyFont="1" applyBorder="1" applyAlignment="1">
      <alignment horizontal="left" vertical="top" wrapText="1"/>
    </xf>
    <xf numFmtId="0" fontId="5" fillId="0" borderId="4" xfId="0" applyFont="1" applyBorder="1" applyAlignment="1">
      <alignment vertical="center"/>
    </xf>
    <xf numFmtId="0" fontId="5" fillId="0" borderId="4" xfId="0" applyFont="1" applyBorder="1" applyAlignment="1">
      <alignment vertical="center" wrapText="1"/>
    </xf>
    <xf numFmtId="0" fontId="5" fillId="0" borderId="4" xfId="0" applyFont="1" applyBorder="1"/>
    <xf numFmtId="0" fontId="5" fillId="0" borderId="4" xfId="0" applyFont="1" applyBorder="1" applyAlignment="1">
      <alignment wrapText="1"/>
    </xf>
    <xf numFmtId="0" fontId="5" fillId="5" borderId="4" xfId="0" applyFont="1" applyFill="1" applyBorder="1" applyAlignment="1">
      <alignment horizontal="left" vertical="top" wrapText="1"/>
    </xf>
    <xf numFmtId="49" fontId="6" fillId="0" borderId="4" xfId="0" applyNumberFormat="1" applyFont="1" applyBorder="1" applyAlignment="1">
      <alignment vertical="top" wrapText="1"/>
    </xf>
    <xf numFmtId="49" fontId="6" fillId="5" borderId="4" xfId="0" applyNumberFormat="1" applyFont="1" applyFill="1" applyBorder="1" applyAlignment="1">
      <alignment vertical="top" wrapText="1"/>
    </xf>
    <xf numFmtId="49" fontId="6" fillId="0" borderId="4" xfId="0" applyNumberFormat="1" applyFont="1" applyBorder="1" applyAlignment="1">
      <alignment horizontal="left" vertical="top" wrapText="1"/>
    </xf>
    <xf numFmtId="0" fontId="5" fillId="5" borderId="6" xfId="0" applyFont="1" applyFill="1" applyBorder="1" applyAlignment="1">
      <alignment horizontal="left" vertical="top" wrapText="1"/>
    </xf>
    <xf numFmtId="0" fontId="8" fillId="2" borderId="0" xfId="7" applyFont="1" applyFill="1" applyAlignment="1">
      <alignment vertical="center" wrapText="1"/>
    </xf>
    <xf numFmtId="0" fontId="9" fillId="6" borderId="8" xfId="0" applyFont="1" applyFill="1" applyBorder="1" applyAlignment="1">
      <alignment vertical="center"/>
    </xf>
    <xf numFmtId="0" fontId="9" fillId="6" borderId="9" xfId="0" applyFont="1" applyFill="1" applyBorder="1" applyAlignment="1">
      <alignment vertical="center"/>
    </xf>
    <xf numFmtId="0" fontId="0" fillId="0" borderId="0" xfId="0" applyAlignment="1">
      <alignment vertical="center"/>
    </xf>
    <xf numFmtId="0" fontId="9" fillId="6" borderId="10" xfId="0" applyFont="1" applyFill="1" applyBorder="1" applyAlignment="1">
      <alignment vertical="center"/>
    </xf>
    <xf numFmtId="0" fontId="9" fillId="6" borderId="9" xfId="0" applyFont="1" applyFill="1" applyBorder="1" applyAlignment="1">
      <alignment vertical="center" wrapText="1"/>
    </xf>
    <xf numFmtId="0" fontId="9" fillId="6" borderId="0" xfId="0" applyFont="1" applyFill="1" applyAlignment="1">
      <alignment vertical="center" wrapText="1"/>
    </xf>
    <xf numFmtId="0" fontId="10" fillId="0" borderId="11" xfId="0" applyFont="1" applyBorder="1" applyAlignment="1">
      <alignment vertical="center"/>
    </xf>
    <xf numFmtId="0" fontId="10" fillId="0" borderId="12" xfId="0" applyFont="1" applyBorder="1" applyAlignment="1">
      <alignment horizontal="right" vertical="center"/>
    </xf>
    <xf numFmtId="0" fontId="10" fillId="0" borderId="11" xfId="0" applyFont="1" applyBorder="1" applyAlignment="1">
      <alignment vertical="center" wrapText="1"/>
    </xf>
    <xf numFmtId="0" fontId="9" fillId="6" borderId="11" xfId="0" applyFont="1" applyFill="1" applyBorder="1" applyAlignment="1">
      <alignment vertical="center"/>
    </xf>
    <xf numFmtId="0" fontId="9" fillId="6" borderId="12" xfId="0" applyFont="1" applyFill="1" applyBorder="1" applyAlignment="1">
      <alignment horizontal="right" vertical="center"/>
    </xf>
    <xf numFmtId="0" fontId="11" fillId="0" borderId="0" xfId="0" applyFont="1" applyAlignment="1">
      <alignment horizontal="left" vertical="center"/>
    </xf>
    <xf numFmtId="0" fontId="9" fillId="0" borderId="13" xfId="0" applyFont="1" applyBorder="1" applyAlignment="1">
      <alignment horizontal="left" vertical="center"/>
    </xf>
    <xf numFmtId="0" fontId="9" fillId="0" borderId="0" xfId="0" applyFont="1" applyAlignment="1">
      <alignment horizontal="left" vertical="center"/>
    </xf>
    <xf numFmtId="2" fontId="10" fillId="0" borderId="12" xfId="0" applyNumberFormat="1" applyFont="1" applyBorder="1" applyAlignment="1">
      <alignment horizontal="right" vertical="center"/>
    </xf>
    <xf numFmtId="0" fontId="0" fillId="0" borderId="13" xfId="0" applyBorder="1" applyAlignment="1">
      <alignment horizontal="left" vertical="top" wrapText="1"/>
    </xf>
    <xf numFmtId="0" fontId="0" fillId="0" borderId="0" xfId="0" applyAlignment="1">
      <alignment horizontal="left" vertical="top" wrapText="1"/>
    </xf>
    <xf numFmtId="0" fontId="12" fillId="0" borderId="0" xfId="0" applyFont="1" applyAlignment="1">
      <alignment horizontal="left" vertical="top" wrapText="1"/>
    </xf>
    <xf numFmtId="0" fontId="0" fillId="0" borderId="13" xfId="0" applyBorder="1"/>
    <xf numFmtId="2" fontId="9" fillId="6" borderId="12" xfId="0" applyNumberFormat="1" applyFont="1" applyFill="1" applyBorder="1" applyAlignment="1">
      <alignment horizontal="right" vertical="center"/>
    </xf>
    <xf numFmtId="0" fontId="11" fillId="0" borderId="0" xfId="0" applyFont="1"/>
    <xf numFmtId="0" fontId="8" fillId="0" borderId="0" xfId="7" applyFont="1" applyAlignment="1">
      <alignment vertical="center" wrapText="1"/>
    </xf>
    <xf numFmtId="0" fontId="2" fillId="0" borderId="0" xfId="6" applyFont="1" applyAlignment="1">
      <alignment vertical="top"/>
    </xf>
    <xf numFmtId="0" fontId="14" fillId="8" borderId="17" xfId="0" applyFont="1" applyFill="1" applyBorder="1" applyAlignment="1">
      <alignment horizontal="center" vertical="center" wrapText="1"/>
    </xf>
    <xf numFmtId="0" fontId="0" fillId="0" borderId="17" xfId="0" applyBorder="1" applyAlignment="1">
      <alignment horizontal="left"/>
    </xf>
    <xf numFmtId="0" fontId="0" fillId="0" borderId="17" xfId="0" applyBorder="1"/>
    <xf numFmtId="0" fontId="0" fillId="3" borderId="17" xfId="0" applyFill="1" applyBorder="1" applyAlignment="1">
      <alignment horizontal="left"/>
    </xf>
    <xf numFmtId="0" fontId="0" fillId="3" borderId="17" xfId="0" applyFill="1" applyBorder="1"/>
    <xf numFmtId="0" fontId="15" fillId="0" borderId="0" xfId="0" applyFont="1" applyAlignment="1">
      <alignment wrapText="1"/>
    </xf>
    <xf numFmtId="0" fontId="15" fillId="0" borderId="0" xfId="0" applyFont="1"/>
    <xf numFmtId="0" fontId="16" fillId="0" borderId="0" xfId="0" applyFont="1"/>
    <xf numFmtId="0" fontId="17" fillId="9" borderId="0" xfId="0" applyFont="1" applyFill="1" applyAlignment="1">
      <alignment wrapText="1"/>
    </xf>
    <xf numFmtId="0" fontId="15" fillId="10" borderId="17" xfId="0" applyFont="1" applyFill="1" applyBorder="1"/>
    <xf numFmtId="0" fontId="15" fillId="10" borderId="18" xfId="0" applyFont="1" applyFill="1" applyBorder="1"/>
    <xf numFmtId="0" fontId="18" fillId="0" borderId="19" xfId="0" applyFont="1" applyBorder="1" applyAlignment="1">
      <alignment wrapText="1"/>
    </xf>
    <xf numFmtId="0" fontId="18" fillId="0" borderId="20" xfId="0" applyFont="1" applyBorder="1"/>
    <xf numFmtId="3" fontId="18" fillId="0" borderId="20" xfId="0" applyNumberFormat="1" applyFont="1" applyBorder="1"/>
    <xf numFmtId="0" fontId="5" fillId="0" borderId="20" xfId="0" applyFont="1" applyBorder="1"/>
    <xf numFmtId="0" fontId="15" fillId="10" borderId="18" xfId="0" applyFont="1" applyFill="1" applyBorder="1" applyAlignment="1">
      <alignment wrapText="1"/>
    </xf>
    <xf numFmtId="14" fontId="5" fillId="0" borderId="20" xfId="0" applyNumberFormat="1" applyFont="1" applyBorder="1"/>
    <xf numFmtId="0" fontId="5" fillId="0" borderId="20" xfId="0" applyFont="1" applyBorder="1" applyAlignment="1">
      <alignment horizontal="right"/>
    </xf>
    <xf numFmtId="14" fontId="5" fillId="0" borderId="20" xfId="0" applyNumberFormat="1" applyFont="1" applyBorder="1" applyAlignment="1">
      <alignment horizontal="right"/>
    </xf>
    <xf numFmtId="0" fontId="5" fillId="0" borderId="20" xfId="0" applyFont="1" applyBorder="1" applyAlignment="1">
      <alignment horizontal="left"/>
    </xf>
    <xf numFmtId="0" fontId="5" fillId="0" borderId="0" xfId="0" applyFont="1"/>
    <xf numFmtId="0" fontId="19" fillId="0" borderId="0" xfId="0" applyFont="1"/>
    <xf numFmtId="0" fontId="20" fillId="4" borderId="1" xfId="0" applyFont="1" applyFill="1" applyBorder="1" applyAlignment="1">
      <alignment horizontal="center" vertical="center" wrapText="1"/>
    </xf>
    <xf numFmtId="164" fontId="20" fillId="4" borderId="21" xfId="0" applyNumberFormat="1" applyFont="1" applyFill="1" applyBorder="1" applyAlignment="1">
      <alignment horizontal="center" vertical="center" wrapText="1"/>
    </xf>
    <xf numFmtId="165" fontId="19" fillId="11" borderId="3" xfId="1" applyNumberFormat="1" applyFont="1" applyFill="1" applyBorder="1" applyAlignment="1">
      <alignment horizontal="left"/>
    </xf>
    <xf numFmtId="41" fontId="5" fillId="5" borderId="17" xfId="1" applyNumberFormat="1" applyFont="1" applyFill="1" applyBorder="1" applyAlignment="1">
      <alignment horizontal="right"/>
    </xf>
    <xf numFmtId="166" fontId="5" fillId="5" borderId="17" xfId="1" applyNumberFormat="1" applyFont="1" applyFill="1" applyBorder="1" applyAlignment="1">
      <alignment horizontal="right"/>
    </xf>
    <xf numFmtId="167" fontId="5" fillId="5" borderId="17" xfId="1" applyNumberFormat="1" applyFont="1" applyFill="1" applyBorder="1" applyAlignment="1">
      <alignment horizontal="right"/>
    </xf>
    <xf numFmtId="165" fontId="19" fillId="11" borderId="5" xfId="1" applyNumberFormat="1" applyFont="1" applyFill="1" applyBorder="1" applyAlignment="1">
      <alignment horizontal="left"/>
    </xf>
    <xf numFmtId="168" fontId="5" fillId="5" borderId="22" xfId="1" applyNumberFormat="1" applyFont="1" applyFill="1" applyBorder="1" applyAlignment="1">
      <alignment horizontal="right"/>
    </xf>
    <xf numFmtId="164" fontId="20" fillId="4" borderId="2" xfId="0" applyNumberFormat="1" applyFont="1" applyFill="1" applyBorder="1" applyAlignment="1">
      <alignment horizontal="center" vertical="center" wrapText="1"/>
    </xf>
    <xf numFmtId="164" fontId="20" fillId="12" borderId="1" xfId="0" applyNumberFormat="1" applyFont="1" applyFill="1" applyBorder="1" applyAlignment="1">
      <alignment horizontal="center" vertical="center" wrapText="1"/>
    </xf>
    <xf numFmtId="164" fontId="20" fillId="12" borderId="2" xfId="0" applyNumberFormat="1" applyFont="1" applyFill="1" applyBorder="1" applyAlignment="1">
      <alignment horizontal="center" vertical="center" wrapText="1"/>
    </xf>
    <xf numFmtId="41" fontId="5" fillId="5" borderId="4" xfId="1" applyNumberFormat="1" applyFont="1" applyFill="1" applyBorder="1" applyAlignment="1">
      <alignment horizontal="right"/>
    </xf>
    <xf numFmtId="41" fontId="5" fillId="5" borderId="3" xfId="1" applyNumberFormat="1" applyFont="1" applyFill="1" applyBorder="1" applyAlignment="1">
      <alignment horizontal="right"/>
    </xf>
    <xf numFmtId="166" fontId="5" fillId="5" borderId="4" xfId="1" applyNumberFormat="1" applyFont="1" applyFill="1" applyBorder="1" applyAlignment="1">
      <alignment horizontal="right"/>
    </xf>
    <xf numFmtId="166" fontId="5" fillId="5" borderId="3" xfId="1" applyNumberFormat="1" applyFont="1" applyFill="1" applyBorder="1" applyAlignment="1">
      <alignment horizontal="right"/>
    </xf>
    <xf numFmtId="167" fontId="5" fillId="5" borderId="4" xfId="1" applyNumberFormat="1" applyFont="1" applyFill="1" applyBorder="1" applyAlignment="1">
      <alignment horizontal="right"/>
    </xf>
    <xf numFmtId="167" fontId="5" fillId="5" borderId="3" xfId="1" applyNumberFormat="1" applyFont="1" applyFill="1" applyBorder="1" applyAlignment="1">
      <alignment horizontal="right"/>
    </xf>
    <xf numFmtId="168" fontId="5" fillId="5" borderId="6" xfId="1" applyNumberFormat="1" applyFont="1" applyFill="1" applyBorder="1" applyAlignment="1">
      <alignment horizontal="right"/>
    </xf>
    <xf numFmtId="168" fontId="5" fillId="5" borderId="5" xfId="1" applyNumberFormat="1" applyFont="1" applyFill="1" applyBorder="1" applyAlignment="1">
      <alignment horizontal="right"/>
    </xf>
    <xf numFmtId="3" fontId="5" fillId="5" borderId="4" xfId="1" applyNumberFormat="1" applyFont="1" applyFill="1" applyBorder="1" applyAlignment="1">
      <alignment horizontal="right"/>
    </xf>
    <xf numFmtId="41" fontId="5" fillId="5" borderId="6" xfId="1" applyNumberFormat="1" applyFont="1" applyFill="1" applyBorder="1" applyAlignment="1">
      <alignment horizontal="right"/>
    </xf>
    <xf numFmtId="0" fontId="17" fillId="9" borderId="1" xfId="0" applyFont="1" applyFill="1" applyBorder="1" applyAlignment="1">
      <alignment horizontal="center" vertical="center" wrapText="1"/>
    </xf>
    <xf numFmtId="0" fontId="17" fillId="9" borderId="2" xfId="0" applyFont="1" applyFill="1" applyBorder="1" applyAlignment="1">
      <alignment horizontal="center" vertical="center" wrapText="1"/>
    </xf>
    <xf numFmtId="0" fontId="15" fillId="13" borderId="3" xfId="0" applyFont="1" applyFill="1" applyBorder="1" applyAlignment="1">
      <alignment horizontal="left"/>
    </xf>
    <xf numFmtId="0" fontId="18" fillId="7" borderId="4" xfId="0" applyFont="1" applyFill="1" applyBorder="1" applyAlignment="1">
      <alignment horizontal="right"/>
    </xf>
    <xf numFmtId="0" fontId="15" fillId="13" borderId="5" xfId="0" applyFont="1" applyFill="1" applyBorder="1" applyAlignment="1">
      <alignment horizontal="left"/>
    </xf>
    <xf numFmtId="3" fontId="5" fillId="5" borderId="0" xfId="1" applyNumberFormat="1" applyFont="1" applyFill="1" applyBorder="1" applyAlignment="1">
      <alignment horizontal="right"/>
    </xf>
    <xf numFmtId="41" fontId="5" fillId="14" borderId="17" xfId="1" applyNumberFormat="1" applyFont="1" applyFill="1" applyBorder="1" applyAlignment="1">
      <alignment horizontal="right"/>
    </xf>
    <xf numFmtId="41" fontId="5" fillId="5" borderId="22" xfId="1" applyNumberFormat="1" applyFont="1" applyFill="1" applyBorder="1" applyAlignment="1">
      <alignment horizontal="right"/>
    </xf>
    <xf numFmtId="41" fontId="5" fillId="0" borderId="4" xfId="1" applyNumberFormat="1" applyFont="1" applyFill="1" applyBorder="1" applyAlignment="1">
      <alignment horizontal="right"/>
    </xf>
    <xf numFmtId="165" fontId="19" fillId="0" borderId="0" xfId="1" applyNumberFormat="1" applyFont="1" applyFill="1" applyBorder="1" applyAlignment="1">
      <alignment horizontal="left"/>
    </xf>
    <xf numFmtId="41" fontId="5" fillId="5" borderId="0" xfId="1" applyNumberFormat="1" applyFont="1" applyFill="1" applyBorder="1" applyAlignment="1">
      <alignment horizontal="right"/>
    </xf>
    <xf numFmtId="0" fontId="7" fillId="16" borderId="23" xfId="0" applyFont="1" applyFill="1" applyBorder="1"/>
    <xf numFmtId="0" fontId="7" fillId="16" borderId="24" xfId="0" applyFont="1" applyFill="1" applyBorder="1"/>
    <xf numFmtId="0" fontId="7" fillId="16" borderId="17" xfId="0" applyFont="1" applyFill="1" applyBorder="1" applyAlignment="1">
      <alignment horizontal="center"/>
    </xf>
    <xf numFmtId="0" fontId="7" fillId="0" borderId="17" xfId="0" applyFont="1" applyBorder="1"/>
    <xf numFmtId="168" fontId="23" fillId="5" borderId="17" xfId="1" applyNumberFormat="1" applyFont="1" applyFill="1" applyBorder="1" applyAlignment="1">
      <alignment horizontal="left"/>
    </xf>
    <xf numFmtId="0" fontId="7" fillId="0" borderId="19" xfId="0" applyFont="1" applyBorder="1"/>
    <xf numFmtId="168" fontId="23" fillId="5" borderId="19" xfId="1" applyNumberFormat="1" applyFont="1" applyFill="1" applyBorder="1" applyAlignment="1">
      <alignment horizontal="left"/>
    </xf>
    <xf numFmtId="0" fontId="22" fillId="3" borderId="19" xfId="0" applyFont="1" applyFill="1" applyBorder="1"/>
    <xf numFmtId="0" fontId="24" fillId="0" borderId="0" xfId="0" applyFont="1"/>
    <xf numFmtId="0" fontId="22" fillId="3" borderId="0" xfId="0" applyFont="1" applyFill="1"/>
    <xf numFmtId="0" fontId="7" fillId="3" borderId="0" xfId="0" applyFont="1" applyFill="1"/>
    <xf numFmtId="165" fontId="23" fillId="5" borderId="17" xfId="1" applyNumberFormat="1" applyFont="1" applyFill="1" applyBorder="1" applyAlignment="1">
      <alignment horizontal="left"/>
    </xf>
    <xf numFmtId="165" fontId="23" fillId="5" borderId="22" xfId="1" applyNumberFormat="1" applyFont="1" applyFill="1" applyBorder="1" applyAlignment="1">
      <alignment horizontal="left"/>
    </xf>
    <xf numFmtId="165" fontId="23" fillId="5" borderId="19" xfId="1" applyNumberFormat="1" applyFont="1" applyFill="1" applyBorder="1" applyAlignment="1">
      <alignment horizontal="left"/>
    </xf>
    <xf numFmtId="0" fontId="7" fillId="16" borderId="18" xfId="0" applyFont="1" applyFill="1" applyBorder="1"/>
    <xf numFmtId="0" fontId="7" fillId="17" borderId="24" xfId="0" applyFont="1" applyFill="1" applyBorder="1"/>
    <xf numFmtId="0" fontId="7" fillId="17" borderId="17" xfId="0" applyFont="1" applyFill="1" applyBorder="1" applyAlignment="1">
      <alignment horizontal="center"/>
    </xf>
    <xf numFmtId="0" fontId="7" fillId="17" borderId="18" xfId="0" applyFont="1" applyFill="1" applyBorder="1"/>
    <xf numFmtId="0" fontId="7" fillId="18" borderId="24" xfId="0" applyFont="1" applyFill="1" applyBorder="1"/>
    <xf numFmtId="0" fontId="7" fillId="18" borderId="17" xfId="0" applyFont="1" applyFill="1" applyBorder="1" applyAlignment="1">
      <alignment horizontal="center"/>
    </xf>
    <xf numFmtId="0" fontId="7" fillId="18" borderId="18" xfId="0" applyFont="1" applyFill="1" applyBorder="1"/>
    <xf numFmtId="0" fontId="25" fillId="5" borderId="0" xfId="0" applyFont="1" applyFill="1"/>
    <xf numFmtId="0" fontId="25" fillId="0" borderId="0" xfId="0" applyFont="1"/>
    <xf numFmtId="0" fontId="25" fillId="5" borderId="0" xfId="0" applyFont="1" applyFill="1" applyAlignment="1">
      <alignment horizontal="left"/>
    </xf>
    <xf numFmtId="0" fontId="25" fillId="5" borderId="0" xfId="0" applyFont="1" applyFill="1" applyAlignment="1">
      <alignment wrapText="1"/>
    </xf>
    <xf numFmtId="0" fontId="26" fillId="0" borderId="0" xfId="0" applyFont="1"/>
    <xf numFmtId="0" fontId="25" fillId="0" borderId="0" xfId="0" applyFont="1" applyAlignment="1">
      <alignment horizontal="center" wrapText="1"/>
    </xf>
    <xf numFmtId="0" fontId="2" fillId="3" borderId="0" xfId="6" applyFont="1" applyFill="1" applyAlignment="1">
      <alignment horizontal="left" vertical="top"/>
    </xf>
    <xf numFmtId="0" fontId="8" fillId="3" borderId="0" xfId="7" applyFont="1" applyFill="1" applyAlignment="1">
      <alignment vertical="center" wrapText="1"/>
    </xf>
    <xf numFmtId="0" fontId="28" fillId="5" borderId="0" xfId="0" applyFont="1" applyFill="1" applyAlignment="1">
      <alignment horizontal="center"/>
    </xf>
    <xf numFmtId="0" fontId="26" fillId="5" borderId="13" xfId="0" applyFont="1" applyFill="1" applyBorder="1" applyAlignment="1">
      <alignment horizontal="center" vertical="center"/>
    </xf>
    <xf numFmtId="0" fontId="26" fillId="5" borderId="0" xfId="0" applyFont="1" applyFill="1" applyAlignment="1">
      <alignment horizontal="center" vertical="center"/>
    </xf>
    <xf numFmtId="0" fontId="26" fillId="0" borderId="0" xfId="0" applyFont="1" applyAlignment="1">
      <alignment horizontal="left" vertical="center" wrapText="1"/>
    </xf>
    <xf numFmtId="0" fontId="26" fillId="5" borderId="0" xfId="0" applyFont="1" applyFill="1" applyAlignment="1">
      <alignment horizontal="left" vertical="center" wrapText="1"/>
    </xf>
    <xf numFmtId="0" fontId="29" fillId="4" borderId="26" xfId="0" applyFont="1" applyFill="1" applyBorder="1" applyAlignment="1">
      <alignment horizontal="center" vertical="center" wrapText="1"/>
    </xf>
    <xf numFmtId="0" fontId="29" fillId="4" borderId="17" xfId="0" applyFont="1" applyFill="1" applyBorder="1" applyAlignment="1">
      <alignment horizontal="center" vertical="center" wrapText="1"/>
    </xf>
    <xf numFmtId="0" fontId="25" fillId="3" borderId="27" xfId="0" applyFont="1" applyFill="1" applyBorder="1"/>
    <xf numFmtId="165" fontId="25" fillId="3" borderId="28" xfId="1" applyNumberFormat="1" applyFont="1" applyFill="1" applyBorder="1"/>
    <xf numFmtId="165" fontId="25" fillId="5" borderId="29" xfId="1" applyNumberFormat="1" applyFont="1" applyFill="1" applyBorder="1" applyAlignment="1">
      <alignment horizontal="left"/>
    </xf>
    <xf numFmtId="41" fontId="25" fillId="0" borderId="17" xfId="1" applyNumberFormat="1" applyFont="1" applyFill="1" applyBorder="1" applyAlignment="1">
      <alignment horizontal="right"/>
    </xf>
    <xf numFmtId="41" fontId="25" fillId="5" borderId="17" xfId="1" applyNumberFormat="1" applyFont="1" applyFill="1" applyBorder="1" applyAlignment="1">
      <alignment horizontal="right"/>
    </xf>
    <xf numFmtId="169" fontId="25" fillId="5" borderId="0" xfId="1" applyNumberFormat="1" applyFont="1" applyFill="1" applyBorder="1"/>
    <xf numFmtId="165" fontId="25" fillId="5" borderId="3" xfId="1" applyNumberFormat="1" applyFont="1" applyFill="1" applyBorder="1" applyAlignment="1">
      <alignment horizontal="left"/>
    </xf>
    <xf numFmtId="165" fontId="25" fillId="5" borderId="13" xfId="1" applyNumberFormat="1" applyFont="1" applyFill="1" applyBorder="1" applyAlignment="1">
      <alignment horizontal="left"/>
    </xf>
    <xf numFmtId="165" fontId="25" fillId="5" borderId="0" xfId="1" applyNumberFormat="1" applyFont="1" applyFill="1" applyBorder="1" applyAlignment="1">
      <alignment horizontal="left"/>
    </xf>
    <xf numFmtId="9" fontId="25" fillId="3" borderId="28" xfId="3" applyFont="1" applyFill="1" applyBorder="1"/>
    <xf numFmtId="165" fontId="25" fillId="0" borderId="19" xfId="1" applyNumberFormat="1" applyFont="1" applyFill="1" applyBorder="1" applyAlignment="1">
      <alignment horizontal="left"/>
    </xf>
    <xf numFmtId="9" fontId="25" fillId="5" borderId="19" xfId="3" applyFont="1" applyFill="1" applyBorder="1" applyAlignment="1">
      <alignment horizontal="right"/>
    </xf>
    <xf numFmtId="165" fontId="25" fillId="5" borderId="19" xfId="1" applyNumberFormat="1" applyFont="1" applyFill="1" applyBorder="1" applyAlignment="1">
      <alignment horizontal="left"/>
    </xf>
    <xf numFmtId="165" fontId="25" fillId="0" borderId="17" xfId="1" applyNumberFormat="1" applyFont="1" applyFill="1" applyBorder="1" applyAlignment="1">
      <alignment horizontal="left"/>
    </xf>
    <xf numFmtId="9" fontId="25" fillId="5" borderId="17" xfId="3" applyFont="1" applyFill="1" applyBorder="1" applyAlignment="1">
      <alignment horizontal="right"/>
    </xf>
    <xf numFmtId="165" fontId="25" fillId="5" borderId="17" xfId="1" applyNumberFormat="1" applyFont="1" applyFill="1" applyBorder="1" applyAlignment="1">
      <alignment horizontal="left"/>
    </xf>
    <xf numFmtId="0" fontId="25" fillId="0" borderId="13" xfId="0" applyFont="1" applyBorder="1"/>
    <xf numFmtId="0" fontId="26" fillId="5" borderId="0" xfId="0" applyFont="1" applyFill="1" applyAlignment="1">
      <alignment vertical="center" wrapText="1"/>
    </xf>
    <xf numFmtId="41" fontId="25" fillId="3" borderId="28" xfId="0" applyNumberFormat="1" applyFont="1" applyFill="1" applyBorder="1"/>
    <xf numFmtId="0" fontId="29" fillId="4" borderId="3" xfId="0" applyFont="1" applyFill="1" applyBorder="1" applyAlignment="1">
      <alignment horizontal="center" vertical="center" wrapText="1"/>
    </xf>
    <xf numFmtId="0" fontId="26" fillId="3" borderId="27" xfId="0" applyFont="1" applyFill="1" applyBorder="1"/>
    <xf numFmtId="41" fontId="25" fillId="3" borderId="28" xfId="0" applyNumberFormat="1" applyFont="1" applyFill="1" applyBorder="1" applyAlignment="1">
      <alignment horizontal="right"/>
    </xf>
    <xf numFmtId="165" fontId="26" fillId="11" borderId="19" xfId="1" applyNumberFormat="1" applyFont="1" applyFill="1" applyBorder="1" applyAlignment="1">
      <alignment horizontal="left"/>
    </xf>
    <xf numFmtId="165" fontId="25" fillId="11" borderId="19" xfId="1" applyNumberFormat="1" applyFont="1" applyFill="1" applyBorder="1" applyAlignment="1">
      <alignment horizontal="right"/>
    </xf>
    <xf numFmtId="165" fontId="25" fillId="0" borderId="19" xfId="1" applyNumberFormat="1" applyFont="1" applyFill="1" applyBorder="1" applyAlignment="1">
      <alignment horizontal="right"/>
    </xf>
    <xf numFmtId="165" fontId="30" fillId="11" borderId="17" xfId="1" applyNumberFormat="1" applyFont="1" applyFill="1" applyBorder="1" applyAlignment="1">
      <alignment horizontal="right"/>
    </xf>
    <xf numFmtId="165" fontId="26" fillId="11" borderId="17" xfId="1" applyNumberFormat="1" applyFont="1" applyFill="1" applyBorder="1" applyAlignment="1">
      <alignment horizontal="left"/>
    </xf>
    <xf numFmtId="165" fontId="25" fillId="11" borderId="17" xfId="1" applyNumberFormat="1" applyFont="1" applyFill="1" applyBorder="1" applyAlignment="1">
      <alignment horizontal="right"/>
    </xf>
    <xf numFmtId="165" fontId="31" fillId="5" borderId="17" xfId="1" applyNumberFormat="1" applyFont="1" applyFill="1" applyBorder="1" applyAlignment="1">
      <alignment horizontal="right"/>
    </xf>
    <xf numFmtId="0" fontId="26" fillId="5" borderId="0" xfId="0" applyFont="1" applyFill="1" applyAlignment="1">
      <alignment horizontal="center" vertical="center" wrapText="1"/>
    </xf>
    <xf numFmtId="169" fontId="29" fillId="4" borderId="17" xfId="0" applyNumberFormat="1" applyFont="1" applyFill="1" applyBorder="1" applyAlignment="1">
      <alignment horizontal="center" vertical="center" wrapText="1"/>
    </xf>
    <xf numFmtId="169" fontId="29" fillId="0" borderId="0" xfId="0" applyNumberFormat="1" applyFont="1" applyAlignment="1">
      <alignment horizontal="center" vertical="center" wrapText="1"/>
    </xf>
    <xf numFmtId="0" fontId="29" fillId="4" borderId="17" xfId="0" applyFont="1" applyFill="1" applyBorder="1" applyAlignment="1">
      <alignment vertical="center" wrapText="1"/>
    </xf>
    <xf numFmtId="168" fontId="25" fillId="0" borderId="17" xfId="1" applyNumberFormat="1" applyFont="1" applyFill="1" applyBorder="1"/>
    <xf numFmtId="169" fontId="25" fillId="0" borderId="17" xfId="1" applyNumberFormat="1" applyFont="1" applyFill="1" applyBorder="1"/>
    <xf numFmtId="169" fontId="25" fillId="0" borderId="0" xfId="1" applyNumberFormat="1" applyFont="1" applyFill="1" applyBorder="1"/>
    <xf numFmtId="41" fontId="25" fillId="3" borderId="34" xfId="0" applyNumberFormat="1" applyFont="1" applyFill="1" applyBorder="1"/>
    <xf numFmtId="165" fontId="25" fillId="0" borderId="35" xfId="1" applyNumberFormat="1" applyFont="1" applyFill="1" applyBorder="1" applyAlignment="1"/>
    <xf numFmtId="165" fontId="25" fillId="5" borderId="0" xfId="1" applyNumberFormat="1" applyFont="1" applyFill="1" applyBorder="1" applyAlignment="1"/>
    <xf numFmtId="165" fontId="25" fillId="0" borderId="18" xfId="1" applyNumberFormat="1" applyFont="1" applyFill="1" applyBorder="1" applyAlignment="1"/>
    <xf numFmtId="0" fontId="25" fillId="3" borderId="28" xfId="0" applyFont="1" applyFill="1" applyBorder="1"/>
    <xf numFmtId="41" fontId="25" fillId="3" borderId="28" xfId="1" applyNumberFormat="1" applyFont="1" applyFill="1" applyBorder="1"/>
    <xf numFmtId="41" fontId="25" fillId="0" borderId="19" xfId="1" applyNumberFormat="1" applyFont="1" applyFill="1" applyBorder="1" applyAlignment="1">
      <alignment horizontal="left"/>
    </xf>
    <xf numFmtId="41" fontId="25" fillId="0" borderId="17" xfId="1" applyNumberFormat="1" applyFont="1" applyFill="1" applyBorder="1" applyAlignment="1">
      <alignment horizontal="left"/>
    </xf>
    <xf numFmtId="0" fontId="26" fillId="5" borderId="0" xfId="0" applyFont="1" applyFill="1" applyAlignment="1">
      <alignment horizontal="center"/>
    </xf>
    <xf numFmtId="0" fontId="29" fillId="4" borderId="20" xfId="0" applyFont="1" applyFill="1" applyBorder="1" applyAlignment="1">
      <alignment vertical="center" wrapText="1"/>
    </xf>
    <xf numFmtId="165" fontId="25" fillId="15" borderId="34" xfId="1" applyNumberFormat="1" applyFont="1" applyFill="1" applyBorder="1" applyAlignment="1"/>
    <xf numFmtId="165" fontId="25" fillId="0" borderId="34" xfId="1" applyNumberFormat="1" applyFont="1" applyFill="1" applyBorder="1" applyAlignment="1"/>
    <xf numFmtId="165" fontId="25" fillId="0" borderId="0" xfId="1" applyNumberFormat="1" applyFont="1" applyFill="1" applyBorder="1" applyAlignment="1"/>
    <xf numFmtId="3" fontId="25" fillId="0" borderId="0" xfId="0" applyNumberFormat="1" applyFont="1"/>
    <xf numFmtId="16" fontId="25" fillId="0" borderId="0" xfId="0" applyNumberFormat="1" applyFont="1"/>
    <xf numFmtId="16" fontId="25" fillId="5" borderId="0" xfId="0" applyNumberFormat="1" applyFont="1" applyFill="1"/>
    <xf numFmtId="16" fontId="26" fillId="5" borderId="0" xfId="0" applyNumberFormat="1" applyFont="1" applyFill="1" applyAlignment="1">
      <alignment horizontal="center"/>
    </xf>
    <xf numFmtId="165" fontId="25" fillId="3" borderId="28" xfId="1" applyNumberFormat="1" applyFont="1" applyFill="1" applyBorder="1" applyAlignment="1">
      <alignment horizontal="right"/>
    </xf>
    <xf numFmtId="165" fontId="25" fillId="5" borderId="0" xfId="0" applyNumberFormat="1" applyFont="1" applyFill="1"/>
    <xf numFmtId="165" fontId="25" fillId="0" borderId="17" xfId="1" applyNumberFormat="1" applyFont="1" applyFill="1" applyBorder="1" applyAlignment="1">
      <alignment horizontal="right"/>
    </xf>
    <xf numFmtId="165" fontId="25" fillId="5" borderId="19" xfId="1" applyNumberFormat="1" applyFont="1" applyFill="1" applyBorder="1" applyAlignment="1">
      <alignment horizontal="right"/>
    </xf>
    <xf numFmtId="165" fontId="25" fillId="5" borderId="17" xfId="1" applyNumberFormat="1" applyFont="1" applyFill="1" applyBorder="1" applyAlignment="1">
      <alignment horizontal="right"/>
    </xf>
    <xf numFmtId="0" fontId="3" fillId="2" borderId="0" xfId="7" applyFont="1" applyFill="1" applyAlignment="1">
      <alignment vertical="center" wrapText="1"/>
    </xf>
    <xf numFmtId="0" fontId="32" fillId="5" borderId="0" xfId="0" applyFont="1" applyFill="1"/>
    <xf numFmtId="0" fontId="28" fillId="0" borderId="0" xfId="0" applyFont="1" applyAlignment="1">
      <alignment horizontal="center"/>
    </xf>
    <xf numFmtId="0" fontId="26" fillId="5" borderId="37" xfId="0" applyFont="1" applyFill="1" applyBorder="1" applyAlignment="1">
      <alignment horizontal="center" vertical="center"/>
    </xf>
    <xf numFmtId="0" fontId="26" fillId="5" borderId="0" xfId="0" applyFont="1" applyFill="1" applyAlignment="1">
      <alignment horizontal="left" vertical="center"/>
    </xf>
    <xf numFmtId="0" fontId="26" fillId="5" borderId="37" xfId="0" applyFont="1" applyFill="1" applyBorder="1" applyAlignment="1">
      <alignment horizontal="left" vertical="center"/>
    </xf>
    <xf numFmtId="0" fontId="26" fillId="5" borderId="0" xfId="0" applyFont="1" applyFill="1" applyAlignment="1">
      <alignment horizontal="left"/>
    </xf>
    <xf numFmtId="3" fontId="26" fillId="5" borderId="0" xfId="0" applyNumberFormat="1" applyFont="1" applyFill="1" applyAlignment="1">
      <alignment horizontal="center"/>
    </xf>
    <xf numFmtId="3" fontId="26" fillId="5" borderId="38" xfId="0" applyNumberFormat="1" applyFont="1" applyFill="1" applyBorder="1" applyAlignment="1">
      <alignment horizontal="center"/>
    </xf>
    <xf numFmtId="0" fontId="26" fillId="5" borderId="38" xfId="0" applyFont="1" applyFill="1" applyBorder="1" applyAlignment="1">
      <alignment horizontal="center"/>
    </xf>
    <xf numFmtId="3" fontId="25" fillId="5" borderId="0" xfId="0" applyNumberFormat="1" applyFont="1" applyFill="1"/>
    <xf numFmtId="0" fontId="26" fillId="5" borderId="0" xfId="0" applyFont="1" applyFill="1" applyAlignment="1">
      <alignment horizontal="center" wrapText="1"/>
    </xf>
    <xf numFmtId="0" fontId="26" fillId="0" borderId="0" xfId="0" applyFont="1" applyAlignment="1">
      <alignment horizontal="center"/>
    </xf>
    <xf numFmtId="16" fontId="26" fillId="0" borderId="0" xfId="0" applyNumberFormat="1" applyFont="1" applyAlignment="1">
      <alignment horizontal="center"/>
    </xf>
    <xf numFmtId="41" fontId="25" fillId="3" borderId="40" xfId="1" applyNumberFormat="1" applyFont="1" applyFill="1" applyBorder="1"/>
    <xf numFmtId="41" fontId="25" fillId="5" borderId="41" xfId="1" applyNumberFormat="1" applyFont="1" applyFill="1" applyBorder="1" applyAlignment="1">
      <alignment horizontal="left"/>
    </xf>
    <xf numFmtId="3" fontId="26" fillId="0" borderId="0" xfId="0" applyNumberFormat="1" applyFont="1" applyAlignment="1">
      <alignment horizontal="center"/>
    </xf>
    <xf numFmtId="41" fontId="25" fillId="5" borderId="4" xfId="1" applyNumberFormat="1" applyFont="1" applyFill="1" applyBorder="1" applyAlignment="1">
      <alignment horizontal="left"/>
    </xf>
    <xf numFmtId="0" fontId="26" fillId="5" borderId="37" xfId="0" applyFont="1" applyFill="1" applyBorder="1" applyAlignment="1">
      <alignment horizontal="center"/>
    </xf>
    <xf numFmtId="0" fontId="26" fillId="5" borderId="37" xfId="0" applyFont="1" applyFill="1" applyBorder="1"/>
    <xf numFmtId="0" fontId="26" fillId="5" borderId="0" xfId="0" applyFont="1" applyFill="1"/>
    <xf numFmtId="16" fontId="26" fillId="5" borderId="0" xfId="0" applyNumberFormat="1" applyFont="1" applyFill="1"/>
    <xf numFmtId="0" fontId="26" fillId="0" borderId="37" xfId="0" applyFont="1" applyBorder="1" applyAlignment="1">
      <alignment horizontal="center"/>
    </xf>
    <xf numFmtId="3" fontId="26" fillId="0" borderId="37" xfId="0" applyNumberFormat="1" applyFont="1" applyBorder="1" applyAlignment="1">
      <alignment horizontal="center"/>
    </xf>
    <xf numFmtId="0" fontId="26" fillId="5" borderId="43" xfId="0" applyFont="1" applyFill="1" applyBorder="1" applyAlignment="1">
      <alignment horizontal="center"/>
    </xf>
    <xf numFmtId="0" fontId="25" fillId="5" borderId="37" xfId="0" applyFont="1" applyFill="1" applyBorder="1"/>
    <xf numFmtId="3" fontId="25" fillId="5" borderId="37" xfId="0" applyNumberFormat="1" applyFont="1" applyFill="1" applyBorder="1"/>
    <xf numFmtId="3" fontId="25" fillId="5" borderId="0" xfId="0" applyNumberFormat="1" applyFont="1" applyFill="1" applyAlignment="1">
      <alignment horizontal="left"/>
    </xf>
    <xf numFmtId="16" fontId="26" fillId="5" borderId="0" xfId="0" applyNumberFormat="1" applyFont="1" applyFill="1" applyAlignment="1">
      <alignment horizontal="center" wrapText="1"/>
    </xf>
    <xf numFmtId="16" fontId="25" fillId="5" borderId="0" xfId="0" applyNumberFormat="1" applyFont="1" applyFill="1" applyAlignment="1">
      <alignment wrapText="1"/>
    </xf>
    <xf numFmtId="0" fontId="25" fillId="3" borderId="3" xfId="0" applyFont="1" applyFill="1" applyBorder="1"/>
    <xf numFmtId="41" fontId="25" fillId="19" borderId="17" xfId="1" applyNumberFormat="1" applyFont="1" applyFill="1" applyBorder="1"/>
    <xf numFmtId="41" fontId="25" fillId="19" borderId="17" xfId="0" applyNumberFormat="1" applyFont="1" applyFill="1" applyBorder="1" applyAlignment="1">
      <alignment horizontal="right" vertical="top"/>
    </xf>
    <xf numFmtId="41" fontId="25" fillId="19" borderId="17" xfId="1" applyNumberFormat="1" applyFont="1" applyFill="1" applyBorder="1" applyAlignment="1">
      <alignment horizontal="right" vertical="top"/>
    </xf>
    <xf numFmtId="165" fontId="25" fillId="5" borderId="29" xfId="1" applyNumberFormat="1" applyFont="1" applyFill="1" applyBorder="1" applyAlignment="1">
      <alignment horizontal="right"/>
    </xf>
    <xf numFmtId="41" fontId="25" fillId="0" borderId="17" xfId="1" applyNumberFormat="1" applyFont="1" applyFill="1" applyBorder="1" applyAlignment="1">
      <alignment horizontal="right" vertical="top"/>
    </xf>
    <xf numFmtId="165" fontId="25" fillId="5" borderId="3" xfId="1" applyNumberFormat="1" applyFont="1" applyFill="1" applyBorder="1" applyAlignment="1">
      <alignment horizontal="right"/>
    </xf>
    <xf numFmtId="170" fontId="25" fillId="19" borderId="17" xfId="1" applyNumberFormat="1" applyFont="1" applyFill="1" applyBorder="1"/>
    <xf numFmtId="170" fontId="25" fillId="19" borderId="17" xfId="0" applyNumberFormat="1" applyFont="1" applyFill="1" applyBorder="1" applyAlignment="1">
      <alignment horizontal="right" vertical="top"/>
    </xf>
    <xf numFmtId="170" fontId="25" fillId="19" borderId="17" xfId="1" applyNumberFormat="1" applyFont="1" applyFill="1" applyBorder="1" applyAlignment="1">
      <alignment horizontal="right" vertical="top"/>
    </xf>
    <xf numFmtId="170" fontId="25" fillId="0" borderId="17" xfId="1" applyNumberFormat="1" applyFont="1" applyFill="1" applyBorder="1" applyAlignment="1">
      <alignment horizontal="left"/>
    </xf>
    <xf numFmtId="170" fontId="25" fillId="0" borderId="17" xfId="1" applyNumberFormat="1" applyFont="1" applyFill="1" applyBorder="1" applyAlignment="1">
      <alignment horizontal="right" vertical="top"/>
    </xf>
    <xf numFmtId="41" fontId="26" fillId="5" borderId="0" xfId="0" applyNumberFormat="1" applyFont="1" applyFill="1" applyAlignment="1">
      <alignment horizontal="center"/>
    </xf>
    <xf numFmtId="4" fontId="26" fillId="5" borderId="0" xfId="0" applyNumberFormat="1" applyFont="1" applyFill="1" applyAlignment="1">
      <alignment horizontal="center"/>
    </xf>
    <xf numFmtId="0" fontId="26" fillId="5" borderId="39" xfId="0" applyFont="1" applyFill="1" applyBorder="1" applyAlignment="1">
      <alignment horizontal="center"/>
    </xf>
    <xf numFmtId="16" fontId="26" fillId="5" borderId="37" xfId="0" applyNumberFormat="1" applyFont="1" applyFill="1" applyBorder="1" applyAlignment="1">
      <alignment horizontal="center"/>
    </xf>
    <xf numFmtId="4" fontId="26" fillId="5" borderId="37" xfId="0" applyNumberFormat="1" applyFont="1" applyFill="1" applyBorder="1" applyAlignment="1">
      <alignment horizontal="center"/>
    </xf>
    <xf numFmtId="4" fontId="26" fillId="0" borderId="0" xfId="0" applyNumberFormat="1" applyFont="1" applyAlignment="1">
      <alignment horizontal="center"/>
    </xf>
    <xf numFmtId="4" fontId="26" fillId="0" borderId="0" xfId="0" applyNumberFormat="1" applyFont="1"/>
    <xf numFmtId="4" fontId="25" fillId="0" borderId="0" xfId="0" applyNumberFormat="1" applyFont="1"/>
    <xf numFmtId="170" fontId="25" fillId="5" borderId="0" xfId="1" applyNumberFormat="1" applyFont="1" applyFill="1" applyBorder="1" applyAlignment="1">
      <alignment horizontal="left"/>
    </xf>
    <xf numFmtId="165" fontId="26" fillId="0" borderId="0" xfId="1" applyNumberFormat="1" applyFont="1" applyFill="1" applyBorder="1" applyAlignment="1">
      <alignment horizontal="left"/>
    </xf>
    <xf numFmtId="0" fontId="29" fillId="4" borderId="45" xfId="0" applyFont="1" applyFill="1" applyBorder="1" applyAlignment="1">
      <alignment horizontal="center" vertical="center" wrapText="1"/>
    </xf>
    <xf numFmtId="165" fontId="25" fillId="5" borderId="45" xfId="1" applyNumberFormat="1" applyFont="1" applyFill="1" applyBorder="1" applyAlignment="1">
      <alignment vertical="center"/>
    </xf>
    <xf numFmtId="165" fontId="25" fillId="5" borderId="17" xfId="1" applyNumberFormat="1" applyFont="1" applyFill="1" applyBorder="1" applyAlignment="1">
      <alignment vertical="center"/>
    </xf>
    <xf numFmtId="165" fontId="25" fillId="5" borderId="0" xfId="1" applyNumberFormat="1" applyFont="1" applyFill="1" applyBorder="1" applyAlignment="1">
      <alignment horizontal="center" vertical="center"/>
    </xf>
    <xf numFmtId="41" fontId="25" fillId="5" borderId="0" xfId="1" applyNumberFormat="1" applyFont="1" applyFill="1" applyBorder="1" applyAlignment="1">
      <alignment horizontal="left"/>
    </xf>
    <xf numFmtId="16" fontId="0" fillId="0" borderId="0" xfId="0" applyNumberFormat="1"/>
    <xf numFmtId="0" fontId="25" fillId="15" borderId="46" xfId="0" applyFont="1" applyFill="1" applyBorder="1" applyAlignment="1">
      <alignment horizontal="center" vertical="center"/>
    </xf>
    <xf numFmtId="4" fontId="0" fillId="0" borderId="0" xfId="0" applyNumberFormat="1"/>
    <xf numFmtId="0" fontId="29" fillId="4" borderId="1" xfId="0" applyFont="1" applyFill="1" applyBorder="1" applyAlignment="1">
      <alignment horizontal="center" vertical="center" wrapText="1"/>
    </xf>
    <xf numFmtId="0" fontId="29" fillId="4" borderId="21" xfId="0" applyFont="1" applyFill="1" applyBorder="1" applyAlignment="1">
      <alignment horizontal="center" vertical="center" wrapText="1"/>
    </xf>
    <xf numFmtId="16" fontId="29" fillId="4" borderId="2" xfId="0" applyNumberFormat="1" applyFont="1" applyFill="1" applyBorder="1" applyAlignment="1">
      <alignment horizontal="center" vertical="center" wrapText="1"/>
    </xf>
    <xf numFmtId="165" fontId="26" fillId="15" borderId="27" xfId="1" applyNumberFormat="1" applyFont="1" applyFill="1" applyBorder="1" applyAlignment="1">
      <alignment horizontal="left"/>
    </xf>
    <xf numFmtId="165" fontId="26" fillId="15" borderId="28" xfId="1" applyNumberFormat="1" applyFont="1" applyFill="1" applyBorder="1" applyAlignment="1">
      <alignment horizontal="left"/>
    </xf>
    <xf numFmtId="165" fontId="26" fillId="15" borderId="40" xfId="1" applyNumberFormat="1" applyFont="1" applyFill="1" applyBorder="1" applyAlignment="1">
      <alignment horizontal="left"/>
    </xf>
    <xf numFmtId="165" fontId="25" fillId="0" borderId="29" xfId="1" applyNumberFormat="1" applyFont="1" applyFill="1" applyBorder="1" applyAlignment="1">
      <alignment horizontal="left"/>
    </xf>
    <xf numFmtId="165" fontId="25" fillId="0" borderId="47" xfId="1" applyNumberFormat="1" applyFont="1" applyFill="1" applyBorder="1" applyAlignment="1">
      <alignment horizontal="left"/>
    </xf>
    <xf numFmtId="165" fontId="25" fillId="0" borderId="3" xfId="1" applyNumberFormat="1" applyFont="1" applyFill="1" applyBorder="1" applyAlignment="1">
      <alignment horizontal="left"/>
    </xf>
    <xf numFmtId="165" fontId="25" fillId="0" borderId="4" xfId="1" applyNumberFormat="1" applyFont="1" applyFill="1" applyBorder="1" applyAlignment="1">
      <alignment horizontal="left"/>
    </xf>
    <xf numFmtId="0" fontId="25" fillId="0" borderId="3" xfId="0" applyFont="1" applyBorder="1" applyAlignment="1">
      <alignment horizontal="left"/>
    </xf>
    <xf numFmtId="0" fontId="25" fillId="0" borderId="17" xfId="0" applyFont="1" applyBorder="1"/>
    <xf numFmtId="0" fontId="25" fillId="0" borderId="4" xfId="0" applyFont="1" applyBorder="1"/>
    <xf numFmtId="41" fontId="25" fillId="5" borderId="0" xfId="1" applyNumberFormat="1" applyFont="1" applyFill="1" applyBorder="1" applyAlignment="1">
      <alignment horizontal="right"/>
    </xf>
    <xf numFmtId="168" fontId="25" fillId="5" borderId="0" xfId="1" applyNumberFormat="1" applyFont="1" applyFill="1" applyBorder="1" applyAlignment="1">
      <alignment horizontal="left"/>
    </xf>
    <xf numFmtId="41" fontId="25" fillId="3" borderId="17" xfId="1" applyNumberFormat="1" applyFont="1" applyFill="1" applyBorder="1" applyAlignment="1">
      <alignment horizontal="left"/>
    </xf>
    <xf numFmtId="4" fontId="25" fillId="0" borderId="0" xfId="0" applyNumberFormat="1" applyFont="1" applyAlignment="1">
      <alignment horizontal="center" wrapText="1"/>
    </xf>
    <xf numFmtId="4" fontId="25" fillId="5" borderId="37" xfId="0" applyNumberFormat="1" applyFont="1" applyFill="1" applyBorder="1"/>
    <xf numFmtId="16" fontId="25" fillId="0" borderId="37" xfId="0" applyNumberFormat="1" applyFont="1" applyBorder="1"/>
    <xf numFmtId="0" fontId="25" fillId="0" borderId="37" xfId="0" applyFont="1" applyBorder="1"/>
    <xf numFmtId="0" fontId="25" fillId="15" borderId="48" xfId="0" applyFont="1" applyFill="1" applyBorder="1" applyAlignment="1">
      <alignment horizontal="center" vertical="center"/>
    </xf>
    <xf numFmtId="4" fontId="25" fillId="5" borderId="0" xfId="0" applyNumberFormat="1" applyFont="1" applyFill="1"/>
    <xf numFmtId="0" fontId="25" fillId="0" borderId="5" xfId="0" applyFont="1" applyBorder="1" applyAlignment="1">
      <alignment horizontal="left"/>
    </xf>
    <xf numFmtId="0" fontId="25" fillId="0" borderId="22" xfId="0" applyFont="1" applyBorder="1"/>
    <xf numFmtId="0" fontId="25" fillId="0" borderId="6" xfId="0" applyFont="1" applyBorder="1"/>
    <xf numFmtId="165" fontId="0" fillId="0" borderId="0" xfId="1" applyNumberFormat="1" applyFont="1" applyBorder="1"/>
    <xf numFmtId="166" fontId="0" fillId="0" borderId="0" xfId="3" applyNumberFormat="1" applyFont="1" applyBorder="1"/>
    <xf numFmtId="0" fontId="8" fillId="5" borderId="0" xfId="7" applyFont="1" applyFill="1" applyAlignment="1">
      <alignment vertical="center" wrapText="1"/>
    </xf>
    <xf numFmtId="0" fontId="33" fillId="5" borderId="0" xfId="0" applyFont="1" applyFill="1" applyAlignment="1">
      <alignment horizontal="left" vertical="center" wrapText="1"/>
    </xf>
    <xf numFmtId="0" fontId="34" fillId="2" borderId="0" xfId="7" applyFont="1" applyFill="1" applyAlignment="1">
      <alignment vertical="center" wrapText="1"/>
    </xf>
    <xf numFmtId="165" fontId="34" fillId="2" borderId="0" xfId="1" applyNumberFormat="1" applyFont="1" applyFill="1" applyBorder="1" applyAlignment="1">
      <alignment vertical="center" wrapText="1"/>
    </xf>
    <xf numFmtId="166" fontId="34" fillId="2" borderId="0" xfId="3" applyNumberFormat="1" applyFont="1" applyFill="1" applyBorder="1" applyAlignment="1">
      <alignment vertical="center" wrapText="1"/>
    </xf>
    <xf numFmtId="0" fontId="35" fillId="2" borderId="0" xfId="7" applyFont="1" applyFill="1" applyAlignment="1">
      <alignment vertical="center" wrapText="1"/>
    </xf>
    <xf numFmtId="0" fontId="37" fillId="20" borderId="17" xfId="0" applyFont="1" applyFill="1" applyBorder="1" applyAlignment="1">
      <alignment horizontal="left" vertical="top"/>
    </xf>
    <xf numFmtId="0" fontId="37" fillId="20" borderId="17" xfId="0" applyFont="1" applyFill="1" applyBorder="1" applyAlignment="1">
      <alignment horizontal="left"/>
    </xf>
    <xf numFmtId="165" fontId="37" fillId="20" borderId="17" xfId="1" applyNumberFormat="1" applyFont="1" applyFill="1" applyBorder="1" applyAlignment="1">
      <alignment horizontal="left"/>
    </xf>
    <xf numFmtId="166" fontId="37" fillId="20" borderId="17" xfId="3" applyNumberFormat="1" applyFont="1" applyFill="1" applyBorder="1" applyAlignment="1">
      <alignment horizontal="left"/>
    </xf>
    <xf numFmtId="0" fontId="38" fillId="0" borderId="17" xfId="0" applyFont="1" applyBorder="1" applyAlignment="1">
      <alignment vertical="center"/>
    </xf>
    <xf numFmtId="3" fontId="39" fillId="0" borderId="17" xfId="0" applyNumberFormat="1" applyFont="1" applyBorder="1"/>
    <xf numFmtId="171" fontId="39" fillId="0" borderId="17" xfId="0" applyNumberFormat="1" applyFont="1" applyBorder="1"/>
    <xf numFmtId="0" fontId="39" fillId="0" borderId="17" xfId="0" applyFont="1" applyBorder="1" applyAlignment="1">
      <alignment horizontal="left"/>
    </xf>
    <xf numFmtId="165" fontId="39" fillId="0" borderId="17" xfId="1" applyNumberFormat="1" applyFont="1" applyBorder="1" applyAlignment="1">
      <alignment horizontal="right"/>
    </xf>
    <xf numFmtId="166" fontId="39" fillId="0" borderId="17" xfId="3" applyNumberFormat="1" applyFont="1" applyBorder="1" applyAlignment="1">
      <alignment horizontal="right"/>
    </xf>
    <xf numFmtId="3" fontId="38" fillId="0" borderId="17" xfId="0" applyNumberFormat="1" applyFont="1" applyBorder="1" applyAlignment="1">
      <alignment vertical="center"/>
    </xf>
    <xf numFmtId="171" fontId="38" fillId="0" borderId="17" xfId="2" applyNumberFormat="1" applyFont="1" applyBorder="1" applyAlignment="1">
      <alignment vertical="center"/>
    </xf>
    <xf numFmtId="165" fontId="39" fillId="0" borderId="17" xfId="1" applyNumberFormat="1" applyFont="1" applyFill="1" applyBorder="1" applyAlignment="1">
      <alignment horizontal="right"/>
    </xf>
    <xf numFmtId="166" fontId="39" fillId="0" borderId="17" xfId="3" applyNumberFormat="1" applyFont="1" applyFill="1" applyBorder="1" applyAlignment="1">
      <alignment horizontal="right"/>
    </xf>
    <xf numFmtId="0" fontId="40" fillId="19" borderId="17" xfId="0" applyFont="1" applyFill="1" applyBorder="1" applyAlignment="1">
      <alignment vertical="center"/>
    </xf>
    <xf numFmtId="165" fontId="40" fillId="19" borderId="17" xfId="1" applyNumberFormat="1" applyFont="1" applyFill="1" applyBorder="1" applyAlignment="1">
      <alignment vertical="center"/>
    </xf>
    <xf numFmtId="166" fontId="40" fillId="19" borderId="17" xfId="3" applyNumberFormat="1" applyFont="1" applyFill="1" applyBorder="1" applyAlignment="1">
      <alignment vertical="center"/>
    </xf>
    <xf numFmtId="0" fontId="41" fillId="0" borderId="0" xfId="0" applyFont="1" applyAlignment="1">
      <alignment horizontal="left"/>
    </xf>
    <xf numFmtId="3" fontId="40" fillId="19" borderId="17" xfId="0" applyNumberFormat="1" applyFont="1" applyFill="1" applyBorder="1" applyAlignment="1">
      <alignment vertical="center"/>
    </xf>
    <xf numFmtId="171" fontId="40" fillId="19" borderId="17" xfId="2" applyNumberFormat="1" applyFont="1" applyFill="1" applyBorder="1" applyAlignment="1">
      <alignment vertical="center"/>
    </xf>
    <xf numFmtId="0" fontId="42" fillId="5" borderId="0" xfId="0" applyFont="1" applyFill="1" applyAlignment="1">
      <alignment horizontal="left" vertical="center" wrapText="1"/>
    </xf>
    <xf numFmtId="0" fontId="39" fillId="0" borderId="0" xfId="0" applyFont="1"/>
    <xf numFmtId="165" fontId="37" fillId="20" borderId="17" xfId="1" applyNumberFormat="1" applyFont="1" applyFill="1" applyBorder="1" applyAlignment="1">
      <alignment horizontal="right"/>
    </xf>
    <xf numFmtId="166" fontId="37" fillId="20" borderId="17" xfId="3" applyNumberFormat="1" applyFont="1" applyFill="1" applyBorder="1" applyAlignment="1">
      <alignment horizontal="right"/>
    </xf>
    <xf numFmtId="3" fontId="34" fillId="2" borderId="0" xfId="7" applyNumberFormat="1" applyFont="1" applyFill="1" applyAlignment="1">
      <alignment vertical="center" wrapText="1"/>
    </xf>
    <xf numFmtId="172" fontId="38" fillId="0" borderId="17" xfId="0" applyNumberFormat="1" applyFont="1" applyBorder="1" applyAlignment="1">
      <alignment vertical="center"/>
    </xf>
    <xf numFmtId="172" fontId="39" fillId="0" borderId="17" xfId="0" applyNumberFormat="1" applyFont="1" applyBorder="1"/>
    <xf numFmtId="172" fontId="40" fillId="19" borderId="17" xfId="0" applyNumberFormat="1" applyFont="1" applyFill="1" applyBorder="1" applyAlignment="1">
      <alignment vertical="center"/>
    </xf>
    <xf numFmtId="165" fontId="33" fillId="5" borderId="0" xfId="1" applyNumberFormat="1" applyFont="1" applyFill="1" applyBorder="1" applyAlignment="1">
      <alignment horizontal="left" vertical="center" wrapText="1"/>
    </xf>
    <xf numFmtId="0" fontId="33" fillId="5" borderId="0" xfId="0" applyFont="1" applyFill="1" applyAlignment="1">
      <alignment horizontal="left" vertical="top" wrapText="1"/>
    </xf>
    <xf numFmtId="165" fontId="39" fillId="0" borderId="0" xfId="1" applyNumberFormat="1" applyFont="1"/>
    <xf numFmtId="166" fontId="39" fillId="0" borderId="0" xfId="3" applyNumberFormat="1" applyFont="1"/>
    <xf numFmtId="0" fontId="37" fillId="4" borderId="10" xfId="0" applyFont="1" applyFill="1" applyBorder="1" applyAlignment="1">
      <alignment horizontal="center" vertical="center" wrapText="1"/>
    </xf>
    <xf numFmtId="0" fontId="36" fillId="15" borderId="10" xfId="0" applyFont="1" applyFill="1" applyBorder="1"/>
    <xf numFmtId="41" fontId="43" fillId="15" borderId="10" xfId="0" applyNumberFormat="1" applyFont="1" applyFill="1" applyBorder="1" applyAlignment="1">
      <alignment horizontal="center"/>
    </xf>
    <xf numFmtId="170" fontId="43" fillId="15" borderId="10" xfId="0" applyNumberFormat="1" applyFont="1" applyFill="1" applyBorder="1" applyAlignment="1">
      <alignment horizontal="center"/>
    </xf>
    <xf numFmtId="0" fontId="36" fillId="21" borderId="10" xfId="0" applyFont="1" applyFill="1" applyBorder="1" applyAlignment="1">
      <alignment vertical="center"/>
    </xf>
    <xf numFmtId="3" fontId="36" fillId="21" borderId="10" xfId="0" applyNumberFormat="1" applyFont="1" applyFill="1" applyBorder="1" applyAlignment="1">
      <alignment vertical="center"/>
    </xf>
    <xf numFmtId="172" fontId="36" fillId="21" borderId="10" xfId="0" applyNumberFormat="1" applyFont="1" applyFill="1" applyBorder="1" applyAlignment="1">
      <alignment vertical="center"/>
    </xf>
    <xf numFmtId="0" fontId="39" fillId="0" borderId="10" xfId="0" applyFont="1" applyBorder="1" applyAlignment="1">
      <alignment horizontal="left" indent="1"/>
    </xf>
    <xf numFmtId="3" fontId="39" fillId="0" borderId="10" xfId="0" applyNumberFormat="1" applyFont="1" applyBorder="1"/>
    <xf numFmtId="172" fontId="39" fillId="0" borderId="10" xfId="0" applyNumberFormat="1" applyFont="1" applyBorder="1"/>
    <xf numFmtId="3" fontId="39" fillId="0" borderId="0" xfId="0" applyNumberFormat="1" applyFont="1"/>
    <xf numFmtId="3" fontId="36" fillId="21" borderId="10" xfId="0" applyNumberFormat="1" applyFont="1" applyFill="1" applyBorder="1"/>
    <xf numFmtId="172" fontId="36" fillId="21" borderId="10" xfId="0" applyNumberFormat="1" applyFont="1" applyFill="1" applyBorder="1"/>
    <xf numFmtId="0" fontId="39" fillId="0" borderId="10" xfId="0" applyFont="1" applyBorder="1" applyAlignment="1">
      <alignment horizontal="left" vertical="center" indent="1"/>
    </xf>
    <xf numFmtId="3" fontId="39" fillId="0" borderId="10" xfId="0" applyNumberFormat="1" applyFont="1" applyBorder="1" applyAlignment="1">
      <alignment vertical="center"/>
    </xf>
    <xf numFmtId="172" fontId="39" fillId="0" borderId="10" xfId="0" applyNumberFormat="1" applyFont="1" applyBorder="1" applyAlignment="1">
      <alignment vertical="center"/>
    </xf>
    <xf numFmtId="0" fontId="36" fillId="21" borderId="10" xfId="0" applyFont="1" applyFill="1" applyBorder="1"/>
    <xf numFmtId="0" fontId="36" fillId="21" borderId="10" xfId="0" applyFont="1" applyFill="1" applyBorder="1" applyAlignment="1">
      <alignment horizontal="left"/>
    </xf>
    <xf numFmtId="0" fontId="39" fillId="0" borderId="10" xfId="0" applyFont="1" applyBorder="1"/>
    <xf numFmtId="2" fontId="39" fillId="0" borderId="10" xfId="0" applyNumberFormat="1" applyFont="1" applyBorder="1"/>
    <xf numFmtId="165" fontId="39" fillId="0" borderId="0" xfId="1" applyNumberFormat="1" applyFont="1" applyBorder="1"/>
    <xf numFmtId="0" fontId="44" fillId="2" borderId="45" xfId="7" applyFont="1" applyFill="1" applyBorder="1" applyAlignment="1">
      <alignment vertical="center" wrapText="1"/>
    </xf>
    <xf numFmtId="0" fontId="3" fillId="2" borderId="49" xfId="7" applyFont="1" applyFill="1" applyBorder="1" applyAlignment="1">
      <alignment vertical="center" wrapText="1"/>
    </xf>
    <xf numFmtId="0" fontId="15" fillId="22" borderId="0" xfId="0" applyFont="1" applyFill="1"/>
    <xf numFmtId="0" fontId="16" fillId="22" borderId="0" xfId="0" applyFont="1" applyFill="1"/>
    <xf numFmtId="0" fontId="17" fillId="23" borderId="0" xfId="0" applyFont="1" applyFill="1" applyAlignment="1">
      <alignment wrapText="1"/>
    </xf>
    <xf numFmtId="0" fontId="15" fillId="23" borderId="18" xfId="0" applyFont="1" applyFill="1" applyBorder="1"/>
    <xf numFmtId="0" fontId="18" fillId="22" borderId="20" xfId="0" applyFont="1" applyFill="1" applyBorder="1"/>
    <xf numFmtId="0" fontId="0" fillId="22" borderId="0" xfId="0" applyFill="1"/>
    <xf numFmtId="0" fontId="18" fillId="22" borderId="19" xfId="0" applyFont="1" applyFill="1" applyBorder="1" applyAlignment="1">
      <alignment wrapText="1"/>
    </xf>
    <xf numFmtId="0" fontId="5" fillId="22" borderId="20" xfId="0" applyFont="1" applyFill="1" applyBorder="1"/>
    <xf numFmtId="14" fontId="5" fillId="22" borderId="20" xfId="0" applyNumberFormat="1" applyFont="1" applyFill="1" applyBorder="1"/>
    <xf numFmtId="0" fontId="51" fillId="0" borderId="20" xfId="0" applyFont="1" applyBorder="1"/>
    <xf numFmtId="0" fontId="2" fillId="0" borderId="0" xfId="6" applyFont="1" applyAlignment="1">
      <alignment horizontal="center" vertical="top"/>
    </xf>
    <xf numFmtId="0" fontId="2" fillId="3" borderId="0" xfId="6" applyFont="1" applyFill="1" applyAlignment="1">
      <alignment horizontal="center" vertical="top"/>
    </xf>
    <xf numFmtId="0" fontId="33" fillId="5" borderId="36" xfId="0" applyFont="1" applyFill="1" applyBorder="1" applyAlignment="1">
      <alignment horizontal="left" wrapText="1"/>
    </xf>
    <xf numFmtId="0" fontId="36" fillId="0" borderId="0" xfId="0" applyFont="1" applyAlignment="1">
      <alignment horizontal="center"/>
    </xf>
    <xf numFmtId="0" fontId="41" fillId="0" borderId="0" xfId="0" applyFont="1" applyAlignment="1">
      <alignment horizontal="left"/>
    </xf>
    <xf numFmtId="0" fontId="33" fillId="5" borderId="14" xfId="0" applyFont="1" applyFill="1" applyBorder="1" applyAlignment="1">
      <alignment vertical="center" wrapText="1"/>
    </xf>
    <xf numFmtId="0" fontId="3" fillId="2" borderId="0" xfId="7" applyFont="1" applyFill="1" applyAlignment="1">
      <alignment horizontal="center" vertical="center" wrapText="1"/>
    </xf>
    <xf numFmtId="0" fontId="42" fillId="5" borderId="30" xfId="0" applyFont="1" applyFill="1" applyBorder="1" applyAlignment="1">
      <alignment horizontal="left" vertical="center" wrapText="1"/>
    </xf>
    <xf numFmtId="0" fontId="42" fillId="5" borderId="0" xfId="0" applyFont="1" applyFill="1" applyAlignment="1">
      <alignment horizontal="left" vertical="center" wrapText="1"/>
    </xf>
    <xf numFmtId="0" fontId="33" fillId="5" borderId="0" xfId="0" applyFont="1" applyFill="1" applyAlignment="1">
      <alignment horizontal="left" vertical="top" wrapText="1"/>
    </xf>
    <xf numFmtId="0" fontId="36" fillId="0" borderId="0" xfId="0" applyFont="1" applyAlignment="1">
      <alignment horizontal="left" wrapText="1"/>
    </xf>
    <xf numFmtId="0" fontId="36" fillId="0" borderId="0" xfId="0" applyFont="1" applyAlignment="1">
      <alignment horizontal="left"/>
    </xf>
    <xf numFmtId="0" fontId="2" fillId="0" borderId="0" xfId="6" applyFont="1" applyAlignment="1">
      <alignment horizontal="left" vertical="top"/>
    </xf>
    <xf numFmtId="0" fontId="3" fillId="2" borderId="0" xfId="7" applyFont="1" applyFill="1" applyAlignment="1">
      <alignment horizontal="left" vertical="center" wrapText="1"/>
    </xf>
    <xf numFmtId="0" fontId="2" fillId="3" borderId="0" xfId="6" applyFont="1" applyFill="1" applyAlignment="1">
      <alignment horizontal="left" vertical="top"/>
    </xf>
    <xf numFmtId="0" fontId="27" fillId="5" borderId="0" xfId="0" applyFont="1" applyFill="1" applyAlignment="1">
      <alignment horizontal="left" vertical="center"/>
    </xf>
    <xf numFmtId="0" fontId="28" fillId="15" borderId="1" xfId="0" applyFont="1" applyFill="1" applyBorder="1" applyAlignment="1">
      <alignment horizontal="center" vertical="center"/>
    </xf>
    <xf numFmtId="0" fontId="28" fillId="15" borderId="21" xfId="0" applyFont="1" applyFill="1" applyBorder="1" applyAlignment="1">
      <alignment horizontal="center" vertical="center"/>
    </xf>
    <xf numFmtId="0" fontId="28" fillId="15" borderId="2" xfId="0" applyFont="1" applyFill="1" applyBorder="1" applyAlignment="1">
      <alignment horizontal="center" vertical="center"/>
    </xf>
    <xf numFmtId="0" fontId="26" fillId="0" borderId="13" xfId="0" applyFont="1" applyBorder="1" applyAlignment="1">
      <alignment horizontal="left" vertical="center" wrapText="1"/>
    </xf>
    <xf numFmtId="0" fontId="26" fillId="0" borderId="0" xfId="0" applyFont="1" applyAlignment="1">
      <alignment horizontal="left" vertical="center" wrapText="1"/>
    </xf>
    <xf numFmtId="0" fontId="29" fillId="4" borderId="23" xfId="0" applyFont="1" applyFill="1" applyBorder="1" applyAlignment="1">
      <alignment horizontal="center" vertical="center" wrapText="1"/>
    </xf>
    <xf numFmtId="0" fontId="29" fillId="4" borderId="18" xfId="0" applyFont="1" applyFill="1" applyBorder="1" applyAlignment="1">
      <alignment horizontal="center" vertical="center" wrapText="1"/>
    </xf>
    <xf numFmtId="0" fontId="29" fillId="4" borderId="17" xfId="0" applyFont="1" applyFill="1" applyBorder="1" applyAlignment="1">
      <alignment horizontal="center" vertical="center" wrapText="1"/>
    </xf>
    <xf numFmtId="0" fontId="25" fillId="5" borderId="17" xfId="0" applyFont="1" applyFill="1" applyBorder="1" applyAlignment="1"/>
    <xf numFmtId="0" fontId="25" fillId="3" borderId="28" xfId="0" applyFont="1" applyFill="1" applyBorder="1" applyAlignment="1">
      <alignment horizontal="left"/>
    </xf>
    <xf numFmtId="0" fontId="25" fillId="5" borderId="0" xfId="0" applyFont="1" applyFill="1" applyAlignment="1"/>
    <xf numFmtId="0" fontId="25" fillId="5" borderId="30" xfId="0" applyFont="1" applyFill="1" applyBorder="1" applyAlignment="1"/>
    <xf numFmtId="165" fontId="25" fillId="5" borderId="19" xfId="1" applyNumberFormat="1" applyFont="1" applyFill="1" applyBorder="1" applyAlignment="1">
      <alignment horizontal="left"/>
    </xf>
    <xf numFmtId="165" fontId="25" fillId="5" borderId="17" xfId="1" applyNumberFormat="1" applyFont="1" applyFill="1" applyBorder="1" applyAlignment="1">
      <alignment horizontal="left"/>
    </xf>
    <xf numFmtId="0" fontId="26" fillId="15" borderId="31" xfId="0" applyFont="1" applyFill="1" applyBorder="1" applyAlignment="1">
      <alignment horizontal="center" vertical="center"/>
    </xf>
    <xf numFmtId="0" fontId="26" fillId="15" borderId="24" xfId="0" applyFont="1" applyFill="1" applyBorder="1" applyAlignment="1">
      <alignment horizontal="center" vertical="center"/>
    </xf>
    <xf numFmtId="0" fontId="26" fillId="15" borderId="18" xfId="0" applyFont="1" applyFill="1" applyBorder="1" applyAlignment="1">
      <alignment horizontal="center" vertical="center"/>
    </xf>
    <xf numFmtId="0" fontId="26" fillId="5" borderId="36" xfId="0" applyFont="1" applyFill="1" applyBorder="1" applyAlignment="1">
      <alignment horizontal="left" vertical="center"/>
    </xf>
    <xf numFmtId="0" fontId="26" fillId="5" borderId="39" xfId="0" applyFont="1" applyFill="1" applyBorder="1" applyAlignment="1">
      <alignment horizontal="left" vertical="center"/>
    </xf>
    <xf numFmtId="0" fontId="26" fillId="15" borderId="42" xfId="0" applyFont="1" applyFill="1" applyBorder="1" applyAlignment="1">
      <alignment horizontal="center" vertical="center"/>
    </xf>
    <xf numFmtId="0" fontId="26" fillId="0" borderId="13" xfId="0" applyFont="1" applyBorder="1" applyAlignment="1">
      <alignment vertical="center" wrapText="1"/>
    </xf>
    <xf numFmtId="0" fontId="26" fillId="0" borderId="0" xfId="0" applyFont="1" applyAlignment="1">
      <alignment vertical="center" wrapText="1"/>
    </xf>
    <xf numFmtId="0" fontId="29" fillId="4" borderId="25" xfId="0" applyFont="1" applyFill="1" applyBorder="1" applyAlignment="1">
      <alignment horizontal="center" vertical="center" wrapText="1"/>
    </xf>
    <xf numFmtId="0" fontId="29" fillId="4" borderId="36" xfId="0" applyFont="1" applyFill="1" applyBorder="1" applyAlignment="1">
      <alignment horizontal="center" vertical="center" wrapText="1"/>
    </xf>
    <xf numFmtId="0" fontId="25" fillId="3" borderId="32" xfId="0" applyFont="1" applyFill="1" applyBorder="1" applyAlignment="1">
      <alignment horizontal="left"/>
    </xf>
    <xf numFmtId="0" fontId="25" fillId="3" borderId="34" xfId="0" applyFont="1" applyFill="1" applyBorder="1" applyAlignment="1">
      <alignment horizontal="left"/>
    </xf>
    <xf numFmtId="0" fontId="25" fillId="3" borderId="32" xfId="0" applyFont="1" applyFill="1" applyBorder="1" applyAlignment="1">
      <alignment horizontal="center"/>
    </xf>
    <xf numFmtId="0" fontId="25" fillId="3" borderId="34" xfId="0" applyFont="1" applyFill="1" applyBorder="1" applyAlignment="1">
      <alignment horizontal="center"/>
    </xf>
    <xf numFmtId="165" fontId="25" fillId="5" borderId="33" xfId="1" applyNumberFormat="1" applyFont="1" applyFill="1" applyBorder="1" applyAlignment="1">
      <alignment horizontal="left"/>
    </xf>
    <xf numFmtId="165" fontId="25" fillId="5" borderId="35" xfId="1" applyNumberFormat="1" applyFont="1" applyFill="1" applyBorder="1" applyAlignment="1">
      <alignment horizontal="left"/>
    </xf>
    <xf numFmtId="165" fontId="25" fillId="5" borderId="23" xfId="1" applyNumberFormat="1" applyFont="1" applyFill="1" applyBorder="1" applyAlignment="1">
      <alignment horizontal="left"/>
    </xf>
    <xf numFmtId="165" fontId="25" fillId="5" borderId="18" xfId="1" applyNumberFormat="1" applyFont="1" applyFill="1" applyBorder="1" applyAlignment="1">
      <alignment horizontal="left"/>
    </xf>
    <xf numFmtId="0" fontId="26" fillId="5" borderId="13" xfId="0" applyFont="1" applyFill="1" applyBorder="1" applyAlignment="1">
      <alignment horizontal="left" vertical="center" wrapText="1"/>
    </xf>
    <xf numFmtId="0" fontId="26" fillId="5" borderId="0" xfId="0" applyFont="1" applyFill="1" applyAlignment="1">
      <alignment horizontal="left" vertical="center" wrapText="1"/>
    </xf>
    <xf numFmtId="0" fontId="25" fillId="15" borderId="23" xfId="0" applyFont="1" applyFill="1" applyBorder="1" applyAlignment="1">
      <alignment horizontal="center" vertical="center"/>
    </xf>
    <xf numFmtId="0" fontId="25" fillId="15" borderId="24" xfId="0" applyFont="1" applyFill="1" applyBorder="1" applyAlignment="1">
      <alignment horizontal="center" vertical="center"/>
    </xf>
    <xf numFmtId="0" fontId="25" fillId="15" borderId="18" xfId="0" applyFont="1" applyFill="1" applyBorder="1" applyAlignment="1">
      <alignment horizontal="center" vertical="center"/>
    </xf>
    <xf numFmtId="0" fontId="26" fillId="0" borderId="44" xfId="0" applyFont="1" applyBorder="1" applyAlignment="1">
      <alignment horizontal="left" vertical="center"/>
    </xf>
    <xf numFmtId="0" fontId="26" fillId="0" borderId="36" xfId="0" applyFont="1" applyBorder="1" applyAlignment="1">
      <alignment horizontal="left" vertical="center"/>
    </xf>
    <xf numFmtId="0" fontId="25" fillId="15" borderId="31" xfId="0" applyFont="1" applyFill="1" applyBorder="1" applyAlignment="1">
      <alignment horizontal="center" vertical="center"/>
    </xf>
    <xf numFmtId="0" fontId="25" fillId="15" borderId="42" xfId="0" applyFont="1" applyFill="1" applyBorder="1" applyAlignment="1">
      <alignment horizontal="center" vertical="center"/>
    </xf>
    <xf numFmtId="0" fontId="26" fillId="0" borderId="0" xfId="0" applyFont="1" applyAlignment="1">
      <alignment horizontal="left" vertical="center"/>
    </xf>
    <xf numFmtId="165" fontId="25" fillId="5" borderId="45" xfId="1" applyNumberFormat="1" applyFont="1" applyFill="1" applyBorder="1" applyAlignment="1">
      <alignment horizontal="left" vertical="center"/>
    </xf>
    <xf numFmtId="165" fontId="25" fillId="5" borderId="19" xfId="1" applyNumberFormat="1" applyFont="1" applyFill="1" applyBorder="1" applyAlignment="1">
      <alignment horizontal="left" vertical="center"/>
    </xf>
    <xf numFmtId="0" fontId="26" fillId="0" borderId="13" xfId="0" applyFont="1" applyBorder="1" applyAlignment="1">
      <alignment horizontal="left" vertical="center"/>
    </xf>
    <xf numFmtId="0" fontId="7" fillId="16" borderId="25" xfId="0" applyFont="1" applyFill="1" applyBorder="1" applyAlignment="1">
      <alignment horizontal="center"/>
    </xf>
    <xf numFmtId="0" fontId="7" fillId="16" borderId="20" xfId="0" applyFont="1" applyFill="1" applyBorder="1" applyAlignment="1">
      <alignment horizontal="center"/>
    </xf>
    <xf numFmtId="0" fontId="7" fillId="17" borderId="25" xfId="0" applyFont="1" applyFill="1" applyBorder="1" applyAlignment="1">
      <alignment horizontal="center"/>
    </xf>
    <xf numFmtId="0" fontId="7" fillId="17" borderId="20" xfId="0" applyFont="1" applyFill="1" applyBorder="1" applyAlignment="1">
      <alignment horizontal="center"/>
    </xf>
    <xf numFmtId="0" fontId="7" fillId="18" borderId="25" xfId="0" applyFont="1" applyFill="1" applyBorder="1" applyAlignment="1">
      <alignment horizontal="center"/>
    </xf>
    <xf numFmtId="0" fontId="7" fillId="18" borderId="20" xfId="0" applyFont="1" applyFill="1" applyBorder="1" applyAlignment="1">
      <alignment horizontal="center"/>
    </xf>
    <xf numFmtId="0" fontId="22" fillId="15" borderId="17" xfId="0" applyFont="1" applyFill="1" applyBorder="1" applyAlignment="1">
      <alignment horizontal="center" vertical="center"/>
    </xf>
    <xf numFmtId="0" fontId="22" fillId="3" borderId="17" xfId="0" applyFont="1" applyFill="1" applyBorder="1" applyAlignment="1">
      <alignment horizontal="center" vertical="center"/>
    </xf>
    <xf numFmtId="0" fontId="21" fillId="0" borderId="0" xfId="0" applyFont="1" applyAlignment="1">
      <alignment wrapText="1"/>
    </xf>
    <xf numFmtId="0" fontId="19" fillId="0" borderId="0" xfId="0" applyFont="1" applyAlignment="1">
      <alignment wrapText="1"/>
    </xf>
    <xf numFmtId="49" fontId="13" fillId="7" borderId="15" xfId="0" applyNumberFormat="1" applyFont="1" applyFill="1" applyBorder="1" applyAlignment="1">
      <alignment horizontal="left" vertical="top" wrapText="1"/>
    </xf>
    <xf numFmtId="49" fontId="13" fillId="7" borderId="16" xfId="0" applyNumberFormat="1" applyFont="1" applyFill="1" applyBorder="1" applyAlignment="1">
      <alignment horizontal="left" vertical="top" wrapText="1"/>
    </xf>
    <xf numFmtId="0" fontId="2" fillId="0" borderId="0" xfId="6" applyFont="1" applyAlignment="1">
      <alignment horizontal="center" vertical="top" wrapText="1"/>
    </xf>
    <xf numFmtId="0" fontId="2" fillId="0" borderId="14" xfId="6" applyFont="1" applyBorder="1" applyAlignment="1">
      <alignment horizontal="center" vertical="top" wrapText="1"/>
    </xf>
    <xf numFmtId="0" fontId="9" fillId="6" borderId="7" xfId="0" applyFont="1" applyFill="1" applyBorder="1" applyAlignment="1">
      <alignment horizontal="center" vertical="center"/>
    </xf>
    <xf numFmtId="0" fontId="9" fillId="6" borderId="8" xfId="0" applyFont="1" applyFill="1" applyBorder="1" applyAlignment="1">
      <alignment horizontal="center" vertical="center"/>
    </xf>
    <xf numFmtId="0" fontId="0" fillId="0" borderId="7" xfId="0" applyBorder="1" applyAlignment="1">
      <alignment horizontal="left" vertical="top" wrapText="1"/>
    </xf>
    <xf numFmtId="0" fontId="0" fillId="0" borderId="8" xfId="0" applyBorder="1" applyAlignment="1">
      <alignment horizontal="left" vertical="top" wrapText="1"/>
    </xf>
    <xf numFmtId="0" fontId="0" fillId="0" borderId="9" xfId="0" applyBorder="1" applyAlignment="1">
      <alignment horizontal="left" vertical="top" wrapText="1"/>
    </xf>
    <xf numFmtId="0" fontId="9" fillId="6" borderId="9" xfId="0" applyFont="1" applyFill="1" applyBorder="1" applyAlignment="1">
      <alignment horizontal="center" vertical="center"/>
    </xf>
    <xf numFmtId="0" fontId="11" fillId="0" borderId="0" xfId="0" applyFont="1" applyAlignment="1">
      <alignment horizontal="left" vertical="center"/>
    </xf>
    <xf numFmtId="0" fontId="9" fillId="6" borderId="13" xfId="0" applyFont="1" applyFill="1" applyBorder="1" applyAlignment="1">
      <alignment horizontal="center" vertical="center"/>
    </xf>
    <xf numFmtId="0" fontId="9" fillId="6" borderId="0" xfId="0" applyFont="1" applyFill="1" applyAlignment="1">
      <alignment horizontal="center" vertical="center"/>
    </xf>
    <xf numFmtId="0" fontId="12" fillId="0" borderId="13" xfId="0" applyFont="1" applyBorder="1" applyAlignment="1">
      <alignment horizontal="left" vertical="top" wrapText="1"/>
    </xf>
    <xf numFmtId="0" fontId="12" fillId="0" borderId="0" xfId="0" applyFont="1" applyAlignment="1">
      <alignment horizontal="left" vertical="top" wrapText="1"/>
    </xf>
    <xf numFmtId="0" fontId="0" fillId="0" borderId="13" xfId="0" applyBorder="1" applyAlignment="1">
      <alignment horizontal="left" vertical="top" wrapText="1"/>
    </xf>
    <xf numFmtId="0" fontId="0" fillId="0" borderId="0" xfId="0"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horizontal="center" vertical="top" wrapText="1"/>
    </xf>
    <xf numFmtId="0" fontId="7" fillId="0" borderId="3" xfId="0" applyFont="1" applyBorder="1" applyAlignment="1">
      <alignment horizontal="center" vertical="top" wrapText="1"/>
    </xf>
    <xf numFmtId="0" fontId="7" fillId="0" borderId="3" xfId="0" applyFont="1" applyBorder="1" applyAlignment="1">
      <alignment vertical="top" wrapText="1"/>
    </xf>
    <xf numFmtId="0" fontId="7" fillId="0" borderId="5" xfId="0" applyFont="1" applyBorder="1" applyAlignment="1">
      <alignment vertical="top" wrapText="1"/>
    </xf>
    <xf numFmtId="0" fontId="5" fillId="0" borderId="3" xfId="0" applyFont="1" applyBorder="1" applyAlignment="1">
      <alignment horizontal="center" vertical="top"/>
    </xf>
    <xf numFmtId="0" fontId="5" fillId="5" borderId="3" xfId="0" applyFont="1" applyFill="1" applyBorder="1" applyAlignment="1">
      <alignment horizontal="center" vertical="top" wrapText="1"/>
    </xf>
  </cellXfs>
  <cellStyles count="8">
    <cellStyle name="Comma" xfId="1" builtinId="3"/>
    <cellStyle name="Currency" xfId="2" builtinId="4"/>
    <cellStyle name="Normal" xfId="0" builtinId="0"/>
    <cellStyle name="Normal 2" xfId="4" xr:uid="{00000000-0005-0000-0000-000031000000}"/>
    <cellStyle name="Normal 2 2" xfId="5" xr:uid="{00000000-0005-0000-0000-000032000000}"/>
    <cellStyle name="Normal 5" xfId="6" xr:uid="{00000000-0005-0000-0000-000033000000}"/>
    <cellStyle name="Normal_FLQuickRefGuide_4.27.09" xfId="7" xr:uid="{00000000-0005-0000-0000-000034000000}"/>
    <cellStyle name="Percent" xfId="3" builtinId="5"/>
  </cellStyles>
  <dxfs count="0"/>
  <tableStyles count="0" defaultTableStyle="TableStyleMedium2" defaultPivotStyle="PivotStyleLight16"/>
  <colors>
    <mruColors>
      <color rgb="FFFF7C80"/>
      <color rgb="FFB2B2B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18"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17"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customXml" Target="../customXml/item5.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4608619</xdr:colOff>
      <xdr:row>0</xdr:row>
      <xdr:rowOff>83608</xdr:rowOff>
    </xdr:from>
    <xdr:to>
      <xdr:col>0</xdr:col>
      <xdr:colOff>6893560</xdr:colOff>
      <xdr:row>0</xdr:row>
      <xdr:rowOff>1359320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608195" y="83185"/>
          <a:ext cx="2285365" cy="127571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A6"/>
  <sheetViews>
    <sheetView zoomScale="80" zoomScaleNormal="80" workbookViewId="0"/>
  </sheetViews>
  <sheetFormatPr defaultColWidth="0" defaultRowHeight="14.4" zeroHeight="1"/>
  <cols>
    <col min="1" max="1" width="110.44140625" customWidth="1"/>
    <col min="2" max="16384" width="8.6640625" hidden="1"/>
  </cols>
  <sheetData>
    <row r="1" spans="1:1" ht="119.1" customHeight="1">
      <c r="A1" s="336" t="s">
        <v>0</v>
      </c>
    </row>
    <row r="2" spans="1:1" ht="51.75" customHeight="1">
      <c r="A2" s="337" t="s">
        <v>1</v>
      </c>
    </row>
    <row r="3" spans="1:1" ht="76.349999999999994" customHeight="1">
      <c r="A3" s="337" t="s">
        <v>2</v>
      </c>
    </row>
    <row r="4" spans="1:1" ht="22.5" customHeight="1">
      <c r="A4" s="337" t="s">
        <v>3</v>
      </c>
    </row>
    <row r="5" spans="1:1" ht="36.75" customHeight="1">
      <c r="A5" s="337" t="s">
        <v>4</v>
      </c>
    </row>
    <row r="6" spans="1:1"/>
  </sheetData>
  <pageMargins left="0.7" right="0.7" top="0.75" bottom="0.75" header="0.3" footer="0.3"/>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0"/>
  </sheetPr>
  <dimension ref="A1:AV166"/>
  <sheetViews>
    <sheetView showGridLines="0" zoomScale="98" zoomScaleNormal="98" zoomScalePageLayoutView="110" workbookViewId="0">
      <selection activeCell="I4" sqref="I4:I10"/>
    </sheetView>
  </sheetViews>
  <sheetFormatPr defaultColWidth="9" defaultRowHeight="14.4"/>
  <cols>
    <col min="1" max="1" width="17.5546875" customWidth="1"/>
    <col min="2" max="2" width="9.6640625" customWidth="1"/>
    <col min="3" max="3" width="16.5546875" customWidth="1"/>
    <col min="4" max="4" width="11.5546875" customWidth="1"/>
    <col min="5" max="5" width="20.5546875" customWidth="1"/>
    <col min="6" max="6" width="13.44140625" style="275" customWidth="1"/>
    <col min="7" max="7" width="17.44140625" style="276" customWidth="1"/>
    <col min="8" max="8" width="19.5546875" customWidth="1"/>
    <col min="9" max="9" width="9.6640625" customWidth="1"/>
  </cols>
  <sheetData>
    <row r="1" spans="1:48" ht="38.700000000000003" customHeight="1">
      <c r="A1" s="348" t="s">
        <v>5</v>
      </c>
      <c r="B1" s="348"/>
      <c r="C1" s="348"/>
      <c r="D1" s="348"/>
      <c r="E1" s="348"/>
      <c r="F1" s="348"/>
      <c r="G1" s="348"/>
      <c r="H1" s="18"/>
      <c r="I1" s="18"/>
      <c r="J1" s="18"/>
      <c r="K1" s="18"/>
      <c r="L1" s="18"/>
      <c r="M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row>
    <row r="2" spans="1:48" ht="15.6" customHeight="1">
      <c r="A2" s="354" t="s">
        <v>1</v>
      </c>
      <c r="B2" s="354"/>
      <c r="C2" s="354"/>
      <c r="D2" s="354"/>
      <c r="E2" s="354"/>
      <c r="F2" s="354"/>
      <c r="G2" s="354"/>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row>
    <row r="3" spans="1:48" ht="15" customHeight="1">
      <c r="A3" s="354"/>
      <c r="B3" s="354"/>
      <c r="C3" s="354"/>
      <c r="D3" s="354"/>
      <c r="E3" s="354"/>
      <c r="F3" s="354"/>
      <c r="G3" s="354"/>
      <c r="H3" s="18"/>
      <c r="I3" s="18"/>
      <c r="J3" s="18"/>
      <c r="K3" s="18"/>
      <c r="L3" s="18"/>
      <c r="M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row>
    <row r="4" spans="1:48" ht="25.8">
      <c r="A4" s="349" t="s">
        <v>6</v>
      </c>
      <c r="B4" s="349"/>
      <c r="C4" s="349"/>
      <c r="D4" s="349"/>
      <c r="E4" s="349"/>
      <c r="F4" s="349"/>
      <c r="G4" s="349"/>
      <c r="H4" s="277"/>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row>
    <row r="5" spans="1:48" ht="25.8">
      <c r="A5" s="123"/>
      <c r="B5" s="123"/>
      <c r="C5" s="123"/>
      <c r="D5" s="123"/>
      <c r="E5" s="123"/>
      <c r="F5" s="123"/>
      <c r="G5" s="123"/>
      <c r="H5" s="277"/>
      <c r="I5" s="18"/>
      <c r="J5" s="18"/>
      <c r="K5" s="18"/>
      <c r="L5" s="18"/>
      <c r="M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row>
    <row r="6" spans="1:48" ht="15.6">
      <c r="A6" s="278"/>
      <c r="B6" s="278"/>
      <c r="C6" s="278"/>
      <c r="D6" s="279"/>
      <c r="E6" s="279"/>
      <c r="F6" s="280"/>
      <c r="G6" s="281"/>
      <c r="H6" s="279"/>
      <c r="I6" s="18"/>
      <c r="J6" s="18"/>
      <c r="K6" s="18"/>
      <c r="L6" s="18"/>
      <c r="M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row>
    <row r="7" spans="1:48" ht="28.5" customHeight="1">
      <c r="A7" s="350" t="s">
        <v>7</v>
      </c>
      <c r="B7" s="350"/>
      <c r="C7" s="350"/>
      <c r="D7" s="282"/>
      <c r="E7" s="351" t="s">
        <v>8</v>
      </c>
      <c r="F7" s="351"/>
      <c r="G7" s="351"/>
      <c r="H7" s="279"/>
      <c r="I7" s="18"/>
      <c r="J7" s="18"/>
      <c r="K7" s="18"/>
      <c r="L7" s="18"/>
      <c r="M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row>
    <row r="8" spans="1:48" ht="15.6">
      <c r="A8" s="283" t="s">
        <v>9</v>
      </c>
      <c r="B8" s="283" t="s">
        <v>10</v>
      </c>
      <c r="C8" s="283" t="s">
        <v>11</v>
      </c>
      <c r="D8" s="279"/>
      <c r="E8" s="284" t="s">
        <v>12</v>
      </c>
      <c r="F8" s="285" t="s">
        <v>10</v>
      </c>
      <c r="G8" s="286" t="s">
        <v>13</v>
      </c>
      <c r="H8" s="279"/>
      <c r="I8" s="18"/>
      <c r="J8" s="18"/>
      <c r="K8" s="18"/>
      <c r="L8" s="18"/>
      <c r="M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row>
    <row r="9" spans="1:48" ht="15.6">
      <c r="A9" s="287" t="s">
        <v>14</v>
      </c>
      <c r="B9" s="288">
        <v>143270</v>
      </c>
      <c r="C9" s="289">
        <v>137539.20000032999</v>
      </c>
      <c r="D9" s="279"/>
      <c r="E9" s="290" t="s">
        <v>15</v>
      </c>
      <c r="F9" s="291">
        <v>18642</v>
      </c>
      <c r="G9" s="292">
        <v>0.98599999999999999</v>
      </c>
      <c r="H9" s="279"/>
      <c r="I9" s="18"/>
      <c r="J9" s="18"/>
      <c r="K9" s="18"/>
      <c r="L9" s="18"/>
      <c r="M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row>
    <row r="10" spans="1:48" ht="15.6">
      <c r="A10" s="287" t="s">
        <v>16</v>
      </c>
      <c r="B10" s="293">
        <v>35715</v>
      </c>
      <c r="C10" s="294">
        <v>97859.100000045903</v>
      </c>
      <c r="D10" s="279"/>
      <c r="E10" s="290" t="s">
        <v>17</v>
      </c>
      <c r="F10" s="295">
        <v>258</v>
      </c>
      <c r="G10" s="296">
        <v>1.4E-2</v>
      </c>
      <c r="H10" s="279"/>
      <c r="I10" s="18"/>
      <c r="J10" s="18"/>
      <c r="K10" s="18"/>
      <c r="L10" s="18"/>
      <c r="M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row>
    <row r="11" spans="1:48" ht="15.6">
      <c r="A11" s="287" t="s">
        <v>18</v>
      </c>
      <c r="B11" s="288">
        <v>2509</v>
      </c>
      <c r="C11" s="289">
        <v>11290.5</v>
      </c>
      <c r="D11" s="279"/>
      <c r="E11" s="297" t="s">
        <v>19</v>
      </c>
      <c r="F11" s="298">
        <v>18900</v>
      </c>
      <c r="G11" s="299">
        <v>1</v>
      </c>
      <c r="H11" s="279"/>
      <c r="I11" s="18"/>
      <c r="J11" s="18"/>
      <c r="K11" s="18"/>
      <c r="L11" s="18"/>
      <c r="M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row>
    <row r="12" spans="1:48" ht="15.6">
      <c r="A12" s="287" t="s">
        <v>20</v>
      </c>
      <c r="B12" s="288">
        <v>502</v>
      </c>
      <c r="C12" s="289">
        <v>90.360000000000895</v>
      </c>
      <c r="D12" s="279"/>
      <c r="E12" s="300" t="s">
        <v>21</v>
      </c>
      <c r="F12" s="300"/>
      <c r="G12" s="300"/>
      <c r="H12" s="279"/>
      <c r="I12" s="18"/>
      <c r="J12" s="18"/>
      <c r="K12" s="18"/>
      <c r="L12" s="18"/>
      <c r="M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row>
    <row r="13" spans="1:48" ht="15.6">
      <c r="A13" s="287" t="s">
        <v>22</v>
      </c>
      <c r="B13" s="288">
        <v>7</v>
      </c>
      <c r="C13" s="289">
        <v>0</v>
      </c>
      <c r="D13" s="279"/>
      <c r="E13" s="352" t="s">
        <v>23</v>
      </c>
      <c r="F13" s="352"/>
      <c r="G13" s="352"/>
      <c r="H13" s="279"/>
      <c r="I13" s="18"/>
      <c r="J13" s="18"/>
      <c r="K13" s="18"/>
      <c r="L13" s="18"/>
      <c r="M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row>
    <row r="14" spans="1:48" ht="15.6">
      <c r="A14" s="287" t="s">
        <v>24</v>
      </c>
      <c r="B14" s="288">
        <v>6</v>
      </c>
      <c r="C14" s="289">
        <v>22.2</v>
      </c>
      <c r="D14" s="279"/>
      <c r="E14" s="352"/>
      <c r="F14" s="352"/>
      <c r="G14" s="352"/>
      <c r="H14" s="279"/>
      <c r="I14" s="18"/>
      <c r="J14" s="18"/>
      <c r="K14" s="18"/>
      <c r="L14" s="18"/>
      <c r="M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row>
    <row r="15" spans="1:48" ht="15.6">
      <c r="A15" s="297" t="s">
        <v>19</v>
      </c>
      <c r="B15" s="301">
        <v>182009</v>
      </c>
      <c r="C15" s="302">
        <v>246801.35999937801</v>
      </c>
      <c r="D15" s="282"/>
      <c r="E15" s="352"/>
      <c r="F15" s="352"/>
      <c r="G15" s="352"/>
      <c r="H15" s="279"/>
      <c r="I15" s="18"/>
      <c r="J15" s="18"/>
      <c r="K15" s="18"/>
      <c r="L15" s="18"/>
      <c r="M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row>
    <row r="16" spans="1:48" ht="15.6">
      <c r="A16" s="355" t="s">
        <v>25</v>
      </c>
      <c r="B16" s="355"/>
      <c r="C16" s="355"/>
      <c r="D16" s="279"/>
      <c r="E16" s="300"/>
      <c r="F16" s="300"/>
      <c r="G16" s="300"/>
      <c r="H16" s="279"/>
      <c r="I16" s="18"/>
      <c r="J16" s="18"/>
      <c r="K16" s="18"/>
      <c r="L16" s="18"/>
      <c r="M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row>
    <row r="17" spans="1:48" ht="20.100000000000001" customHeight="1">
      <c r="A17" s="356" t="s">
        <v>26</v>
      </c>
      <c r="B17" s="356"/>
      <c r="C17" s="356"/>
      <c r="D17" s="304"/>
      <c r="E17" s="300"/>
      <c r="F17" s="300"/>
      <c r="G17" s="300"/>
      <c r="H17" s="279"/>
      <c r="I17" s="18"/>
      <c r="J17" s="18"/>
      <c r="K17" s="18"/>
      <c r="L17" s="18"/>
      <c r="M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row>
    <row r="18" spans="1:48" ht="17.7" customHeight="1">
      <c r="A18" s="303"/>
      <c r="B18" s="303"/>
      <c r="C18" s="303"/>
      <c r="D18" s="304"/>
      <c r="E18" s="300"/>
      <c r="F18" s="300"/>
      <c r="G18" s="300"/>
      <c r="H18" s="279"/>
      <c r="I18" s="18"/>
      <c r="J18" s="18"/>
      <c r="K18" s="18"/>
      <c r="L18" s="18"/>
      <c r="M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row>
    <row r="19" spans="1:48" ht="45.6" customHeight="1">
      <c r="A19" s="350" t="s">
        <v>27</v>
      </c>
      <c r="B19" s="350"/>
      <c r="C19" s="350"/>
      <c r="D19" s="279"/>
      <c r="E19" s="358" t="s">
        <v>28</v>
      </c>
      <c r="F19" s="359"/>
      <c r="G19" s="359"/>
      <c r="H19" s="279"/>
      <c r="I19" s="18"/>
      <c r="J19" s="18"/>
      <c r="K19" s="18"/>
      <c r="L19" s="18"/>
      <c r="M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row>
    <row r="20" spans="1:48" ht="31.5" customHeight="1">
      <c r="A20" s="283" t="s">
        <v>29</v>
      </c>
      <c r="B20" s="283" t="s">
        <v>10</v>
      </c>
      <c r="C20" s="283" t="s">
        <v>30</v>
      </c>
      <c r="D20" s="279"/>
      <c r="E20" s="284" t="s">
        <v>12</v>
      </c>
      <c r="F20" s="305" t="s">
        <v>10</v>
      </c>
      <c r="G20" s="306" t="s">
        <v>13</v>
      </c>
      <c r="H20" s="307"/>
      <c r="I20" s="18"/>
      <c r="J20" s="18"/>
      <c r="K20" s="18"/>
      <c r="L20" s="18"/>
      <c r="M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row>
    <row r="21" spans="1:48" ht="15" customHeight="1">
      <c r="A21" s="287" t="s">
        <v>31</v>
      </c>
      <c r="B21" s="293">
        <v>70979</v>
      </c>
      <c r="C21" s="308">
        <v>874.41167105763702</v>
      </c>
      <c r="D21" s="279"/>
      <c r="E21" s="290" t="s">
        <v>15</v>
      </c>
      <c r="F21" s="291">
        <v>1887</v>
      </c>
      <c r="G21" s="292">
        <v>0.88</v>
      </c>
      <c r="H21" s="279"/>
      <c r="I21" s="18"/>
      <c r="J21" s="18"/>
      <c r="K21" s="18"/>
      <c r="L21" s="18"/>
      <c r="M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row>
    <row r="22" spans="1:48" ht="15.6">
      <c r="A22" s="287" t="s">
        <v>32</v>
      </c>
      <c r="B22" s="288">
        <v>111030</v>
      </c>
      <c r="C22" s="309">
        <v>657.18736377555604</v>
      </c>
      <c r="D22" s="279"/>
      <c r="E22" s="290" t="s">
        <v>17</v>
      </c>
      <c r="F22" s="291">
        <v>258</v>
      </c>
      <c r="G22" s="292">
        <v>0.12</v>
      </c>
      <c r="H22" s="279"/>
      <c r="I22" s="18"/>
      <c r="J22" s="18"/>
      <c r="K22" s="18"/>
      <c r="L22" s="18"/>
      <c r="M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row>
    <row r="23" spans="1:48" ht="15.6">
      <c r="A23" s="297" t="s">
        <v>19</v>
      </c>
      <c r="B23" s="301">
        <v>182009</v>
      </c>
      <c r="C23" s="310">
        <v>741.89946101566397</v>
      </c>
      <c r="D23" s="279"/>
      <c r="E23" s="297" t="s">
        <v>19</v>
      </c>
      <c r="F23" s="298">
        <v>2145</v>
      </c>
      <c r="G23" s="299">
        <v>1</v>
      </c>
      <c r="H23" s="279"/>
      <c r="I23" s="18"/>
      <c r="J23" s="18"/>
      <c r="K23" s="18"/>
      <c r="L23" s="18"/>
      <c r="M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row>
    <row r="24" spans="1:48" ht="15.6">
      <c r="A24" s="355" t="str">
        <f>A16</f>
        <v>Data from BI Inc. Participants Report, 11.29.2025</v>
      </c>
      <c r="B24" s="355"/>
      <c r="C24" s="355"/>
      <c r="D24" s="279"/>
      <c r="E24" s="352" t="s">
        <v>33</v>
      </c>
      <c r="F24" s="352"/>
      <c r="G24" s="352"/>
      <c r="H24" s="279"/>
      <c r="I24" s="18"/>
      <c r="J24" s="18"/>
      <c r="K24" s="18"/>
      <c r="L24" s="18"/>
      <c r="M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row>
    <row r="25" spans="1:48" ht="15.6">
      <c r="A25" s="356" t="s">
        <v>34</v>
      </c>
      <c r="B25" s="356"/>
      <c r="C25" s="356"/>
      <c r="D25" s="279"/>
      <c r="E25" s="352" t="s">
        <v>23</v>
      </c>
      <c r="F25" s="352"/>
      <c r="G25" s="352"/>
      <c r="H25" s="279"/>
      <c r="I25" s="18"/>
      <c r="J25" s="18"/>
      <c r="K25" s="18"/>
      <c r="L25" s="18"/>
      <c r="M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row>
    <row r="26" spans="1:48" ht="17.7" customHeight="1">
      <c r="A26" s="303"/>
      <c r="B26" s="303"/>
      <c r="C26" s="303"/>
      <c r="D26" s="279"/>
      <c r="E26" s="278"/>
      <c r="F26" s="311"/>
      <c r="G26" s="281"/>
      <c r="H26" s="279"/>
      <c r="I26" s="18"/>
      <c r="J26" s="18"/>
      <c r="K26" s="18"/>
      <c r="L26" s="18"/>
      <c r="M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row>
    <row r="27" spans="1:48" ht="30" customHeight="1">
      <c r="A27" s="357" t="s">
        <v>35</v>
      </c>
      <c r="B27" s="357"/>
      <c r="C27" s="357"/>
      <c r="D27" s="307"/>
      <c r="E27" s="278"/>
      <c r="F27" s="311"/>
      <c r="G27" s="281"/>
      <c r="H27" s="304"/>
      <c r="I27" s="18"/>
      <c r="J27" s="18"/>
      <c r="K27" s="18"/>
      <c r="L27" s="18"/>
      <c r="M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row>
    <row r="28" spans="1:48" ht="30" customHeight="1">
      <c r="A28" s="312"/>
      <c r="B28" s="312"/>
      <c r="C28" s="312"/>
      <c r="D28" s="307"/>
      <c r="E28" s="304"/>
      <c r="F28" s="313"/>
      <c r="G28" s="314"/>
      <c r="H28" s="304"/>
      <c r="I28" s="18"/>
      <c r="J28" s="18"/>
      <c r="K28" s="18"/>
      <c r="L28" s="18"/>
      <c r="M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row>
    <row r="29" spans="1:48" ht="50.1" customHeight="1">
      <c r="A29" s="353" t="s">
        <v>36</v>
      </c>
      <c r="B29" s="353"/>
      <c r="C29" s="353"/>
      <c r="D29" s="307"/>
      <c r="E29" s="279"/>
      <c r="F29" s="280"/>
      <c r="G29" s="281"/>
      <c r="H29" s="304"/>
      <c r="I29" s="18"/>
      <c r="J29" s="18"/>
      <c r="K29" s="18"/>
      <c r="L29" s="18"/>
      <c r="M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row>
    <row r="30" spans="1:48" ht="52.5" customHeight="1">
      <c r="A30" s="315" t="s">
        <v>37</v>
      </c>
      <c r="B30" s="315" t="s">
        <v>10</v>
      </c>
      <c r="C30" s="315" t="s">
        <v>38</v>
      </c>
      <c r="D30" s="279"/>
      <c r="E30" s="279"/>
      <c r="F30" s="280"/>
      <c r="G30" s="281"/>
      <c r="H30" s="279"/>
      <c r="I30" s="18"/>
      <c r="J30" s="18"/>
      <c r="K30" s="18"/>
      <c r="L30" s="18"/>
      <c r="M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row>
    <row r="31" spans="1:48" ht="19.2" customHeight="1">
      <c r="A31" s="316" t="s">
        <v>19</v>
      </c>
      <c r="B31" s="317">
        <v>182009</v>
      </c>
      <c r="C31" s="318">
        <v>741.89946101566397</v>
      </c>
      <c r="D31" s="279"/>
      <c r="H31" s="279"/>
      <c r="I31" s="18"/>
      <c r="J31" s="18"/>
      <c r="K31" s="18"/>
      <c r="L31" s="18"/>
      <c r="M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row>
    <row r="32" spans="1:48" ht="17.25" customHeight="1">
      <c r="A32" s="319" t="s">
        <v>39</v>
      </c>
      <c r="B32" s="320">
        <v>6003</v>
      </c>
      <c r="C32" s="321">
        <v>735.03481592537105</v>
      </c>
      <c r="D32" s="279"/>
      <c r="H32" s="279"/>
      <c r="I32" s="18"/>
      <c r="J32" s="18"/>
      <c r="K32" s="18"/>
      <c r="L32" s="18"/>
      <c r="M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row>
    <row r="33" spans="1:45" ht="15.6">
      <c r="A33" s="322" t="s">
        <v>14</v>
      </c>
      <c r="B33" s="323">
        <v>4605</v>
      </c>
      <c r="C33" s="324">
        <v>815.09207383278999</v>
      </c>
      <c r="D33" s="325"/>
      <c r="H33" s="18"/>
      <c r="I33" s="18"/>
      <c r="J33" s="18"/>
      <c r="K33" s="18"/>
      <c r="L33" s="18"/>
      <c r="M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row>
    <row r="34" spans="1:45" ht="15.6">
      <c r="A34" s="322" t="s">
        <v>22</v>
      </c>
      <c r="B34" s="323">
        <v>1</v>
      </c>
      <c r="C34" s="324">
        <v>2716</v>
      </c>
      <c r="D34" s="304"/>
      <c r="H34" s="18"/>
      <c r="I34" s="18"/>
      <c r="J34" s="18"/>
      <c r="K34" s="18"/>
      <c r="L34" s="18"/>
      <c r="M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row>
    <row r="35" spans="1:45" ht="15.6">
      <c r="A35" s="322" t="s">
        <v>16</v>
      </c>
      <c r="B35" s="323">
        <v>1326</v>
      </c>
      <c r="C35" s="324">
        <v>466.64781297134198</v>
      </c>
      <c r="D35" s="304"/>
      <c r="H35" s="18"/>
      <c r="I35" s="18"/>
      <c r="J35" s="18"/>
      <c r="K35" s="18"/>
      <c r="L35" s="18"/>
      <c r="M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row>
    <row r="36" spans="1:45" ht="15.6">
      <c r="A36" s="322" t="s">
        <v>18</v>
      </c>
      <c r="B36" s="323">
        <v>71</v>
      </c>
      <c r="C36" s="324">
        <v>527.09859154929597</v>
      </c>
      <c r="D36" s="304"/>
      <c r="H36" s="18"/>
      <c r="I36" s="18"/>
      <c r="J36" s="18"/>
      <c r="K36" s="18"/>
      <c r="L36" s="18"/>
      <c r="M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row>
    <row r="37" spans="1:45" ht="15.6">
      <c r="A37" s="319" t="s">
        <v>40</v>
      </c>
      <c r="B37" s="320">
        <v>3105</v>
      </c>
      <c r="C37" s="321">
        <v>714.39484702093398</v>
      </c>
      <c r="D37" s="304"/>
      <c r="H37" s="18"/>
      <c r="I37" s="18"/>
      <c r="J37" s="18"/>
      <c r="K37" s="18"/>
      <c r="L37" s="18"/>
      <c r="M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row>
    <row r="38" spans="1:45" ht="15.6">
      <c r="A38" s="322" t="s">
        <v>14</v>
      </c>
      <c r="B38" s="323">
        <v>2375</v>
      </c>
      <c r="C38" s="324">
        <v>747.39115789473703</v>
      </c>
      <c r="D38" s="304"/>
      <c r="H38" s="18"/>
      <c r="I38" s="18"/>
      <c r="J38" s="18"/>
      <c r="K38" s="18"/>
      <c r="L38" s="18"/>
      <c r="M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row>
    <row r="39" spans="1:45" ht="15.6">
      <c r="A39" s="322" t="s">
        <v>16</v>
      </c>
      <c r="B39" s="323">
        <v>701</v>
      </c>
      <c r="C39" s="324">
        <v>604.32239657631999</v>
      </c>
      <c r="D39" s="304"/>
      <c r="H39" s="18"/>
      <c r="I39" s="18"/>
      <c r="J39" s="18"/>
      <c r="K39" s="18"/>
      <c r="L39" s="18"/>
      <c r="M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row>
    <row r="40" spans="1:45" ht="15.6">
      <c r="A40" s="322" t="s">
        <v>18</v>
      </c>
      <c r="B40" s="323">
        <v>29</v>
      </c>
      <c r="C40" s="324">
        <v>672.82758620689697</v>
      </c>
      <c r="D40" s="304"/>
      <c r="H40" s="18"/>
      <c r="I40" s="18"/>
      <c r="J40" s="18"/>
      <c r="K40" s="18"/>
      <c r="L40" s="18"/>
      <c r="M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row>
    <row r="41" spans="1:45" ht="15.6">
      <c r="A41" s="319" t="s">
        <v>41</v>
      </c>
      <c r="B41" s="326">
        <v>8316</v>
      </c>
      <c r="C41" s="327">
        <v>791.51467051467102</v>
      </c>
      <c r="D41" s="304"/>
      <c r="H41" s="18"/>
      <c r="I41" s="18"/>
      <c r="J41" s="18"/>
      <c r="K41" s="18"/>
      <c r="L41" s="18"/>
      <c r="M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row>
    <row r="42" spans="1:45" ht="15.6">
      <c r="A42" s="322" t="s">
        <v>14</v>
      </c>
      <c r="B42" s="323">
        <v>6704</v>
      </c>
      <c r="C42" s="324">
        <v>875.26252983293602</v>
      </c>
      <c r="D42" s="325"/>
      <c r="H42" s="18"/>
      <c r="I42" s="18"/>
      <c r="J42" s="18"/>
      <c r="K42" s="18"/>
      <c r="L42" s="18"/>
      <c r="M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row>
    <row r="43" spans="1:45" ht="15.6">
      <c r="A43" s="322" t="s">
        <v>24</v>
      </c>
      <c r="B43" s="323">
        <v>1</v>
      </c>
      <c r="C43" s="324">
        <v>404</v>
      </c>
      <c r="D43" s="304"/>
      <c r="H43" s="18"/>
      <c r="I43" s="18"/>
      <c r="J43" s="18"/>
      <c r="K43" s="18"/>
      <c r="L43" s="18"/>
      <c r="M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row>
    <row r="44" spans="1:45" ht="15.6">
      <c r="A44" s="322" t="s">
        <v>16</v>
      </c>
      <c r="B44" s="323">
        <v>1529</v>
      </c>
      <c r="C44" s="324">
        <v>436.01831262262903</v>
      </c>
      <c r="D44" s="304"/>
      <c r="H44" s="18"/>
      <c r="I44" s="18"/>
      <c r="J44" s="18"/>
      <c r="K44" s="18"/>
      <c r="L44" s="18"/>
      <c r="M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row>
    <row r="45" spans="1:45" ht="15.6">
      <c r="A45" s="322" t="s">
        <v>18</v>
      </c>
      <c r="B45" s="323">
        <v>82</v>
      </c>
      <c r="C45" s="324">
        <v>578.04878048780495</v>
      </c>
      <c r="D45" s="304"/>
      <c r="H45" s="18"/>
      <c r="I45" s="18"/>
      <c r="J45" s="18"/>
      <c r="K45" s="18"/>
      <c r="L45" s="18"/>
      <c r="M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row>
    <row r="46" spans="1:45" ht="15.6">
      <c r="A46" s="319" t="s">
        <v>42</v>
      </c>
      <c r="B46" s="320">
        <v>952</v>
      </c>
      <c r="C46" s="321">
        <v>866.56722689075605</v>
      </c>
      <c r="D46" s="304"/>
      <c r="H46" s="18"/>
      <c r="I46" s="18"/>
      <c r="J46" s="18"/>
      <c r="K46" s="18"/>
      <c r="L46" s="18"/>
      <c r="M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row>
    <row r="47" spans="1:45" ht="15.6">
      <c r="A47" s="322" t="s">
        <v>14</v>
      </c>
      <c r="B47" s="323">
        <v>779</v>
      </c>
      <c r="C47" s="324">
        <v>847.06161745828001</v>
      </c>
      <c r="D47" s="304"/>
      <c r="H47" s="18"/>
      <c r="I47" s="18"/>
      <c r="J47" s="18"/>
      <c r="K47" s="18"/>
      <c r="L47" s="18"/>
      <c r="M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row>
    <row r="48" spans="1:45" ht="15.6">
      <c r="A48" s="322" t="s">
        <v>20</v>
      </c>
      <c r="B48" s="323">
        <v>51</v>
      </c>
      <c r="C48" s="324">
        <v>2789.0784313725499</v>
      </c>
      <c r="D48" s="304"/>
      <c r="H48" s="18"/>
      <c r="I48" s="18"/>
      <c r="J48" s="18"/>
      <c r="K48" s="18"/>
      <c r="L48" s="18"/>
      <c r="M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row>
    <row r="49" spans="1:45" ht="15.6">
      <c r="A49" s="322" t="s">
        <v>24</v>
      </c>
      <c r="B49" s="323">
        <v>1</v>
      </c>
      <c r="C49" s="324">
        <v>218</v>
      </c>
      <c r="D49" s="304"/>
      <c r="H49" s="18"/>
      <c r="I49" s="18"/>
      <c r="J49" s="18"/>
      <c r="K49" s="18"/>
      <c r="L49" s="18"/>
      <c r="M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row>
    <row r="50" spans="1:45" ht="15.6">
      <c r="A50" s="322" t="s">
        <v>16</v>
      </c>
      <c r="B50" s="323">
        <v>121</v>
      </c>
      <c r="C50" s="324">
        <v>187.19008264462801</v>
      </c>
      <c r="D50" s="304"/>
      <c r="H50" s="18"/>
      <c r="I50" s="18"/>
      <c r="J50" s="18"/>
      <c r="K50" s="18"/>
      <c r="L50" s="18"/>
      <c r="M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row>
    <row r="51" spans="1:45" ht="15.6">
      <c r="A51" s="319" t="s">
        <v>43</v>
      </c>
      <c r="B51" s="326">
        <v>19021</v>
      </c>
      <c r="C51" s="327">
        <v>936.57273539771802</v>
      </c>
      <c r="D51" s="304"/>
      <c r="H51" s="18"/>
      <c r="I51" s="18"/>
      <c r="J51" s="18"/>
      <c r="K51" s="18"/>
      <c r="L51" s="18"/>
      <c r="M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row>
    <row r="52" spans="1:45" ht="15.6">
      <c r="A52" s="328" t="s">
        <v>14</v>
      </c>
      <c r="B52" s="329">
        <v>15003</v>
      </c>
      <c r="C52" s="330">
        <v>1012.7118576284701</v>
      </c>
      <c r="D52" s="304"/>
      <c r="H52" s="18"/>
      <c r="I52" s="18"/>
      <c r="J52" s="18"/>
      <c r="K52" s="18"/>
      <c r="L52" s="18"/>
      <c r="M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row>
    <row r="53" spans="1:45" ht="15.6">
      <c r="A53" s="322" t="s">
        <v>20</v>
      </c>
      <c r="B53" s="323">
        <v>268</v>
      </c>
      <c r="C53" s="324">
        <v>2902.3694029850699</v>
      </c>
      <c r="D53" s="304"/>
      <c r="H53" s="18"/>
      <c r="I53" s="18"/>
      <c r="J53" s="18"/>
      <c r="K53" s="18"/>
      <c r="L53" s="18"/>
      <c r="M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row>
    <row r="54" spans="1:45" ht="15.6">
      <c r="A54" s="322" t="s">
        <v>16</v>
      </c>
      <c r="B54" s="323">
        <v>3533</v>
      </c>
      <c r="C54" s="324">
        <v>492.06396829889599</v>
      </c>
      <c r="D54" s="304"/>
      <c r="H54" s="18"/>
      <c r="I54" s="18"/>
      <c r="J54" s="18"/>
      <c r="K54" s="18"/>
      <c r="L54" s="18"/>
      <c r="M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row>
    <row r="55" spans="1:45" ht="15.6">
      <c r="A55" s="322" t="s">
        <v>18</v>
      </c>
      <c r="B55" s="323">
        <v>217</v>
      </c>
      <c r="C55" s="324">
        <v>481.73732718894001</v>
      </c>
      <c r="D55" s="325"/>
      <c r="H55" s="18"/>
      <c r="I55" s="18"/>
      <c r="J55" s="18"/>
      <c r="K55" s="18"/>
      <c r="L55" s="18"/>
      <c r="M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row>
    <row r="56" spans="1:45" ht="15.6">
      <c r="A56" s="319" t="s">
        <v>44</v>
      </c>
      <c r="B56" s="320">
        <v>2080</v>
      </c>
      <c r="C56" s="321">
        <v>590.89519230769201</v>
      </c>
      <c r="D56" s="304"/>
      <c r="H56" s="18"/>
      <c r="I56" s="18"/>
      <c r="J56" s="18"/>
      <c r="K56" s="18"/>
      <c r="L56" s="18"/>
      <c r="M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row>
    <row r="57" spans="1:45" ht="15.6">
      <c r="A57" s="322" t="s">
        <v>14</v>
      </c>
      <c r="B57" s="323">
        <v>1027</v>
      </c>
      <c r="C57" s="324">
        <v>718.79259980525796</v>
      </c>
      <c r="D57" s="304"/>
      <c r="H57" s="18"/>
      <c r="I57" s="18"/>
      <c r="J57" s="18"/>
      <c r="K57" s="18"/>
      <c r="L57" s="18"/>
      <c r="M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row>
    <row r="58" spans="1:45" ht="15.6">
      <c r="A58" s="322" t="s">
        <v>16</v>
      </c>
      <c r="B58" s="323">
        <v>975</v>
      </c>
      <c r="C58" s="324">
        <v>465.45435897435902</v>
      </c>
      <c r="D58" s="304"/>
      <c r="H58" s="18"/>
      <c r="I58" s="18"/>
      <c r="J58" s="18"/>
      <c r="K58" s="18"/>
      <c r="L58" s="18"/>
      <c r="M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row>
    <row r="59" spans="1:45" ht="15.6">
      <c r="A59" s="322" t="s">
        <v>18</v>
      </c>
      <c r="B59" s="323">
        <v>78</v>
      </c>
      <c r="C59" s="324">
        <v>474.92307692307702</v>
      </c>
      <c r="D59" s="304"/>
      <c r="H59" s="18"/>
      <c r="I59" s="18"/>
      <c r="J59" s="18"/>
      <c r="K59" s="18"/>
      <c r="L59" s="18"/>
      <c r="M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row>
    <row r="60" spans="1:45" ht="15.6">
      <c r="A60" s="319" t="s">
        <v>45</v>
      </c>
      <c r="B60" s="320">
        <v>3173</v>
      </c>
      <c r="C60" s="321">
        <v>751.24897573274495</v>
      </c>
      <c r="D60" s="304"/>
      <c r="H60" s="18"/>
      <c r="I60" s="18"/>
      <c r="J60" s="18"/>
      <c r="K60" s="18"/>
      <c r="L60" s="18"/>
      <c r="M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row>
    <row r="61" spans="1:45" ht="15.6">
      <c r="A61" s="322" t="s">
        <v>14</v>
      </c>
      <c r="B61" s="323">
        <v>2326</v>
      </c>
      <c r="C61" s="324">
        <v>794.75365434221806</v>
      </c>
      <c r="D61" s="304"/>
      <c r="H61" s="18"/>
      <c r="I61" s="18"/>
      <c r="J61" s="18"/>
      <c r="K61" s="18"/>
      <c r="L61" s="18"/>
      <c r="M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row>
    <row r="62" spans="1:45" ht="15.6">
      <c r="A62" s="322" t="s">
        <v>20</v>
      </c>
      <c r="B62" s="323">
        <v>12</v>
      </c>
      <c r="C62" s="324">
        <v>3045.5833333333298</v>
      </c>
      <c r="D62" s="304"/>
      <c r="H62" s="18"/>
      <c r="I62" s="18"/>
      <c r="J62" s="18"/>
      <c r="K62" s="18"/>
      <c r="L62" s="18"/>
      <c r="M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row>
    <row r="63" spans="1:45" ht="15.6">
      <c r="A63" s="322" t="s">
        <v>24</v>
      </c>
      <c r="B63" s="323">
        <v>1</v>
      </c>
      <c r="C63" s="324">
        <v>428</v>
      </c>
      <c r="D63" s="304"/>
      <c r="H63" s="18"/>
      <c r="I63" s="18"/>
      <c r="J63" s="18"/>
      <c r="K63" s="18"/>
      <c r="L63" s="18"/>
      <c r="M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row>
    <row r="64" spans="1:45" ht="15.6">
      <c r="A64" s="322" t="s">
        <v>16</v>
      </c>
      <c r="B64" s="323">
        <v>582</v>
      </c>
      <c r="C64" s="324">
        <v>638.74914089347101</v>
      </c>
      <c r="D64" s="304"/>
      <c r="H64" s="18"/>
      <c r="I64" s="18"/>
      <c r="J64" s="18"/>
      <c r="K64" s="18"/>
      <c r="L64" s="18"/>
      <c r="M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row>
    <row r="65" spans="1:45" ht="15.6">
      <c r="A65" s="322" t="s">
        <v>18</v>
      </c>
      <c r="B65" s="323">
        <v>252</v>
      </c>
      <c r="C65" s="324">
        <v>501.54365079365101</v>
      </c>
      <c r="D65" s="304"/>
      <c r="H65" s="18"/>
      <c r="I65" s="18"/>
      <c r="J65" s="18"/>
      <c r="K65" s="18"/>
      <c r="L65" s="18"/>
      <c r="M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row>
    <row r="66" spans="1:45" ht="15.6">
      <c r="A66" s="319" t="s">
        <v>46</v>
      </c>
      <c r="B66" s="326">
        <v>7809</v>
      </c>
      <c r="C66" s="327">
        <v>996.38814188756601</v>
      </c>
      <c r="D66" s="304"/>
      <c r="H66" s="18"/>
      <c r="I66" s="18"/>
      <c r="J66" s="18"/>
      <c r="K66" s="18"/>
      <c r="L66" s="18"/>
      <c r="M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row>
    <row r="67" spans="1:45" ht="15.6">
      <c r="A67" s="322" t="s">
        <v>14</v>
      </c>
      <c r="B67" s="323">
        <v>7301</v>
      </c>
      <c r="C67" s="324">
        <v>1001.62210656075</v>
      </c>
      <c r="D67" s="304"/>
      <c r="H67" s="18"/>
      <c r="I67" s="18"/>
      <c r="J67" s="18"/>
      <c r="K67" s="18"/>
      <c r="L67" s="18"/>
      <c r="M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row>
    <row r="68" spans="1:45" ht="15.6">
      <c r="A68" s="322" t="s">
        <v>20</v>
      </c>
      <c r="B68" s="323">
        <v>67</v>
      </c>
      <c r="C68" s="324">
        <v>3190.7313432835799</v>
      </c>
      <c r="D68" s="304"/>
      <c r="H68" s="18"/>
      <c r="I68" s="18"/>
      <c r="J68" s="18"/>
      <c r="K68" s="18"/>
      <c r="L68" s="18"/>
      <c r="M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row>
    <row r="69" spans="1:45" ht="17.7" customHeight="1">
      <c r="A69" s="322" t="s">
        <v>16</v>
      </c>
      <c r="B69" s="323">
        <v>434</v>
      </c>
      <c r="C69" s="324">
        <v>581.43087557603701</v>
      </c>
      <c r="D69" s="304"/>
      <c r="H69" s="18"/>
      <c r="I69" s="18"/>
      <c r="J69" s="18"/>
      <c r="K69" s="18"/>
      <c r="L69" s="18"/>
      <c r="M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row>
    <row r="70" spans="1:45" ht="15.6">
      <c r="A70" s="322" t="s">
        <v>18</v>
      </c>
      <c r="B70" s="329">
        <v>7</v>
      </c>
      <c r="C70" s="330">
        <v>261.71428571428601</v>
      </c>
      <c r="D70" s="304"/>
      <c r="H70" s="18"/>
      <c r="I70" s="18"/>
      <c r="J70" s="18"/>
      <c r="K70" s="18"/>
      <c r="L70" s="18"/>
      <c r="M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row>
    <row r="71" spans="1:45" ht="15.6">
      <c r="A71" s="331" t="s">
        <v>47</v>
      </c>
      <c r="B71" s="320">
        <v>1106</v>
      </c>
      <c r="C71" s="321">
        <v>446.61301989150098</v>
      </c>
      <c r="D71" s="304"/>
      <c r="H71" s="18"/>
      <c r="I71" s="18"/>
      <c r="J71" s="18"/>
      <c r="K71" s="18"/>
      <c r="L71" s="18"/>
      <c r="M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row>
    <row r="72" spans="1:45" ht="15.6">
      <c r="A72" s="322" t="s">
        <v>14</v>
      </c>
      <c r="B72" s="323">
        <v>185</v>
      </c>
      <c r="C72" s="324">
        <v>812.21621621621603</v>
      </c>
      <c r="D72" s="304"/>
      <c r="H72" s="18"/>
      <c r="I72" s="18"/>
      <c r="J72" s="18"/>
      <c r="K72" s="18"/>
      <c r="L72" s="18"/>
      <c r="M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row>
    <row r="73" spans="1:45" ht="15.6">
      <c r="A73" s="322" t="s">
        <v>16</v>
      </c>
      <c r="B73" s="323">
        <v>725</v>
      </c>
      <c r="C73" s="324">
        <v>357.52</v>
      </c>
      <c r="D73" s="304"/>
      <c r="H73" s="18"/>
      <c r="I73" s="18"/>
      <c r="J73" s="18"/>
      <c r="K73" s="18"/>
      <c r="L73" s="18"/>
      <c r="M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row>
    <row r="74" spans="1:45" ht="15.6">
      <c r="A74" s="328" t="s">
        <v>18</v>
      </c>
      <c r="B74" s="329">
        <v>196</v>
      </c>
      <c r="C74" s="330">
        <v>431.08163265306098</v>
      </c>
      <c r="D74" s="304"/>
      <c r="H74" s="18"/>
      <c r="I74" s="18"/>
      <c r="J74" s="18"/>
      <c r="K74" s="18"/>
      <c r="L74" s="18"/>
      <c r="M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row>
    <row r="75" spans="1:45" ht="15.6">
      <c r="A75" s="332" t="s">
        <v>48</v>
      </c>
      <c r="B75" s="326">
        <v>490</v>
      </c>
      <c r="C75" s="327">
        <v>380.53673469387797</v>
      </c>
      <c r="D75" s="304"/>
      <c r="H75" s="18"/>
      <c r="I75" s="18"/>
      <c r="J75" s="18"/>
      <c r="K75" s="18"/>
      <c r="L75" s="18"/>
      <c r="M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row>
    <row r="76" spans="1:45" ht="15.6">
      <c r="A76" s="322" t="s">
        <v>14</v>
      </c>
      <c r="B76" s="323">
        <v>148</v>
      </c>
      <c r="C76" s="324">
        <v>660.763513513514</v>
      </c>
      <c r="D76" s="304"/>
      <c r="H76" s="18"/>
      <c r="I76" s="18"/>
      <c r="J76" s="18"/>
      <c r="K76" s="18"/>
      <c r="L76" s="18"/>
      <c r="M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row>
    <row r="77" spans="1:45" ht="15.6">
      <c r="A77" s="322" t="s">
        <v>16</v>
      </c>
      <c r="B77" s="323">
        <v>317</v>
      </c>
      <c r="C77" s="324">
        <v>254.90220820189299</v>
      </c>
      <c r="D77" s="304"/>
      <c r="H77" s="18"/>
      <c r="I77" s="18"/>
      <c r="J77" s="18"/>
      <c r="K77" s="18"/>
      <c r="L77" s="18"/>
      <c r="M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row>
    <row r="78" spans="1:45" ht="15.6">
      <c r="A78" s="322" t="s">
        <v>18</v>
      </c>
      <c r="B78" s="323">
        <v>25</v>
      </c>
      <c r="C78" s="324">
        <v>314.64</v>
      </c>
      <c r="D78" s="304"/>
      <c r="H78" s="18"/>
      <c r="I78" s="18"/>
      <c r="J78" s="18"/>
      <c r="K78" s="18"/>
      <c r="L78" s="18"/>
      <c r="M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row>
    <row r="79" spans="1:45" ht="15.6">
      <c r="A79" s="332" t="s">
        <v>49</v>
      </c>
      <c r="B79" s="326">
        <v>3326</v>
      </c>
      <c r="C79" s="327">
        <v>522.79645219482904</v>
      </c>
      <c r="D79" s="325"/>
      <c r="H79" s="18"/>
      <c r="I79" s="18"/>
      <c r="J79" s="18"/>
      <c r="K79" s="18"/>
      <c r="L79" s="18"/>
      <c r="M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row>
    <row r="80" spans="1:45" ht="15.6">
      <c r="A80" s="322" t="s">
        <v>14</v>
      </c>
      <c r="B80" s="323">
        <v>1811</v>
      </c>
      <c r="C80" s="324">
        <v>632.20209828823897</v>
      </c>
      <c r="D80" s="304"/>
      <c r="H80" s="18"/>
      <c r="I80" s="18"/>
      <c r="J80" s="18"/>
      <c r="K80" s="18"/>
      <c r="L80" s="18"/>
      <c r="M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row>
    <row r="81" spans="1:45" ht="15.6">
      <c r="A81" s="322" t="s">
        <v>16</v>
      </c>
      <c r="B81" s="323">
        <v>1450</v>
      </c>
      <c r="C81" s="324">
        <v>388.954482758621</v>
      </c>
      <c r="D81" s="304"/>
      <c r="H81" s="18"/>
      <c r="I81" s="18"/>
      <c r="J81" s="18"/>
      <c r="K81" s="18"/>
      <c r="L81" s="18"/>
      <c r="M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row>
    <row r="82" spans="1:45" ht="15.6">
      <c r="A82" s="328" t="s">
        <v>18</v>
      </c>
      <c r="B82" s="329">
        <v>65</v>
      </c>
      <c r="C82" s="330">
        <v>460.29230769230799</v>
      </c>
      <c r="D82" s="304"/>
      <c r="H82" s="18"/>
      <c r="I82" s="18"/>
      <c r="J82" s="18"/>
      <c r="K82" s="18"/>
      <c r="L82" s="18"/>
      <c r="M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row>
    <row r="83" spans="1:45" ht="15.6">
      <c r="A83" s="332" t="s">
        <v>50</v>
      </c>
      <c r="B83" s="326">
        <v>17895</v>
      </c>
      <c r="C83" s="327">
        <v>571.664710813076</v>
      </c>
      <c r="D83" s="304"/>
      <c r="H83" s="18"/>
      <c r="I83" s="18"/>
      <c r="J83" s="18"/>
      <c r="K83" s="18"/>
      <c r="L83" s="18"/>
      <c r="M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row>
    <row r="84" spans="1:45" ht="15.6">
      <c r="A84" s="322" t="s">
        <v>14</v>
      </c>
      <c r="B84" s="323">
        <v>14946</v>
      </c>
      <c r="C84" s="324">
        <v>630.56081894821398</v>
      </c>
      <c r="D84" s="304"/>
      <c r="H84" s="18"/>
      <c r="I84" s="18"/>
      <c r="J84" s="18"/>
      <c r="K84" s="18"/>
      <c r="L84" s="18"/>
      <c r="M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row>
    <row r="85" spans="1:45" ht="15.6">
      <c r="A85" s="322" t="s">
        <v>22</v>
      </c>
      <c r="B85" s="323">
        <v>5</v>
      </c>
      <c r="C85" s="324">
        <v>489</v>
      </c>
      <c r="D85" s="304"/>
      <c r="H85" s="18"/>
      <c r="I85" s="18"/>
      <c r="J85" s="18"/>
      <c r="K85" s="18"/>
      <c r="L85" s="18"/>
      <c r="M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row>
    <row r="86" spans="1:45" ht="15.6">
      <c r="A86" s="322" t="s">
        <v>20</v>
      </c>
      <c r="B86" s="323">
        <v>12</v>
      </c>
      <c r="C86" s="324">
        <v>2851.0833333333298</v>
      </c>
      <c r="D86" s="304"/>
      <c r="H86" s="18"/>
      <c r="I86" s="18"/>
      <c r="J86" s="18"/>
      <c r="K86" s="18"/>
      <c r="L86" s="18"/>
      <c r="M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row>
    <row r="87" spans="1:45" ht="15.6">
      <c r="A87" s="322" t="s">
        <v>24</v>
      </c>
      <c r="B87" s="323">
        <v>1</v>
      </c>
      <c r="C87" s="324">
        <v>9</v>
      </c>
      <c r="D87" s="304"/>
      <c r="H87" s="18"/>
      <c r="I87" s="18"/>
      <c r="J87" s="18"/>
      <c r="K87" s="18"/>
      <c r="L87" s="18"/>
      <c r="M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row>
    <row r="88" spans="1:45" ht="15.6">
      <c r="A88" s="322" t="s">
        <v>16</v>
      </c>
      <c r="B88" s="323">
        <v>2742</v>
      </c>
      <c r="C88" s="324">
        <v>246.19584245076601</v>
      </c>
      <c r="D88" s="304"/>
      <c r="H88" s="18"/>
      <c r="I88" s="18"/>
      <c r="J88" s="18"/>
      <c r="K88" s="18"/>
      <c r="L88" s="18"/>
      <c r="M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row>
    <row r="89" spans="1:45" ht="15.6">
      <c r="A89" s="322" t="s">
        <v>18</v>
      </c>
      <c r="B89" s="323">
        <v>189</v>
      </c>
      <c r="C89" s="324">
        <v>496.51851851851899</v>
      </c>
      <c r="D89" s="304"/>
      <c r="H89" s="18"/>
      <c r="I89" s="18"/>
      <c r="J89" s="18"/>
      <c r="K89" s="18"/>
      <c r="L89" s="18"/>
      <c r="M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row>
    <row r="90" spans="1:45" ht="15.6">
      <c r="A90" s="332" t="s">
        <v>51</v>
      </c>
      <c r="B90" s="326">
        <v>17533</v>
      </c>
      <c r="C90" s="327">
        <v>640.14082016768396</v>
      </c>
      <c r="D90" s="304"/>
      <c r="H90" s="18"/>
      <c r="I90" s="18"/>
      <c r="J90" s="18"/>
      <c r="K90" s="18"/>
      <c r="L90" s="18"/>
      <c r="M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row>
    <row r="91" spans="1:45" ht="15.6">
      <c r="A91" s="322" t="s">
        <v>14</v>
      </c>
      <c r="B91" s="323">
        <v>14242</v>
      </c>
      <c r="C91" s="324">
        <v>713.09816037073404</v>
      </c>
      <c r="D91" s="304"/>
      <c r="H91" s="18"/>
      <c r="I91" s="18"/>
      <c r="J91" s="18"/>
      <c r="K91" s="18"/>
      <c r="L91" s="18"/>
      <c r="M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row>
    <row r="92" spans="1:45" ht="15.6">
      <c r="A92" s="322" t="s">
        <v>20</v>
      </c>
      <c r="B92" s="323">
        <v>1</v>
      </c>
      <c r="C92" s="324">
        <v>1991</v>
      </c>
      <c r="D92" s="304"/>
      <c r="H92" s="18"/>
      <c r="I92" s="18"/>
      <c r="J92" s="18"/>
      <c r="K92" s="18"/>
      <c r="L92" s="18"/>
      <c r="M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row>
    <row r="93" spans="1:45" ht="15.6">
      <c r="A93" s="322" t="s">
        <v>16</v>
      </c>
      <c r="B93" s="323">
        <v>3247</v>
      </c>
      <c r="C93" s="324">
        <v>322.647982753311</v>
      </c>
      <c r="D93" s="304"/>
      <c r="H93" s="18"/>
      <c r="I93" s="18"/>
      <c r="J93" s="18"/>
      <c r="K93" s="18"/>
      <c r="L93" s="18"/>
      <c r="M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row>
    <row r="94" spans="1:45" ht="15.6">
      <c r="A94" s="322" t="s">
        <v>18</v>
      </c>
      <c r="B94" s="323">
        <v>43</v>
      </c>
      <c r="C94" s="324">
        <v>418.97674418604697</v>
      </c>
      <c r="D94" s="304"/>
      <c r="H94" s="18"/>
      <c r="I94" s="18"/>
      <c r="J94" s="18"/>
      <c r="K94" s="18"/>
      <c r="L94" s="18"/>
      <c r="M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row>
    <row r="95" spans="1:45" ht="15.6">
      <c r="A95" s="319" t="s">
        <v>52</v>
      </c>
      <c r="B95" s="320">
        <v>6008</v>
      </c>
      <c r="C95" s="321">
        <v>760.77846205059905</v>
      </c>
      <c r="D95" s="304"/>
      <c r="H95" s="18"/>
      <c r="I95" s="18"/>
      <c r="J95" s="18"/>
      <c r="K95" s="18"/>
      <c r="L95" s="18"/>
      <c r="M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row>
    <row r="96" spans="1:45" ht="15.6">
      <c r="A96" s="322" t="s">
        <v>14</v>
      </c>
      <c r="B96" s="323">
        <v>4659</v>
      </c>
      <c r="C96" s="324">
        <v>834.97424339987106</v>
      </c>
      <c r="D96" s="304"/>
      <c r="H96" s="18"/>
      <c r="I96" s="18"/>
      <c r="J96" s="18"/>
      <c r="K96" s="18"/>
      <c r="L96" s="18"/>
      <c r="M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row>
    <row r="97" spans="1:45" ht="15.6">
      <c r="A97" s="322" t="s">
        <v>16</v>
      </c>
      <c r="B97" s="323">
        <v>1291</v>
      </c>
      <c r="C97" s="324">
        <v>509.020914020139</v>
      </c>
      <c r="D97" s="304"/>
      <c r="H97" s="18"/>
      <c r="I97" s="18"/>
      <c r="J97" s="18"/>
      <c r="K97" s="18"/>
      <c r="L97" s="18"/>
      <c r="M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row>
    <row r="98" spans="1:45" ht="15.6">
      <c r="A98" s="328" t="s">
        <v>18</v>
      </c>
      <c r="B98" s="329">
        <v>58</v>
      </c>
      <c r="C98" s="330">
        <v>404.58620689655203</v>
      </c>
      <c r="D98" s="304"/>
      <c r="H98" s="18"/>
      <c r="I98" s="18"/>
      <c r="J98" s="18"/>
      <c r="K98" s="18"/>
      <c r="L98" s="18"/>
      <c r="M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row>
    <row r="99" spans="1:45" ht="15.6">
      <c r="A99" s="332" t="s">
        <v>53</v>
      </c>
      <c r="B99" s="326">
        <v>11104</v>
      </c>
      <c r="C99" s="327">
        <v>589.97586455331395</v>
      </c>
      <c r="D99" s="304"/>
      <c r="H99" s="18"/>
      <c r="I99" s="18"/>
      <c r="J99" s="18"/>
      <c r="K99" s="18"/>
      <c r="L99" s="18"/>
      <c r="M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row>
    <row r="100" spans="1:45" ht="15.6">
      <c r="A100" s="322" t="s">
        <v>14</v>
      </c>
      <c r="B100" s="323">
        <v>9071</v>
      </c>
      <c r="C100" s="324">
        <v>648.81093594973004</v>
      </c>
      <c r="D100" s="304"/>
      <c r="H100" s="18"/>
      <c r="I100" s="18"/>
      <c r="J100" s="18"/>
      <c r="K100" s="18"/>
      <c r="L100" s="18"/>
      <c r="M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row>
    <row r="101" spans="1:45" ht="15.6">
      <c r="A101" s="322" t="s">
        <v>20</v>
      </c>
      <c r="B101" s="323">
        <v>2</v>
      </c>
      <c r="C101" s="324">
        <v>2167</v>
      </c>
      <c r="D101" s="304"/>
      <c r="H101" s="18"/>
      <c r="I101" s="18"/>
      <c r="J101" s="18"/>
      <c r="K101" s="18"/>
      <c r="L101" s="18"/>
      <c r="M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row>
    <row r="102" spans="1:45" ht="15.6">
      <c r="A102" s="322" t="s">
        <v>16</v>
      </c>
      <c r="B102" s="323">
        <v>1913</v>
      </c>
      <c r="C102" s="324">
        <v>314.91217982226902</v>
      </c>
      <c r="D102" s="304"/>
      <c r="H102" s="18"/>
      <c r="I102" s="18"/>
      <c r="J102" s="18"/>
      <c r="K102" s="18"/>
      <c r="L102" s="18"/>
      <c r="M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row>
    <row r="103" spans="1:45" ht="15.6">
      <c r="A103" s="328" t="s">
        <v>18</v>
      </c>
      <c r="B103" s="329">
        <v>118</v>
      </c>
      <c r="C103" s="330">
        <v>499.72033898305102</v>
      </c>
      <c r="D103" s="304"/>
      <c r="H103" s="18"/>
      <c r="I103" s="18"/>
      <c r="J103" s="18"/>
      <c r="K103" s="18"/>
      <c r="L103" s="18"/>
      <c r="M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row>
    <row r="104" spans="1:45" ht="15.6">
      <c r="A104" s="332" t="s">
        <v>54</v>
      </c>
      <c r="B104" s="326">
        <v>10651</v>
      </c>
      <c r="C104" s="327">
        <v>1041.0116420993299</v>
      </c>
      <c r="D104" s="304"/>
      <c r="H104" s="18"/>
      <c r="I104" s="18"/>
      <c r="J104" s="18"/>
      <c r="K104" s="18"/>
      <c r="L104" s="18"/>
      <c r="M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row>
    <row r="105" spans="1:45" ht="15.6">
      <c r="A105" s="322" t="s">
        <v>14</v>
      </c>
      <c r="B105" s="323">
        <v>9418</v>
      </c>
      <c r="C105" s="324">
        <v>1091.7730940751801</v>
      </c>
      <c r="D105" s="304"/>
      <c r="H105" s="18"/>
      <c r="I105" s="18"/>
      <c r="J105" s="18"/>
      <c r="K105" s="18"/>
      <c r="L105" s="18"/>
      <c r="M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row>
    <row r="106" spans="1:45" ht="15.6">
      <c r="A106" s="322" t="s">
        <v>20</v>
      </c>
      <c r="B106" s="323">
        <v>8</v>
      </c>
      <c r="C106" s="324">
        <v>2488.75</v>
      </c>
      <c r="D106" s="304"/>
      <c r="H106" s="18"/>
      <c r="I106" s="18"/>
      <c r="J106" s="18"/>
      <c r="K106" s="18"/>
      <c r="L106" s="18"/>
      <c r="M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row>
    <row r="107" spans="1:45" ht="15.6">
      <c r="A107" s="322" t="s">
        <v>24</v>
      </c>
      <c r="B107" s="323">
        <v>1</v>
      </c>
      <c r="C107" s="324">
        <v>456</v>
      </c>
      <c r="D107" s="304"/>
      <c r="H107" s="18"/>
      <c r="I107" s="18"/>
      <c r="J107" s="18"/>
      <c r="K107" s="18"/>
      <c r="L107" s="18"/>
      <c r="M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row>
    <row r="108" spans="1:45" ht="15.6">
      <c r="A108" s="322" t="s">
        <v>16</v>
      </c>
      <c r="B108" s="323">
        <v>1189</v>
      </c>
      <c r="C108" s="324">
        <v>646.59461732548402</v>
      </c>
      <c r="D108" s="304"/>
      <c r="H108" s="18"/>
      <c r="I108" s="18"/>
      <c r="J108" s="18"/>
      <c r="K108" s="18"/>
      <c r="L108" s="18"/>
      <c r="M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row>
    <row r="109" spans="1:45" ht="15.6">
      <c r="A109" s="328" t="s">
        <v>18</v>
      </c>
      <c r="B109" s="329">
        <v>35</v>
      </c>
      <c r="C109" s="330">
        <v>466.54285714285697</v>
      </c>
      <c r="D109" s="304"/>
      <c r="H109" s="18"/>
      <c r="I109" s="18"/>
      <c r="J109" s="18"/>
      <c r="K109" s="18"/>
      <c r="L109" s="18"/>
      <c r="M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row>
    <row r="110" spans="1:45" ht="15.6">
      <c r="A110" s="332" t="s">
        <v>55</v>
      </c>
      <c r="B110" s="326">
        <v>6988</v>
      </c>
      <c r="C110" s="327">
        <v>765.00057240984495</v>
      </c>
      <c r="D110" s="304"/>
      <c r="H110" s="18"/>
      <c r="I110" s="18"/>
      <c r="J110" s="18"/>
      <c r="K110" s="18"/>
      <c r="L110" s="18"/>
      <c r="M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row>
    <row r="111" spans="1:45" ht="15.6">
      <c r="A111" s="322" t="s">
        <v>14</v>
      </c>
      <c r="B111" s="323">
        <v>6217</v>
      </c>
      <c r="C111" s="324">
        <v>815.514556860222</v>
      </c>
      <c r="D111" s="304"/>
      <c r="H111" s="18"/>
      <c r="I111" s="18"/>
      <c r="J111" s="18"/>
      <c r="K111" s="18"/>
      <c r="L111" s="18"/>
      <c r="M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row>
    <row r="112" spans="1:45" ht="15.6">
      <c r="A112" s="322" t="s">
        <v>16</v>
      </c>
      <c r="B112" s="323">
        <v>753</v>
      </c>
      <c r="C112" s="324">
        <v>353.09428950863202</v>
      </c>
      <c r="D112" s="304"/>
      <c r="H112" s="18"/>
      <c r="I112" s="18"/>
      <c r="J112" s="18"/>
      <c r="K112" s="18"/>
      <c r="L112" s="18"/>
      <c r="M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row>
    <row r="113" spans="1:45" ht="15.6">
      <c r="A113" s="328" t="s">
        <v>18</v>
      </c>
      <c r="B113" s="329">
        <v>18</v>
      </c>
      <c r="C113" s="330">
        <v>549.444444444444</v>
      </c>
      <c r="D113" s="304"/>
      <c r="H113" s="18"/>
      <c r="I113" s="18"/>
      <c r="J113" s="18"/>
      <c r="K113" s="18"/>
      <c r="L113" s="18"/>
      <c r="M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row>
    <row r="114" spans="1:45" ht="15.6">
      <c r="A114" s="332" t="s">
        <v>56</v>
      </c>
      <c r="B114" s="326">
        <v>2032</v>
      </c>
      <c r="C114" s="327">
        <v>513.62746062992096</v>
      </c>
      <c r="D114" s="304"/>
      <c r="H114" s="18"/>
      <c r="I114" s="18"/>
      <c r="J114" s="18"/>
      <c r="K114" s="18"/>
      <c r="L114" s="18"/>
      <c r="M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row>
    <row r="115" spans="1:45" ht="15.6">
      <c r="A115" s="322" t="s">
        <v>14</v>
      </c>
      <c r="B115" s="323">
        <v>822</v>
      </c>
      <c r="C115" s="324">
        <v>738.48296836983002</v>
      </c>
      <c r="D115" s="304"/>
      <c r="H115" s="18"/>
      <c r="I115" s="18"/>
      <c r="J115" s="18"/>
      <c r="K115" s="18"/>
      <c r="L115" s="18"/>
      <c r="M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row>
    <row r="116" spans="1:45" ht="15.6">
      <c r="A116" s="322" t="s">
        <v>16</v>
      </c>
      <c r="B116" s="323">
        <v>1163</v>
      </c>
      <c r="C116" s="324">
        <v>358.44969905417003</v>
      </c>
      <c r="D116" s="304"/>
      <c r="H116" s="18"/>
      <c r="I116" s="18"/>
      <c r="J116" s="18"/>
      <c r="K116" s="18"/>
      <c r="L116" s="18"/>
      <c r="M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row>
    <row r="117" spans="1:45" ht="15.6">
      <c r="A117" s="322" t="s">
        <v>18</v>
      </c>
      <c r="B117" s="323">
        <v>47</v>
      </c>
      <c r="C117" s="324">
        <v>420.872340425532</v>
      </c>
      <c r="D117" s="304"/>
      <c r="H117" s="18"/>
      <c r="I117" s="18"/>
      <c r="J117" s="18"/>
      <c r="K117" s="18"/>
      <c r="L117" s="18"/>
      <c r="M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row>
    <row r="118" spans="1:45" ht="15.6">
      <c r="A118" s="332" t="s">
        <v>57</v>
      </c>
      <c r="B118" s="326">
        <v>6333</v>
      </c>
      <c r="C118" s="327">
        <v>933.54050213169103</v>
      </c>
      <c r="D118" s="304"/>
      <c r="H118" s="18"/>
      <c r="I118" s="18"/>
      <c r="J118" s="18"/>
      <c r="K118" s="18"/>
      <c r="L118" s="18"/>
      <c r="M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row>
    <row r="119" spans="1:45" ht="15.6">
      <c r="A119" s="322" t="s">
        <v>14</v>
      </c>
      <c r="B119" s="323">
        <v>5572</v>
      </c>
      <c r="C119" s="324">
        <v>981.82142857142901</v>
      </c>
      <c r="D119" s="304"/>
      <c r="H119" s="18"/>
      <c r="I119" s="18"/>
      <c r="J119" s="18"/>
      <c r="K119" s="18"/>
      <c r="L119" s="18"/>
      <c r="M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row>
    <row r="120" spans="1:45" ht="15.6">
      <c r="A120" s="322" t="s">
        <v>16</v>
      </c>
      <c r="B120" s="323">
        <v>739</v>
      </c>
      <c r="C120" s="324">
        <v>570.34641407307197</v>
      </c>
      <c r="D120" s="304"/>
      <c r="H120" s="18"/>
      <c r="I120" s="18"/>
      <c r="J120" s="18"/>
      <c r="K120" s="18"/>
      <c r="L120" s="18"/>
      <c r="M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row>
    <row r="121" spans="1:45" ht="15.6">
      <c r="A121" s="322" t="s">
        <v>18</v>
      </c>
      <c r="B121" s="323">
        <v>22</v>
      </c>
      <c r="C121" s="324">
        <v>905.31818181818198</v>
      </c>
      <c r="D121" s="304"/>
    </row>
    <row r="122" spans="1:45" ht="15.6">
      <c r="A122" s="332" t="s">
        <v>58</v>
      </c>
      <c r="B122" s="326">
        <v>3125</v>
      </c>
      <c r="C122" s="327">
        <v>498.45280000000002</v>
      </c>
      <c r="D122" s="304"/>
    </row>
    <row r="123" spans="1:45" ht="15.6">
      <c r="A123" s="322" t="s">
        <v>14</v>
      </c>
      <c r="B123" s="323">
        <v>1827</v>
      </c>
      <c r="C123" s="324">
        <v>682.85604816639295</v>
      </c>
      <c r="D123" s="304"/>
    </row>
    <row r="124" spans="1:45" ht="15.6">
      <c r="A124" s="322" t="s">
        <v>16</v>
      </c>
      <c r="B124" s="323">
        <v>1235</v>
      </c>
      <c r="C124" s="324">
        <v>232.69716599190301</v>
      </c>
      <c r="D124" s="304"/>
    </row>
    <row r="125" spans="1:45" ht="15.6">
      <c r="A125" s="322" t="s">
        <v>18</v>
      </c>
      <c r="B125" s="323">
        <v>63</v>
      </c>
      <c r="C125" s="324">
        <v>360.41269841269798</v>
      </c>
      <c r="D125" s="304"/>
    </row>
    <row r="126" spans="1:45" ht="15.6">
      <c r="A126" s="332" t="s">
        <v>59</v>
      </c>
      <c r="B126" s="326">
        <v>1990</v>
      </c>
      <c r="C126" s="327">
        <v>484.32060301507499</v>
      </c>
      <c r="D126" s="304"/>
    </row>
    <row r="127" spans="1:45" ht="15.6">
      <c r="A127" s="322" t="s">
        <v>14</v>
      </c>
      <c r="B127" s="323">
        <v>1025</v>
      </c>
      <c r="C127" s="324">
        <v>760.435121951219</v>
      </c>
      <c r="D127" s="304"/>
    </row>
    <row r="128" spans="1:45" ht="15.6">
      <c r="A128" s="322" t="s">
        <v>16</v>
      </c>
      <c r="B128" s="323">
        <v>848</v>
      </c>
      <c r="C128" s="324">
        <v>201.99056603773599</v>
      </c>
      <c r="D128" s="304"/>
    </row>
    <row r="129" spans="1:4" ht="15.6">
      <c r="A129" s="322" t="s">
        <v>18</v>
      </c>
      <c r="B129" s="323">
        <v>117</v>
      </c>
      <c r="C129" s="324">
        <v>111.65811965812</v>
      </c>
      <c r="D129" s="304"/>
    </row>
    <row r="130" spans="1:4" ht="15.6">
      <c r="A130" s="332" t="s">
        <v>60</v>
      </c>
      <c r="B130" s="326">
        <v>20853</v>
      </c>
      <c r="C130" s="327">
        <v>757.69256222126296</v>
      </c>
      <c r="D130" s="304"/>
    </row>
    <row r="131" spans="1:4" ht="15.6">
      <c r="A131" s="322" t="s">
        <v>14</v>
      </c>
      <c r="B131" s="323">
        <v>17920</v>
      </c>
      <c r="C131" s="324">
        <v>807.25708705357101</v>
      </c>
      <c r="D131" s="304"/>
    </row>
    <row r="132" spans="1:4" ht="15.6">
      <c r="A132" s="322" t="s">
        <v>20</v>
      </c>
      <c r="B132" s="323">
        <v>2</v>
      </c>
      <c r="C132" s="324">
        <v>3496.5</v>
      </c>
      <c r="D132" s="304"/>
    </row>
    <row r="133" spans="1:4" ht="15.6">
      <c r="A133" s="322" t="s">
        <v>16</v>
      </c>
      <c r="B133" s="323">
        <v>2541</v>
      </c>
      <c r="C133" s="324">
        <v>442.41676505312898</v>
      </c>
      <c r="D133" s="304"/>
    </row>
    <row r="134" spans="1:4" ht="15.6">
      <c r="A134" s="328" t="s">
        <v>18</v>
      </c>
      <c r="B134" s="329">
        <v>390</v>
      </c>
      <c r="C134" s="330">
        <v>520.36410256410295</v>
      </c>
      <c r="D134" s="304"/>
    </row>
    <row r="135" spans="1:4" ht="15.6">
      <c r="A135" s="332" t="s">
        <v>61</v>
      </c>
      <c r="B135" s="326">
        <v>10394</v>
      </c>
      <c r="C135" s="327">
        <v>833.05753319222595</v>
      </c>
      <c r="D135" s="304"/>
    </row>
    <row r="136" spans="1:4" ht="15.6">
      <c r="A136" s="322" t="s">
        <v>14</v>
      </c>
      <c r="B136" s="323">
        <v>9096</v>
      </c>
      <c r="C136" s="324">
        <v>850.06475373790704</v>
      </c>
      <c r="D136" s="304"/>
    </row>
    <row r="137" spans="1:4" ht="15.6">
      <c r="A137" s="322" t="s">
        <v>20</v>
      </c>
      <c r="B137" s="323">
        <v>60</v>
      </c>
      <c r="C137" s="324">
        <v>3063.4666666666699</v>
      </c>
      <c r="D137" s="304"/>
    </row>
    <row r="138" spans="1:4" ht="15.6">
      <c r="A138" s="322" t="s">
        <v>16</v>
      </c>
      <c r="B138" s="323">
        <v>939</v>
      </c>
      <c r="C138" s="324">
        <v>567.39084132055405</v>
      </c>
      <c r="D138" s="304"/>
    </row>
    <row r="139" spans="1:4" ht="15.6">
      <c r="A139" s="328" t="s">
        <v>18</v>
      </c>
      <c r="B139" s="329">
        <v>299</v>
      </c>
      <c r="C139" s="330">
        <v>702.41806020066895</v>
      </c>
      <c r="D139" s="304"/>
    </row>
    <row r="140" spans="1:4" ht="15.6">
      <c r="A140" s="332" t="s">
        <v>62</v>
      </c>
      <c r="B140" s="326">
        <v>3552</v>
      </c>
      <c r="C140" s="327">
        <v>1135.6134572072101</v>
      </c>
      <c r="D140" s="304"/>
    </row>
    <row r="141" spans="1:4" ht="15.6">
      <c r="A141" s="322" t="s">
        <v>14</v>
      </c>
      <c r="B141" s="323">
        <v>2880</v>
      </c>
      <c r="C141" s="324">
        <v>1185.31111111111</v>
      </c>
      <c r="D141" s="304"/>
    </row>
    <row r="142" spans="1:4" ht="15.6">
      <c r="A142" s="322" t="s">
        <v>20</v>
      </c>
      <c r="B142" s="323">
        <v>18</v>
      </c>
      <c r="C142" s="324">
        <v>3175.6666666666702</v>
      </c>
      <c r="D142" s="304"/>
    </row>
    <row r="143" spans="1:4" ht="15.6">
      <c r="A143" s="322" t="s">
        <v>16</v>
      </c>
      <c r="B143" s="323">
        <v>651</v>
      </c>
      <c r="C143" s="324">
        <v>859.42703533026099</v>
      </c>
      <c r="D143" s="304"/>
    </row>
    <row r="144" spans="1:4" ht="15.6">
      <c r="A144" s="322" t="s">
        <v>18</v>
      </c>
      <c r="B144" s="323">
        <v>3</v>
      </c>
      <c r="C144" s="324">
        <v>1118</v>
      </c>
      <c r="D144" s="304"/>
    </row>
    <row r="145" spans="1:4" ht="15.6">
      <c r="A145" s="332" t="s">
        <v>63</v>
      </c>
      <c r="B145" s="326">
        <v>8170</v>
      </c>
      <c r="C145" s="327">
        <v>292.32044063647498</v>
      </c>
      <c r="D145" s="304"/>
    </row>
    <row r="146" spans="1:4" ht="15.6">
      <c r="A146" s="322" t="s">
        <v>14</v>
      </c>
      <c r="B146" s="333">
        <v>3311</v>
      </c>
      <c r="C146" s="334">
        <v>495.96375717305898</v>
      </c>
      <c r="D146" s="304"/>
    </row>
    <row r="147" spans="1:4" ht="15.6">
      <c r="A147" s="322" t="s">
        <v>22</v>
      </c>
      <c r="B147" s="333">
        <v>1</v>
      </c>
      <c r="C147" s="334">
        <v>18</v>
      </c>
      <c r="D147" s="304"/>
    </row>
    <row r="148" spans="1:4" ht="15.6">
      <c r="A148" s="322" t="s">
        <v>20</v>
      </c>
      <c r="B148" s="333">
        <v>1</v>
      </c>
      <c r="C148" s="334">
        <v>199</v>
      </c>
      <c r="D148" s="304"/>
    </row>
    <row r="149" spans="1:4" ht="15.6">
      <c r="A149" s="322" t="s">
        <v>24</v>
      </c>
      <c r="B149" s="333">
        <v>1</v>
      </c>
      <c r="C149" s="334">
        <v>651</v>
      </c>
      <c r="D149" s="304"/>
    </row>
    <row r="150" spans="1:4" ht="15.6">
      <c r="A150" s="322" t="s">
        <v>16</v>
      </c>
      <c r="B150" s="333">
        <v>4771</v>
      </c>
      <c r="C150" s="334">
        <v>153.05093271850799</v>
      </c>
      <c r="D150" s="304"/>
    </row>
    <row r="151" spans="1:4" ht="15.6">
      <c r="A151" s="322" t="s">
        <v>18</v>
      </c>
      <c r="B151" s="333">
        <v>85</v>
      </c>
      <c r="C151" s="334">
        <v>177.035294117647</v>
      </c>
      <c r="D151" s="335"/>
    </row>
    <row r="152" spans="1:4" ht="15.6">
      <c r="A152" s="304"/>
      <c r="B152" s="304"/>
      <c r="C152" s="304"/>
      <c r="D152" s="335"/>
    </row>
    <row r="153" spans="1:4" ht="15.6">
      <c r="A153" s="304"/>
      <c r="B153" s="304"/>
      <c r="C153" s="304"/>
      <c r="D153" s="335"/>
    </row>
    <row r="154" spans="1:4" ht="15.6">
      <c r="D154" s="335"/>
    </row>
    <row r="155" spans="1:4" ht="15.6">
      <c r="D155" s="304"/>
    </row>
    <row r="156" spans="1:4" ht="15.6">
      <c r="D156" s="304"/>
    </row>
    <row r="157" spans="1:4" ht="15.6">
      <c r="D157" s="304"/>
    </row>
    <row r="158" spans="1:4" ht="15.6">
      <c r="D158" s="304"/>
    </row>
    <row r="159" spans="1:4" ht="15.6">
      <c r="D159" s="304"/>
    </row>
    <row r="160" spans="1:4" ht="15.6">
      <c r="D160" s="304"/>
    </row>
    <row r="161" spans="4:8" ht="15.6">
      <c r="D161" s="304"/>
    </row>
    <row r="162" spans="4:8" ht="15.6">
      <c r="D162" s="304"/>
    </row>
    <row r="163" spans="4:8" ht="15.6">
      <c r="D163" s="304"/>
    </row>
    <row r="164" spans="4:8" ht="15.6">
      <c r="D164" s="304"/>
      <c r="H164" s="304"/>
    </row>
    <row r="165" spans="4:8" ht="15.6">
      <c r="D165" s="304"/>
      <c r="H165" s="304"/>
    </row>
    <row r="166" spans="4:8" ht="15.6">
      <c r="D166" s="304"/>
      <c r="H166" s="304"/>
    </row>
  </sheetData>
  <mergeCells count="18">
    <mergeCell ref="A29:C29"/>
    <mergeCell ref="A2:G3"/>
    <mergeCell ref="A24:C24"/>
    <mergeCell ref="E24:G24"/>
    <mergeCell ref="A25:C25"/>
    <mergeCell ref="E25:G25"/>
    <mergeCell ref="A27:C27"/>
    <mergeCell ref="E14:G14"/>
    <mergeCell ref="E15:G15"/>
    <mergeCell ref="A16:C16"/>
    <mergeCell ref="A17:C17"/>
    <mergeCell ref="A19:C19"/>
    <mergeCell ref="E19:G19"/>
    <mergeCell ref="A1:G1"/>
    <mergeCell ref="A4:G4"/>
    <mergeCell ref="A7:C7"/>
    <mergeCell ref="E7:G7"/>
    <mergeCell ref="E13:G13"/>
  </mergeCells>
  <pageMargins left="0.7" right="0.7" top="0.75" bottom="0.75" header="0.3" footer="0.3"/>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X208"/>
  <sheetViews>
    <sheetView showGridLines="0" topLeftCell="A57" zoomScaleSheetLayoutView="70" zoomScalePageLayoutView="90" workbookViewId="0">
      <selection activeCell="A162" sqref="A162"/>
    </sheetView>
  </sheetViews>
  <sheetFormatPr defaultColWidth="9" defaultRowHeight="14.4"/>
  <cols>
    <col min="1" max="1" width="36.44140625" customWidth="1"/>
    <col min="2" max="2" width="23.6640625" customWidth="1"/>
    <col min="3" max="3" width="11.44140625" customWidth="1"/>
    <col min="4" max="4" width="14.44140625" customWidth="1"/>
    <col min="5" max="5" width="13.33203125" customWidth="1"/>
    <col min="6" max="6" width="12.6640625" customWidth="1"/>
    <col min="7" max="8" width="10.44140625" customWidth="1"/>
    <col min="9" max="9" width="13.44140625" customWidth="1"/>
    <col min="10" max="10" width="11.5546875" customWidth="1"/>
    <col min="12" max="12" width="8.6640625" customWidth="1"/>
    <col min="13" max="13" width="9" customWidth="1"/>
    <col min="14" max="14" width="13.5546875" customWidth="1"/>
    <col min="15" max="15" width="17.33203125" customWidth="1"/>
    <col min="16" max="16" width="10.44140625" customWidth="1"/>
    <col min="25" max="25" width="8.6640625" customWidth="1"/>
    <col min="27" max="27" width="10.5546875" customWidth="1"/>
  </cols>
  <sheetData>
    <row r="1" spans="1:50" s="117" customFormat="1" ht="27.75" customHeight="1">
      <c r="A1" s="360" t="s">
        <v>5</v>
      </c>
      <c r="B1" s="360"/>
      <c r="C1" s="360"/>
      <c r="D1" s="360"/>
    </row>
    <row r="2" spans="1:50" s="118" customFormat="1" ht="45.75" customHeight="1">
      <c r="A2" s="361" t="s">
        <v>1</v>
      </c>
      <c r="B2" s="361"/>
      <c r="C2" s="361"/>
      <c r="D2" s="361"/>
      <c r="E2" s="361"/>
      <c r="F2" s="361"/>
      <c r="G2" s="361"/>
      <c r="H2" s="361"/>
      <c r="I2" s="361"/>
      <c r="J2" s="361"/>
      <c r="K2" s="361"/>
      <c r="L2" s="361"/>
      <c r="M2" s="361"/>
      <c r="N2" s="361"/>
      <c r="O2" s="361"/>
      <c r="P2" s="361"/>
      <c r="Q2" s="190"/>
      <c r="R2" s="190"/>
      <c r="S2" s="190"/>
      <c r="T2" s="190"/>
      <c r="U2" s="190"/>
      <c r="V2" s="190"/>
    </row>
    <row r="3" spans="1:50" ht="31.5" customHeight="1">
      <c r="A3" s="362" t="s">
        <v>64</v>
      </c>
      <c r="B3" s="362"/>
      <c r="C3" s="362"/>
      <c r="D3" s="362"/>
      <c r="E3" s="124"/>
      <c r="F3" s="124"/>
      <c r="G3" s="124"/>
      <c r="H3" s="124"/>
      <c r="I3" s="124"/>
      <c r="J3" s="124"/>
      <c r="K3" s="124"/>
      <c r="L3" s="124"/>
      <c r="M3" s="124"/>
      <c r="N3" s="124"/>
      <c r="O3" s="124"/>
      <c r="P3" s="124"/>
      <c r="Q3" s="124"/>
      <c r="R3" s="124"/>
      <c r="S3" s="124"/>
      <c r="T3" s="124"/>
      <c r="U3" s="124"/>
      <c r="V3" s="124"/>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0" s="117" customFormat="1" ht="30.75" customHeight="1">
      <c r="A4" s="363"/>
      <c r="B4" s="363"/>
      <c r="C4" s="363"/>
      <c r="D4" s="363"/>
      <c r="E4" s="363"/>
      <c r="F4" s="363"/>
      <c r="G4" s="363"/>
      <c r="H4" s="363"/>
      <c r="I4" s="363"/>
      <c r="J4" s="363"/>
      <c r="K4" s="363"/>
      <c r="L4" s="363"/>
      <c r="M4" s="363"/>
      <c r="N4" s="363"/>
      <c r="O4" s="363"/>
      <c r="P4" s="363"/>
      <c r="Q4" s="363"/>
      <c r="R4" s="363"/>
      <c r="S4" s="363"/>
      <c r="T4" s="363"/>
      <c r="U4" s="363"/>
      <c r="V4" s="363"/>
      <c r="W4" s="191"/>
      <c r="X4" s="191"/>
      <c r="Y4" s="191"/>
      <c r="Z4" s="191"/>
    </row>
    <row r="5" spans="1:50" s="118" customFormat="1" ht="19.2" customHeight="1">
      <c r="A5" s="125"/>
      <c r="B5" s="125"/>
      <c r="C5" s="125"/>
      <c r="D5" s="125"/>
      <c r="E5" s="125"/>
      <c r="F5" s="125"/>
      <c r="G5" s="125"/>
      <c r="H5" s="125"/>
      <c r="I5" s="125"/>
      <c r="J5" s="125"/>
      <c r="K5" s="125"/>
      <c r="L5" s="125"/>
      <c r="M5" s="125"/>
      <c r="N5" s="125"/>
      <c r="O5" s="125"/>
      <c r="P5" s="125"/>
      <c r="Q5" s="125"/>
      <c r="R5" s="125"/>
      <c r="S5" s="125"/>
      <c r="T5" s="125"/>
      <c r="U5" s="125"/>
      <c r="V5" s="125"/>
      <c r="W5" s="192"/>
      <c r="X5" s="192"/>
      <c r="Y5" s="192"/>
      <c r="Z5" s="192"/>
    </row>
    <row r="6" spans="1:50" s="118" customFormat="1" ht="16.5" customHeight="1">
      <c r="A6" s="364"/>
      <c r="B6" s="365"/>
      <c r="C6" s="365"/>
      <c r="D6" s="365"/>
      <c r="E6" s="365"/>
      <c r="F6" s="365"/>
      <c r="G6" s="365"/>
      <c r="H6" s="365"/>
      <c r="I6" s="365"/>
      <c r="J6" s="365"/>
      <c r="K6" s="365"/>
      <c r="L6" s="365"/>
      <c r="M6" s="365"/>
      <c r="N6" s="365"/>
      <c r="O6" s="365"/>
      <c r="P6" s="365"/>
      <c r="Q6" s="365"/>
      <c r="R6" s="365"/>
      <c r="S6" s="365"/>
      <c r="T6" s="365"/>
      <c r="U6" s="365"/>
      <c r="V6" s="366"/>
      <c r="W6" s="192"/>
      <c r="X6" s="192"/>
      <c r="Y6" s="192"/>
      <c r="Z6" s="192"/>
    </row>
    <row r="7" spans="1:50" s="117" customFormat="1" ht="16.5" customHeight="1">
      <c r="A7" s="126"/>
      <c r="B7" s="127"/>
      <c r="C7" s="127"/>
      <c r="D7" s="127"/>
      <c r="E7" s="127"/>
      <c r="F7" s="127"/>
      <c r="G7" s="127"/>
      <c r="H7" s="127"/>
      <c r="J7" s="161"/>
      <c r="K7" s="161"/>
      <c r="L7" s="161"/>
      <c r="N7" s="127"/>
      <c r="O7" s="127"/>
      <c r="P7" s="127"/>
      <c r="Q7" s="127"/>
      <c r="R7" s="127"/>
      <c r="S7" s="127"/>
      <c r="T7" s="127"/>
      <c r="U7" s="127"/>
      <c r="V7" s="193"/>
      <c r="W7" s="176"/>
      <c r="X7" s="176"/>
      <c r="Y7" s="176"/>
      <c r="Z7" s="176"/>
    </row>
    <row r="8" spans="1:50" s="119" customFormat="1" ht="30.6" customHeight="1">
      <c r="A8" s="367" t="s">
        <v>65</v>
      </c>
      <c r="B8" s="368"/>
      <c r="C8" s="368"/>
      <c r="D8" s="368"/>
      <c r="E8" s="129"/>
      <c r="F8" s="129"/>
      <c r="G8" s="368" t="s">
        <v>66</v>
      </c>
      <c r="H8" s="368"/>
      <c r="I8" s="368"/>
      <c r="J8" s="368"/>
      <c r="K8" s="368"/>
      <c r="L8" s="128"/>
      <c r="N8" s="368" t="s">
        <v>67</v>
      </c>
      <c r="O8" s="368"/>
      <c r="P8" s="368"/>
      <c r="Q8" s="368"/>
      <c r="R8" s="368"/>
      <c r="U8" s="194"/>
      <c r="V8" s="194"/>
      <c r="W8" s="195"/>
      <c r="X8" s="196"/>
      <c r="Y8" s="196"/>
      <c r="Z8" s="196"/>
      <c r="AA8" s="196"/>
      <c r="AC8" s="217"/>
      <c r="AD8" s="217"/>
    </row>
    <row r="9" spans="1:50" s="117" customFormat="1" ht="28.35" customHeight="1">
      <c r="A9" s="130" t="s">
        <v>68</v>
      </c>
      <c r="B9" s="131" t="s">
        <v>69</v>
      </c>
      <c r="C9" s="131" t="s">
        <v>70</v>
      </c>
      <c r="D9" s="131" t="s">
        <v>19</v>
      </c>
      <c r="E9" s="127"/>
      <c r="F9" s="127"/>
      <c r="G9" s="369" t="s">
        <v>71</v>
      </c>
      <c r="H9" s="370"/>
      <c r="I9" s="162" t="s">
        <v>69</v>
      </c>
      <c r="J9" s="162" t="s">
        <v>70</v>
      </c>
      <c r="K9" s="162" t="s">
        <v>19</v>
      </c>
      <c r="L9" s="163"/>
      <c r="M9" s="163"/>
      <c r="N9" s="371" t="s">
        <v>72</v>
      </c>
      <c r="O9" s="371"/>
      <c r="P9" s="164" t="s">
        <v>73</v>
      </c>
      <c r="Q9" s="127"/>
      <c r="R9" s="127"/>
      <c r="S9" s="127"/>
      <c r="T9" s="127"/>
      <c r="U9" s="127"/>
      <c r="V9" s="176"/>
      <c r="W9" s="195"/>
      <c r="X9" s="176"/>
      <c r="Y9" s="176"/>
      <c r="Z9" s="176"/>
      <c r="AA9" s="176"/>
      <c r="AB9" s="176"/>
      <c r="AC9" s="200"/>
      <c r="AD9" s="200"/>
    </row>
    <row r="10" spans="1:50" s="117" customFormat="1" ht="16.5" customHeight="1">
      <c r="A10" s="132" t="s">
        <v>19</v>
      </c>
      <c r="B10" s="133">
        <f>SUM(B11:B14)</f>
        <v>894</v>
      </c>
      <c r="C10" s="133">
        <f>SUM(C11:C14)</f>
        <v>64841</v>
      </c>
      <c r="D10" s="133">
        <f>SUM(D11:D14)</f>
        <v>65735</v>
      </c>
      <c r="E10" s="127"/>
      <c r="F10" s="127"/>
      <c r="G10" s="372" t="s">
        <v>74</v>
      </c>
      <c r="H10" s="372"/>
      <c r="I10" s="165">
        <v>21</v>
      </c>
      <c r="J10" s="166">
        <v>121.00535168195699</v>
      </c>
      <c r="K10" s="166">
        <v>120.928953399542</v>
      </c>
      <c r="L10" s="167"/>
      <c r="M10" s="167"/>
      <c r="N10" s="373" t="s">
        <v>19</v>
      </c>
      <c r="O10" s="373"/>
      <c r="P10" s="168">
        <f>SUM(P11:P12)</f>
        <v>3942</v>
      </c>
      <c r="Q10" s="127"/>
      <c r="R10" s="127"/>
      <c r="S10" s="127"/>
      <c r="T10" s="127"/>
      <c r="U10" s="127"/>
      <c r="V10" s="197"/>
      <c r="W10" s="195"/>
      <c r="X10" s="176"/>
      <c r="Y10" s="176"/>
      <c r="Z10" s="176"/>
      <c r="AA10" s="176"/>
      <c r="AB10" s="176"/>
      <c r="AC10" s="200"/>
      <c r="AD10" s="200"/>
    </row>
    <row r="11" spans="1:50" s="117" customFormat="1" ht="13.35" customHeight="1">
      <c r="A11" s="134" t="s">
        <v>75</v>
      </c>
      <c r="B11" s="135">
        <v>285</v>
      </c>
      <c r="C11" s="135">
        <v>5923</v>
      </c>
      <c r="D11" s="136">
        <f>SUM(B11:C11)</f>
        <v>6208</v>
      </c>
      <c r="E11" s="127"/>
      <c r="F11" s="374"/>
      <c r="G11" s="375"/>
      <c r="H11" s="137"/>
      <c r="I11" s="137"/>
      <c r="J11" s="137"/>
      <c r="K11" s="137"/>
      <c r="L11" s="137"/>
      <c r="N11" s="376" t="s">
        <v>69</v>
      </c>
      <c r="O11" s="376"/>
      <c r="P11" s="169">
        <v>50</v>
      </c>
      <c r="Q11" s="127"/>
      <c r="R11" s="127"/>
      <c r="S11" s="197"/>
      <c r="T11" s="197"/>
      <c r="U11" s="197"/>
      <c r="V11" s="176"/>
      <c r="W11" s="195"/>
      <c r="X11" s="176"/>
      <c r="Y11" s="176"/>
      <c r="Z11" s="200"/>
      <c r="AA11" s="200"/>
    </row>
    <row r="12" spans="1:50" s="117" customFormat="1" ht="13.35" customHeight="1">
      <c r="A12" s="138" t="s">
        <v>76</v>
      </c>
      <c r="B12" s="135">
        <v>487</v>
      </c>
      <c r="C12" s="135">
        <v>45169</v>
      </c>
      <c r="D12" s="136">
        <f>SUM(B12:C12)</f>
        <v>45656</v>
      </c>
      <c r="E12" s="127"/>
      <c r="M12" s="170"/>
      <c r="N12" s="377" t="s">
        <v>70</v>
      </c>
      <c r="O12" s="377"/>
      <c r="P12" s="171">
        <v>3892</v>
      </c>
      <c r="Q12" s="127"/>
      <c r="R12" s="127"/>
      <c r="S12" s="127"/>
      <c r="T12" s="127"/>
      <c r="U12" s="197"/>
      <c r="V12" s="195"/>
      <c r="W12" s="198"/>
      <c r="X12" s="176"/>
      <c r="Y12" s="176"/>
      <c r="Z12" s="176"/>
      <c r="AA12" s="176"/>
      <c r="AB12" s="200"/>
      <c r="AC12" s="200"/>
    </row>
    <row r="13" spans="1:50" s="117" customFormat="1" ht="13.35" customHeight="1">
      <c r="A13" s="138" t="s">
        <v>77</v>
      </c>
      <c r="B13" s="135">
        <v>30</v>
      </c>
      <c r="C13" s="135">
        <v>2900</v>
      </c>
      <c r="D13" s="136">
        <f>SUM(B13:C13)</f>
        <v>2930</v>
      </c>
      <c r="E13" s="127"/>
      <c r="F13" s="127"/>
      <c r="G13" s="127"/>
      <c r="H13" s="127"/>
      <c r="I13" s="127"/>
      <c r="J13" s="127"/>
      <c r="Q13" s="127"/>
      <c r="R13" s="127"/>
      <c r="S13" s="127"/>
      <c r="T13" s="197"/>
      <c r="U13" s="127"/>
      <c r="V13" s="195"/>
      <c r="W13" s="199"/>
      <c r="X13" s="176"/>
      <c r="Y13" s="176"/>
      <c r="Z13" s="176"/>
      <c r="AA13" s="200"/>
      <c r="AB13" s="200"/>
    </row>
    <row r="14" spans="1:50" s="117" customFormat="1" ht="13.35" customHeight="1">
      <c r="A14" s="138" t="s">
        <v>78</v>
      </c>
      <c r="B14" s="135">
        <v>92</v>
      </c>
      <c r="C14" s="135">
        <v>10849</v>
      </c>
      <c r="D14" s="136">
        <f>SUM(B14:C14)</f>
        <v>10941</v>
      </c>
      <c r="E14" s="127"/>
      <c r="F14" s="127"/>
      <c r="G14" s="127"/>
      <c r="H14" s="127"/>
      <c r="I14" s="127"/>
      <c r="J14" s="127"/>
      <c r="K14" s="127"/>
      <c r="L14" s="127"/>
      <c r="M14" s="127"/>
      <c r="N14" s="127"/>
      <c r="O14" s="127"/>
      <c r="P14" s="127"/>
      <c r="Q14" s="127"/>
      <c r="R14" s="127"/>
      <c r="S14" s="127"/>
      <c r="T14" s="197"/>
      <c r="U14" s="127"/>
      <c r="V14" s="195"/>
      <c r="W14" s="199"/>
      <c r="X14" s="176"/>
      <c r="Y14" s="176"/>
      <c r="Z14" s="176"/>
      <c r="AA14" s="200"/>
      <c r="AB14" s="200"/>
    </row>
    <row r="15" spans="1:50" s="117" customFormat="1" ht="16.5" customHeight="1">
      <c r="A15" s="139"/>
      <c r="B15" s="140"/>
      <c r="C15" s="140"/>
      <c r="D15" s="140"/>
      <c r="E15" s="140"/>
      <c r="F15" s="140"/>
      <c r="G15" s="127"/>
      <c r="H15" s="127"/>
      <c r="I15" s="127"/>
      <c r="J15" s="127"/>
      <c r="K15" s="127"/>
      <c r="L15" s="127"/>
      <c r="M15" s="127"/>
      <c r="N15" s="127"/>
      <c r="O15" s="127"/>
      <c r="P15" s="127"/>
      <c r="Q15" s="127"/>
      <c r="R15" s="127"/>
      <c r="S15" s="127"/>
      <c r="T15" s="127"/>
      <c r="U15" s="127"/>
      <c r="V15" s="195"/>
      <c r="W15" s="199"/>
      <c r="X15" s="176"/>
      <c r="Y15" s="176"/>
      <c r="Z15" s="176"/>
      <c r="AA15" s="176"/>
      <c r="AB15" s="200"/>
      <c r="AC15" s="200"/>
      <c r="AK15" s="200"/>
      <c r="AL15" s="200"/>
    </row>
    <row r="16" spans="1:50" s="117" customFormat="1" ht="16.5" customHeight="1">
      <c r="A16" s="378"/>
      <c r="B16" s="379"/>
      <c r="C16" s="379"/>
      <c r="D16" s="379"/>
      <c r="E16" s="379"/>
      <c r="F16" s="379"/>
      <c r="G16" s="379"/>
      <c r="H16" s="379"/>
      <c r="I16" s="379"/>
      <c r="J16" s="379"/>
      <c r="K16" s="379"/>
      <c r="L16" s="379"/>
      <c r="M16" s="379"/>
      <c r="N16" s="379"/>
      <c r="O16" s="379"/>
      <c r="P16" s="379"/>
      <c r="Q16" s="379"/>
      <c r="R16" s="379"/>
      <c r="S16" s="379"/>
      <c r="T16" s="379"/>
      <c r="U16" s="379"/>
      <c r="V16" s="380"/>
      <c r="W16" s="199"/>
      <c r="X16" s="200"/>
      <c r="Y16" s="176"/>
      <c r="Z16" s="176"/>
      <c r="AK16" s="200"/>
    </row>
    <row r="17" spans="1:38" s="117" customFormat="1" ht="16.5" customHeight="1">
      <c r="A17" s="126"/>
      <c r="B17" s="127"/>
      <c r="C17" s="127"/>
      <c r="D17" s="127"/>
      <c r="E17" s="127"/>
      <c r="F17" s="127"/>
      <c r="G17" s="127"/>
      <c r="H17" s="127"/>
      <c r="I17" s="127"/>
      <c r="J17" s="127"/>
      <c r="K17" s="127"/>
      <c r="L17" s="127"/>
      <c r="M17" s="127"/>
      <c r="N17" s="127"/>
      <c r="O17" s="127"/>
      <c r="P17" s="127"/>
      <c r="Q17" s="127"/>
      <c r="R17" s="127"/>
      <c r="S17" s="127"/>
      <c r="T17" s="127"/>
      <c r="U17" s="127"/>
      <c r="V17" s="193"/>
      <c r="W17" s="176"/>
      <c r="X17" s="176"/>
      <c r="Y17" s="176"/>
      <c r="Z17" s="176"/>
      <c r="AF17" s="200"/>
      <c r="AK17" s="200"/>
    </row>
    <row r="18" spans="1:38" s="120" customFormat="1" ht="27.6" customHeight="1">
      <c r="A18" s="367" t="s">
        <v>79</v>
      </c>
      <c r="B18" s="368"/>
      <c r="C18" s="368"/>
      <c r="D18" s="368"/>
      <c r="E18" s="368"/>
      <c r="F18" s="368"/>
      <c r="I18" s="381" t="s">
        <v>80</v>
      </c>
      <c r="J18" s="381"/>
      <c r="K18" s="381"/>
      <c r="L18" s="381"/>
      <c r="M18" s="381"/>
      <c r="N18" s="381"/>
      <c r="O18" s="381"/>
      <c r="P18" s="381"/>
      <c r="Q18" s="381"/>
      <c r="R18" s="381"/>
      <c r="S18" s="381"/>
      <c r="T18" s="381"/>
      <c r="U18" s="381"/>
      <c r="V18" s="382"/>
      <c r="W18" s="201"/>
      <c r="X18" s="201"/>
      <c r="Y18" s="201"/>
      <c r="AE18" s="117"/>
      <c r="AF18" s="200"/>
      <c r="AG18" s="117"/>
      <c r="AH18" s="117"/>
      <c r="AI18" s="117"/>
      <c r="AJ18" s="117"/>
      <c r="AK18" s="117"/>
      <c r="AL18" s="200"/>
    </row>
    <row r="19" spans="1:38" s="118" customFormat="1" ht="28.95" customHeight="1">
      <c r="A19" s="131" t="s">
        <v>81</v>
      </c>
      <c r="B19" s="131" t="s">
        <v>82</v>
      </c>
      <c r="C19" s="131" t="s">
        <v>83</v>
      </c>
      <c r="D19" s="131" t="s">
        <v>84</v>
      </c>
      <c r="E19" s="131" t="s">
        <v>85</v>
      </c>
      <c r="F19" s="131" t="s">
        <v>19</v>
      </c>
      <c r="I19" s="131" t="s">
        <v>86</v>
      </c>
      <c r="J19" s="131" t="s">
        <v>87</v>
      </c>
      <c r="K19" s="131" t="s">
        <v>88</v>
      </c>
      <c r="L19" s="131" t="s">
        <v>89</v>
      </c>
      <c r="M19" s="131" t="s">
        <v>90</v>
      </c>
      <c r="N19" s="131" t="s">
        <v>91</v>
      </c>
      <c r="O19" s="131" t="s">
        <v>92</v>
      </c>
      <c r="P19" s="131" t="s">
        <v>93</v>
      </c>
      <c r="Q19" s="131" t="s">
        <v>94</v>
      </c>
      <c r="R19" s="131" t="s">
        <v>95</v>
      </c>
      <c r="S19" s="131" t="s">
        <v>96</v>
      </c>
      <c r="T19" s="131" t="s">
        <v>97</v>
      </c>
      <c r="U19" s="131" t="s">
        <v>98</v>
      </c>
      <c r="V19" s="131" t="s">
        <v>19</v>
      </c>
      <c r="W19" s="202"/>
      <c r="X19" s="203"/>
      <c r="Y19" s="203"/>
      <c r="Z19" s="218"/>
      <c r="AA19" s="219"/>
      <c r="AB19" s="182"/>
      <c r="AC19" s="182"/>
      <c r="AD19" s="182"/>
      <c r="AE19" s="181"/>
      <c r="AF19" s="182"/>
      <c r="AG19" s="182"/>
      <c r="AH19" s="182"/>
      <c r="AI19" s="182"/>
      <c r="AJ19" s="182"/>
      <c r="AK19" s="182"/>
    </row>
    <row r="20" spans="1:38" s="118" customFormat="1" ht="18" customHeight="1">
      <c r="A20" s="132" t="s">
        <v>19</v>
      </c>
      <c r="B20" s="133">
        <f>SUM(B21:B23)</f>
        <v>53520</v>
      </c>
      <c r="C20" s="141">
        <f>IF(ISERROR(B20/F20),0,B20/F20)</f>
        <v>0.81417813949950602</v>
      </c>
      <c r="D20" s="133">
        <f>SUM(D21:D23)</f>
        <v>12215</v>
      </c>
      <c r="E20" s="141">
        <f>IF(ISERROR(D20/F20),0,D20/F20)</f>
        <v>0.18582186050049401</v>
      </c>
      <c r="F20" s="133">
        <f>B20+D20</f>
        <v>65735</v>
      </c>
      <c r="I20" s="172" t="s">
        <v>19</v>
      </c>
      <c r="J20" s="173">
        <f t="shared" ref="J20:U20" si="0">SUM(J21:J22)</f>
        <v>41624</v>
      </c>
      <c r="K20" s="150">
        <f t="shared" si="0"/>
        <v>37732</v>
      </c>
      <c r="L20" s="173">
        <f t="shared" si="0"/>
        <v>0</v>
      </c>
      <c r="M20" s="173">
        <f t="shared" si="0"/>
        <v>0</v>
      </c>
      <c r="N20" s="173">
        <f t="shared" si="0"/>
        <v>0</v>
      </c>
      <c r="O20" s="173">
        <f t="shared" si="0"/>
        <v>0</v>
      </c>
      <c r="P20" s="173">
        <f t="shared" si="0"/>
        <v>0</v>
      </c>
      <c r="Q20" s="173">
        <f t="shared" si="0"/>
        <v>0</v>
      </c>
      <c r="R20" s="173">
        <f t="shared" si="0"/>
        <v>0</v>
      </c>
      <c r="S20" s="173">
        <f t="shared" si="0"/>
        <v>0</v>
      </c>
      <c r="T20" s="173">
        <f t="shared" si="0"/>
        <v>0</v>
      </c>
      <c r="U20" s="173">
        <f t="shared" si="0"/>
        <v>0</v>
      </c>
      <c r="V20" s="204">
        <f>SUM(J20:U20)</f>
        <v>79356</v>
      </c>
      <c r="W20" s="202"/>
      <c r="X20" s="202"/>
      <c r="Y20" s="203"/>
      <c r="Z20" s="203"/>
      <c r="AA20" s="182"/>
      <c r="AB20" s="182"/>
      <c r="AC20" s="182"/>
      <c r="AD20" s="182"/>
      <c r="AE20" s="181"/>
      <c r="AF20" s="182"/>
      <c r="AG20" s="182"/>
    </row>
    <row r="21" spans="1:38" s="118" customFormat="1" ht="15" customHeight="1">
      <c r="A21" s="134" t="s">
        <v>99</v>
      </c>
      <c r="B21" s="142">
        <v>16222</v>
      </c>
      <c r="C21" s="143">
        <f>IF(ISERROR(B21/F21),0,B21/F21)</f>
        <v>0.93455467219725796</v>
      </c>
      <c r="D21" s="142">
        <v>1136</v>
      </c>
      <c r="E21" s="143">
        <f>IF(ISERROR(D21/F21),0,D21/F21)</f>
        <v>6.5445327802742204E-2</v>
      </c>
      <c r="F21" s="144">
        <f>B21+D21</f>
        <v>17358</v>
      </c>
      <c r="I21" s="144" t="s">
        <v>84</v>
      </c>
      <c r="J21" s="174">
        <v>4989</v>
      </c>
      <c r="K21" s="174">
        <v>3856</v>
      </c>
      <c r="L21" s="174"/>
      <c r="M21" s="174"/>
      <c r="N21" s="174"/>
      <c r="O21" s="174"/>
      <c r="P21" s="174"/>
      <c r="Q21" s="174"/>
      <c r="R21" s="174"/>
      <c r="S21" s="174"/>
      <c r="T21" s="174"/>
      <c r="U21" s="174"/>
      <c r="V21" s="205">
        <f>SUM(J21:U21)</f>
        <v>8845</v>
      </c>
      <c r="W21" s="202"/>
      <c r="X21" s="206"/>
      <c r="Y21" s="206"/>
      <c r="Z21" s="203"/>
      <c r="AA21" s="182"/>
      <c r="AB21" s="181"/>
      <c r="AC21" s="181"/>
      <c r="AD21" s="181"/>
      <c r="AE21" s="181"/>
      <c r="AF21" s="181"/>
      <c r="AG21" s="181"/>
      <c r="AH21" s="181"/>
      <c r="AI21" s="181"/>
      <c r="AJ21" s="181"/>
      <c r="AK21" s="181"/>
      <c r="AL21" s="181"/>
    </row>
    <row r="22" spans="1:38" s="118" customFormat="1" ht="15" customHeight="1">
      <c r="A22" s="138" t="s">
        <v>100</v>
      </c>
      <c r="B22" s="145">
        <v>15406</v>
      </c>
      <c r="C22" s="146">
        <f>IF(ISERROR(B22/F22),0,B22/F22)</f>
        <v>0.89476129631780699</v>
      </c>
      <c r="D22" s="145">
        <v>1812</v>
      </c>
      <c r="E22" s="146">
        <f>IF(ISERROR(D22/F22),0,D22/F22)</f>
        <v>0.105238703682193</v>
      </c>
      <c r="F22" s="147">
        <f>B22+D22</f>
        <v>17218</v>
      </c>
      <c r="I22" s="147" t="s">
        <v>101</v>
      </c>
      <c r="J22" s="175">
        <v>36635</v>
      </c>
      <c r="K22" s="174">
        <v>33876</v>
      </c>
      <c r="L22" s="174"/>
      <c r="M22" s="174"/>
      <c r="N22" s="174"/>
      <c r="O22" s="174"/>
      <c r="P22" s="174"/>
      <c r="Q22" s="174"/>
      <c r="R22" s="174"/>
      <c r="S22" s="174"/>
      <c r="T22" s="174"/>
      <c r="U22" s="174"/>
      <c r="V22" s="207">
        <f>SUM(J22:U22)</f>
        <v>70511</v>
      </c>
      <c r="W22" s="202"/>
      <c r="X22" s="206"/>
      <c r="Y22" s="206"/>
      <c r="Z22" s="206"/>
      <c r="AA22" s="181"/>
      <c r="AB22" s="181"/>
      <c r="AC22" s="181"/>
      <c r="AD22" s="181"/>
      <c r="AE22" s="181"/>
      <c r="AF22" s="181"/>
      <c r="AG22" s="181"/>
      <c r="AH22" s="181"/>
      <c r="AI22" s="181"/>
      <c r="AJ22" s="181"/>
      <c r="AK22" s="181"/>
      <c r="AL22" s="181"/>
    </row>
    <row r="23" spans="1:38" s="118" customFormat="1" ht="15" customHeight="1">
      <c r="A23" s="138" t="s">
        <v>102</v>
      </c>
      <c r="B23" s="145">
        <v>21892</v>
      </c>
      <c r="C23" s="146">
        <f>IF(ISERROR(B23/F23),0,B23/F23)</f>
        <v>0.70258994191084401</v>
      </c>
      <c r="D23" s="145">
        <v>9267</v>
      </c>
      <c r="E23" s="146">
        <f>IF(ISERROR(D23/F23),0,D23/F23)</f>
        <v>0.29741005808915599</v>
      </c>
      <c r="F23" s="147">
        <f>B23+D23</f>
        <v>31159</v>
      </c>
      <c r="T23" s="176"/>
      <c r="U23" s="176"/>
      <c r="V23" s="208"/>
      <c r="W23" s="202"/>
      <c r="X23" s="206"/>
      <c r="Y23" s="206"/>
      <c r="Z23" s="206"/>
      <c r="AA23" s="181"/>
      <c r="AB23" s="181"/>
      <c r="AC23" s="181"/>
      <c r="AD23" s="181"/>
      <c r="AE23" s="181"/>
      <c r="AF23" s="181"/>
      <c r="AG23" s="181"/>
      <c r="AH23" s="181"/>
      <c r="AI23" s="181"/>
      <c r="AJ23" s="181"/>
      <c r="AK23" s="181"/>
      <c r="AL23" s="181"/>
    </row>
    <row r="24" spans="1:38" s="118" customFormat="1" ht="12">
      <c r="A24" s="148"/>
      <c r="T24" s="176"/>
      <c r="U24" s="176"/>
      <c r="V24" s="208"/>
      <c r="W24" s="202"/>
      <c r="X24" s="202"/>
      <c r="Y24" s="206"/>
      <c r="Z24" s="206"/>
      <c r="AA24" s="181"/>
      <c r="AB24" s="181"/>
      <c r="AC24" s="181"/>
      <c r="AD24" s="181"/>
      <c r="AE24" s="181"/>
      <c r="AF24" s="181"/>
      <c r="AG24" s="181"/>
      <c r="AH24" s="181"/>
      <c r="AK24" s="181"/>
      <c r="AL24" s="181"/>
    </row>
    <row r="25" spans="1:38" s="117" customFormat="1" ht="16.5" customHeight="1">
      <c r="A25" s="378"/>
      <c r="B25" s="379"/>
      <c r="C25" s="379"/>
      <c r="D25" s="379"/>
      <c r="E25" s="379"/>
      <c r="F25" s="379"/>
      <c r="G25" s="379"/>
      <c r="H25" s="379"/>
      <c r="I25" s="379"/>
      <c r="J25" s="379"/>
      <c r="K25" s="379"/>
      <c r="L25" s="379"/>
      <c r="M25" s="379"/>
      <c r="N25" s="379"/>
      <c r="O25" s="379"/>
      <c r="P25" s="379"/>
      <c r="Q25" s="379"/>
      <c r="R25" s="379"/>
      <c r="S25" s="379"/>
      <c r="T25" s="379"/>
      <c r="U25" s="379"/>
      <c r="V25" s="383"/>
      <c r="W25" s="176"/>
      <c r="X25" s="176"/>
      <c r="Y25" s="176"/>
      <c r="Z25" s="197"/>
      <c r="AA25" s="200"/>
      <c r="AB25" s="200"/>
      <c r="AC25" s="200"/>
      <c r="AD25" s="200"/>
      <c r="AE25" s="200"/>
      <c r="AF25" s="200"/>
      <c r="AG25" s="200"/>
    </row>
    <row r="26" spans="1:38" s="118" customFormat="1" ht="12">
      <c r="A26" s="148"/>
      <c r="T26" s="176"/>
      <c r="U26" s="176"/>
      <c r="V26" s="208"/>
      <c r="W26" s="202"/>
      <c r="X26" s="202"/>
      <c r="Y26" s="202"/>
      <c r="Z26" s="206"/>
      <c r="AA26" s="181"/>
      <c r="AB26" s="181"/>
      <c r="AC26" s="181"/>
      <c r="AG26" s="181"/>
    </row>
    <row r="27" spans="1:38" s="117" customFormat="1" ht="21.6" customHeight="1">
      <c r="A27" s="384" t="s">
        <v>103</v>
      </c>
      <c r="B27" s="385"/>
      <c r="C27" s="385"/>
      <c r="D27" s="385"/>
      <c r="E27" s="385"/>
      <c r="F27" s="149"/>
      <c r="H27" s="385" t="s">
        <v>104</v>
      </c>
      <c r="I27" s="385"/>
      <c r="J27" s="385"/>
      <c r="K27" s="385"/>
      <c r="L27" s="385"/>
      <c r="M27" s="149"/>
      <c r="N27" s="385" t="s">
        <v>105</v>
      </c>
      <c r="O27" s="385"/>
      <c r="P27" s="385"/>
      <c r="Q27" s="385"/>
      <c r="R27" s="385"/>
      <c r="S27" s="149"/>
      <c r="V27" s="209"/>
      <c r="W27" s="210"/>
      <c r="X27" s="211"/>
      <c r="Y27" s="211"/>
      <c r="Z27" s="211"/>
      <c r="AA27" s="183"/>
      <c r="AB27" s="183"/>
      <c r="AC27" s="183"/>
      <c r="AD27" s="183"/>
      <c r="AE27" s="200"/>
      <c r="AF27" s="200"/>
      <c r="AG27" s="200"/>
      <c r="AH27" s="183"/>
      <c r="AI27" s="183"/>
    </row>
    <row r="28" spans="1:38" s="118" customFormat="1" ht="37.5" customHeight="1">
      <c r="A28" s="131" t="s">
        <v>106</v>
      </c>
      <c r="B28" s="131" t="s">
        <v>99</v>
      </c>
      <c r="C28" s="131" t="s">
        <v>100</v>
      </c>
      <c r="D28" s="131" t="s">
        <v>102</v>
      </c>
      <c r="E28" s="131" t="s">
        <v>19</v>
      </c>
      <c r="H28" s="369" t="s">
        <v>106</v>
      </c>
      <c r="I28" s="370"/>
      <c r="J28" s="164" t="s">
        <v>19</v>
      </c>
      <c r="K28" s="176"/>
      <c r="L28" s="176"/>
      <c r="M28" s="176"/>
      <c r="N28" s="386" t="s">
        <v>107</v>
      </c>
      <c r="O28" s="387"/>
      <c r="P28" s="177" t="s">
        <v>19</v>
      </c>
      <c r="U28" s="176"/>
      <c r="V28" s="212"/>
      <c r="W28" s="202"/>
      <c r="X28" s="202"/>
      <c r="Y28" s="202"/>
      <c r="Z28" s="181"/>
      <c r="AD28" s="181"/>
      <c r="AE28" s="181"/>
      <c r="AF28" s="181"/>
      <c r="AG28" s="181"/>
    </row>
    <row r="29" spans="1:38" s="118" customFormat="1" ht="15" customHeight="1">
      <c r="A29" s="132" t="s">
        <v>19</v>
      </c>
      <c r="B29" s="133">
        <f>SUM(B30:B31)</f>
        <v>22274</v>
      </c>
      <c r="C29" s="133">
        <f>SUM(C30:C31)</f>
        <v>20504</v>
      </c>
      <c r="D29" s="133">
        <f>SUM(D30:D31)</f>
        <v>36578</v>
      </c>
      <c r="E29" s="150">
        <f>SUM(B29:D29)</f>
        <v>79356</v>
      </c>
      <c r="H29" s="388" t="s">
        <v>19</v>
      </c>
      <c r="I29" s="389"/>
      <c r="J29" s="178">
        <f>SUM(J30:J31)</f>
        <v>73854</v>
      </c>
      <c r="K29" s="176"/>
      <c r="L29" s="176"/>
      <c r="M29" s="176"/>
      <c r="N29" s="390" t="s">
        <v>19</v>
      </c>
      <c r="O29" s="391"/>
      <c r="P29" s="179">
        <v>72958</v>
      </c>
      <c r="U29" s="197"/>
      <c r="V29" s="213"/>
      <c r="W29" s="202"/>
      <c r="X29" s="206"/>
      <c r="Y29" s="206"/>
      <c r="Z29" s="181"/>
      <c r="AA29" s="181"/>
      <c r="AB29" s="181"/>
      <c r="AC29" s="181"/>
      <c r="AD29" s="181"/>
      <c r="AE29" s="181"/>
      <c r="AF29" s="181"/>
      <c r="AG29" s="181"/>
      <c r="AH29" s="181"/>
      <c r="AI29" s="181"/>
      <c r="AJ29" s="181"/>
    </row>
    <row r="30" spans="1:38" s="118" customFormat="1" ht="14.7" customHeight="1">
      <c r="A30" s="134" t="s">
        <v>69</v>
      </c>
      <c r="B30" s="142">
        <v>1</v>
      </c>
      <c r="C30" s="142">
        <v>6</v>
      </c>
      <c r="D30" s="142">
        <v>25</v>
      </c>
      <c r="E30" s="144">
        <f>SUM(B30:D30)</f>
        <v>32</v>
      </c>
      <c r="F30" s="117"/>
      <c r="G30" s="117"/>
      <c r="H30" s="392" t="s">
        <v>69</v>
      </c>
      <c r="I30" s="393"/>
      <c r="J30" s="169">
        <v>296</v>
      </c>
      <c r="K30" s="176"/>
      <c r="L30" s="176"/>
      <c r="M30" s="176"/>
      <c r="N30" s="377" t="s">
        <v>108</v>
      </c>
      <c r="O30" s="377"/>
      <c r="P30" s="171">
        <v>6672</v>
      </c>
      <c r="R30" s="176"/>
      <c r="U30" s="197"/>
      <c r="V30" s="213"/>
      <c r="W30" s="202"/>
      <c r="X30" s="206"/>
      <c r="Y30" s="206"/>
      <c r="Z30" s="181"/>
      <c r="AA30" s="181"/>
      <c r="AB30" s="181"/>
      <c r="AC30" s="181"/>
      <c r="AD30" s="181"/>
      <c r="AE30" s="181"/>
      <c r="AF30" s="181"/>
      <c r="AG30" s="181"/>
      <c r="AH30" s="181"/>
      <c r="AI30" s="181"/>
      <c r="AJ30" s="181"/>
    </row>
    <row r="31" spans="1:38" s="118" customFormat="1" ht="14.7" customHeight="1">
      <c r="A31" s="138" t="s">
        <v>70</v>
      </c>
      <c r="B31" s="145">
        <v>22273</v>
      </c>
      <c r="C31" s="145">
        <v>20498</v>
      </c>
      <c r="D31" s="145">
        <v>36553</v>
      </c>
      <c r="E31" s="144">
        <f>SUM(B31:D31)</f>
        <v>79324</v>
      </c>
      <c r="F31" s="117"/>
      <c r="G31" s="117"/>
      <c r="H31" s="394" t="s">
        <v>70</v>
      </c>
      <c r="I31" s="395"/>
      <c r="J31" s="171">
        <v>73558</v>
      </c>
      <c r="K31" s="176"/>
      <c r="L31" s="176"/>
      <c r="M31" s="176"/>
      <c r="N31" s="140"/>
      <c r="O31" s="140"/>
      <c r="P31" s="180"/>
      <c r="R31" s="176"/>
      <c r="U31" s="197"/>
      <c r="V31" s="213"/>
      <c r="W31" s="202"/>
      <c r="X31" s="206"/>
      <c r="Y31" s="206"/>
      <c r="Z31" s="181"/>
      <c r="AA31" s="181"/>
      <c r="AB31" s="181"/>
      <c r="AC31" s="181"/>
      <c r="AD31" s="181"/>
      <c r="AE31" s="181"/>
      <c r="AF31" s="181"/>
      <c r="AG31" s="181"/>
      <c r="AH31" s="181"/>
      <c r="AI31" s="181"/>
      <c r="AJ31" s="181"/>
    </row>
    <row r="32" spans="1:38" s="118" customFormat="1" ht="12">
      <c r="A32" s="148"/>
      <c r="F32" s="117"/>
      <c r="G32" s="117"/>
      <c r="H32" s="117"/>
      <c r="K32" s="117"/>
      <c r="L32" s="176"/>
      <c r="M32" s="176"/>
      <c r="N32" s="176"/>
      <c r="O32" s="176"/>
      <c r="P32" s="176"/>
      <c r="Q32" s="176"/>
      <c r="R32" s="176"/>
      <c r="S32" s="176"/>
      <c r="T32" s="176"/>
      <c r="U32" s="197"/>
      <c r="V32" s="208"/>
      <c r="W32" s="202"/>
      <c r="X32" s="206"/>
      <c r="Y32" s="206"/>
      <c r="Z32" s="206"/>
      <c r="AA32" s="181"/>
      <c r="AB32" s="181"/>
      <c r="AC32" s="181"/>
      <c r="AD32" s="181"/>
      <c r="AE32" s="181"/>
      <c r="AF32" s="181"/>
      <c r="AG32" s="181"/>
    </row>
    <row r="33" spans="1:45" s="117" customFormat="1" ht="16.5" customHeight="1">
      <c r="A33" s="378"/>
      <c r="B33" s="379"/>
      <c r="C33" s="379"/>
      <c r="D33" s="379"/>
      <c r="E33" s="379"/>
      <c r="F33" s="379"/>
      <c r="G33" s="379"/>
      <c r="H33" s="379"/>
      <c r="I33" s="379"/>
      <c r="J33" s="379"/>
      <c r="K33" s="379"/>
      <c r="L33" s="379"/>
      <c r="M33" s="379"/>
      <c r="N33" s="379"/>
      <c r="O33" s="379"/>
      <c r="P33" s="379"/>
      <c r="Q33" s="379"/>
      <c r="R33" s="379"/>
      <c r="S33" s="379"/>
      <c r="T33" s="379"/>
      <c r="U33" s="379"/>
      <c r="V33" s="383"/>
      <c r="W33" s="176"/>
      <c r="X33" s="176"/>
      <c r="Y33" s="176"/>
      <c r="Z33" s="197"/>
      <c r="AA33" s="200"/>
      <c r="AB33" s="200"/>
      <c r="AC33" s="200"/>
      <c r="AD33" s="200"/>
      <c r="AE33" s="200"/>
      <c r="AF33" s="200"/>
      <c r="AG33" s="200"/>
    </row>
    <row r="34" spans="1:45" s="118" customFormat="1" ht="12">
      <c r="A34" s="148"/>
      <c r="F34" s="117"/>
      <c r="G34" s="117"/>
      <c r="H34" s="117"/>
      <c r="I34" s="181"/>
      <c r="K34" s="117"/>
      <c r="L34" s="176"/>
      <c r="M34" s="176"/>
      <c r="N34" s="176"/>
      <c r="O34" s="176"/>
      <c r="P34" s="176"/>
      <c r="Q34" s="176"/>
      <c r="R34" s="176"/>
      <c r="S34" s="176"/>
      <c r="T34" s="176"/>
      <c r="U34" s="176"/>
      <c r="V34" s="214"/>
      <c r="W34" s="202"/>
      <c r="X34" s="202"/>
      <c r="Y34" s="202"/>
      <c r="Z34" s="206"/>
      <c r="AA34" s="181"/>
      <c r="AB34" s="181"/>
      <c r="AC34" s="181"/>
      <c r="AD34" s="181"/>
      <c r="AE34" s="181"/>
    </row>
    <row r="35" spans="1:45" s="118" customFormat="1" ht="12">
      <c r="A35" s="148"/>
      <c r="F35" s="117"/>
      <c r="G35" s="117"/>
      <c r="H35" s="117"/>
      <c r="I35" s="182"/>
      <c r="J35" s="182"/>
      <c r="K35" s="183"/>
      <c r="L35" s="184"/>
      <c r="M35" s="184"/>
      <c r="N35" s="184"/>
      <c r="O35" s="184"/>
      <c r="P35" s="184"/>
      <c r="Q35" s="184"/>
      <c r="R35" s="184"/>
      <c r="S35" s="184"/>
      <c r="T35" s="176"/>
      <c r="U35" s="176"/>
      <c r="V35" s="208"/>
      <c r="W35" s="202"/>
      <c r="X35" s="202"/>
      <c r="Y35" s="202"/>
      <c r="Z35" s="206"/>
      <c r="AB35" s="181"/>
      <c r="AC35" s="181"/>
      <c r="AE35" s="181"/>
    </row>
    <row r="36" spans="1:45" s="118" customFormat="1" ht="22.5" customHeight="1">
      <c r="A36" s="396" t="s">
        <v>109</v>
      </c>
      <c r="B36" s="397"/>
      <c r="C36" s="397"/>
      <c r="D36" s="397"/>
      <c r="E36" s="397"/>
      <c r="F36" s="149"/>
      <c r="G36" s="117"/>
      <c r="H36" s="117"/>
      <c r="I36" s="117"/>
      <c r="J36" s="117"/>
      <c r="K36" s="117"/>
      <c r="L36" s="117"/>
      <c r="M36" s="117"/>
      <c r="N36" s="117"/>
      <c r="O36" s="117"/>
      <c r="P36" s="117"/>
      <c r="Q36" s="117"/>
      <c r="R36" s="200"/>
      <c r="S36" s="117"/>
      <c r="T36" s="117"/>
      <c r="U36" s="117"/>
      <c r="V36" s="215"/>
      <c r="W36" s="202"/>
      <c r="X36" s="202"/>
      <c r="Y36" s="202"/>
      <c r="Z36" s="206"/>
      <c r="AB36" s="181"/>
      <c r="AC36" s="181"/>
      <c r="AE36" s="181"/>
    </row>
    <row r="37" spans="1:45" s="118" customFormat="1" ht="38.700000000000003" customHeight="1">
      <c r="A37" s="151" t="s">
        <v>110</v>
      </c>
      <c r="B37" s="131" t="s">
        <v>81</v>
      </c>
      <c r="C37" s="131" t="s">
        <v>87</v>
      </c>
      <c r="D37" s="131" t="s">
        <v>88</v>
      </c>
      <c r="E37" s="131" t="s">
        <v>89</v>
      </c>
      <c r="F37" s="131" t="s">
        <v>90</v>
      </c>
      <c r="G37" s="131" t="s">
        <v>91</v>
      </c>
      <c r="H37" s="131" t="s">
        <v>92</v>
      </c>
      <c r="I37" s="131" t="s">
        <v>93</v>
      </c>
      <c r="J37" s="131" t="s">
        <v>94</v>
      </c>
      <c r="K37" s="131" t="s">
        <v>95</v>
      </c>
      <c r="L37" s="131" t="s">
        <v>96</v>
      </c>
      <c r="M37" s="131" t="s">
        <v>97</v>
      </c>
      <c r="N37" s="131" t="s">
        <v>98</v>
      </c>
      <c r="O37" s="131" t="s">
        <v>19</v>
      </c>
      <c r="P37" s="117"/>
      <c r="Q37" s="117"/>
      <c r="R37" s="200"/>
      <c r="S37" s="117"/>
      <c r="T37" s="117"/>
      <c r="U37" s="117"/>
      <c r="V37" s="215"/>
      <c r="W37" s="117"/>
      <c r="X37" s="117"/>
      <c r="Y37" s="117"/>
      <c r="Z37" s="117"/>
      <c r="AA37" s="117"/>
      <c r="AB37" s="117"/>
      <c r="AC37" s="117"/>
      <c r="AD37" s="202"/>
      <c r="AE37" s="202"/>
      <c r="AI37" s="181"/>
      <c r="AJ37" s="181"/>
      <c r="AL37" s="181"/>
    </row>
    <row r="38" spans="1:45" s="118" customFormat="1" ht="15.75" customHeight="1">
      <c r="A38" s="152" t="s">
        <v>19</v>
      </c>
      <c r="B38" s="133"/>
      <c r="C38" s="153">
        <f t="shared" ref="C38:F38" si="1">SUM(C39,C51,C55,C59,C63,C67,C71,C75,C79,C83)</f>
        <v>37530</v>
      </c>
      <c r="D38" s="153">
        <f t="shared" si="1"/>
        <v>36324</v>
      </c>
      <c r="E38" s="153">
        <f t="shared" si="1"/>
        <v>0</v>
      </c>
      <c r="F38" s="153">
        <f t="shared" si="1"/>
        <v>0</v>
      </c>
      <c r="G38" s="153">
        <f t="shared" ref="G38:N38" si="2">SUM(G39,G51,G55,G59,G63,G67,G71,G75,G79,G83)</f>
        <v>0</v>
      </c>
      <c r="H38" s="153">
        <f t="shared" si="2"/>
        <v>0</v>
      </c>
      <c r="I38" s="153">
        <f t="shared" si="2"/>
        <v>0</v>
      </c>
      <c r="J38" s="153">
        <f t="shared" si="2"/>
        <v>0</v>
      </c>
      <c r="K38" s="153">
        <f t="shared" si="2"/>
        <v>0</v>
      </c>
      <c r="L38" s="153">
        <f t="shared" si="2"/>
        <v>0</v>
      </c>
      <c r="M38" s="153">
        <f t="shared" si="2"/>
        <v>0</v>
      </c>
      <c r="N38" s="153">
        <f t="shared" si="2"/>
        <v>0</v>
      </c>
      <c r="O38" s="185">
        <f>SUM(C38:N38)</f>
        <v>73854</v>
      </c>
      <c r="P38" s="117"/>
      <c r="Q38" s="117"/>
      <c r="R38" s="200"/>
      <c r="S38" s="117"/>
      <c r="T38" s="117"/>
      <c r="U38" s="200"/>
      <c r="V38" s="216"/>
      <c r="W38" s="200"/>
      <c r="X38" s="200"/>
      <c r="Y38" s="200"/>
      <c r="Z38" s="200"/>
      <c r="AA38" s="200"/>
      <c r="AB38" s="200"/>
      <c r="AC38" s="200"/>
      <c r="AD38" s="206"/>
      <c r="AE38" s="206"/>
      <c r="AF38" s="181"/>
      <c r="AG38" s="181"/>
      <c r="AH38" s="181"/>
      <c r="AI38" s="181"/>
      <c r="AJ38" s="181"/>
      <c r="AL38" s="181"/>
      <c r="AP38" s="181"/>
      <c r="AQ38" s="181"/>
      <c r="AR38" s="181"/>
      <c r="AS38" s="181"/>
    </row>
    <row r="39" spans="1:45" s="118" customFormat="1" ht="15" customHeight="1">
      <c r="A39" s="154" t="s">
        <v>111</v>
      </c>
      <c r="B39" s="154" t="s">
        <v>19</v>
      </c>
      <c r="C39" s="155">
        <f t="shared" ref="C39:N39" si="3">SUM(C40:C42)</f>
        <v>1082</v>
      </c>
      <c r="D39" s="155">
        <f t="shared" si="3"/>
        <v>1249</v>
      </c>
      <c r="E39" s="155">
        <f t="shared" si="3"/>
        <v>0</v>
      </c>
      <c r="F39" s="155">
        <f t="shared" si="3"/>
        <v>0</v>
      </c>
      <c r="G39" s="155">
        <f t="shared" si="3"/>
        <v>0</v>
      </c>
      <c r="H39" s="155">
        <f t="shared" si="3"/>
        <v>0</v>
      </c>
      <c r="I39" s="155">
        <f t="shared" si="3"/>
        <v>0</v>
      </c>
      <c r="J39" s="155">
        <f t="shared" si="3"/>
        <v>0</v>
      </c>
      <c r="K39" s="155">
        <f t="shared" si="3"/>
        <v>0</v>
      </c>
      <c r="L39" s="155">
        <f t="shared" si="3"/>
        <v>0</v>
      </c>
      <c r="M39" s="155">
        <f t="shared" si="3"/>
        <v>0</v>
      </c>
      <c r="N39" s="155">
        <f t="shared" si="3"/>
        <v>0</v>
      </c>
      <c r="O39" s="155">
        <f>SUM(C39:N39)</f>
        <v>2331</v>
      </c>
      <c r="P39" s="186"/>
      <c r="Q39" s="186"/>
      <c r="R39" s="200"/>
      <c r="S39" s="200"/>
      <c r="T39" s="200"/>
      <c r="U39" s="200"/>
      <c r="V39" s="216"/>
      <c r="W39" s="200"/>
      <c r="X39" s="200"/>
      <c r="Y39" s="200"/>
      <c r="Z39" s="200"/>
      <c r="AA39" s="200"/>
      <c r="AB39" s="200"/>
      <c r="AC39" s="200"/>
      <c r="AD39" s="206"/>
      <c r="AE39" s="206"/>
      <c r="AF39" s="181"/>
      <c r="AG39" s="181"/>
      <c r="AH39" s="181"/>
      <c r="AI39" s="181"/>
      <c r="AS39" s="181"/>
    </row>
    <row r="40" spans="1:45" s="118" customFormat="1" ht="15" customHeight="1">
      <c r="A40" s="147"/>
      <c r="B40" s="147" t="s">
        <v>99</v>
      </c>
      <c r="C40" s="156">
        <v>113</v>
      </c>
      <c r="D40" s="156">
        <v>144</v>
      </c>
      <c r="E40" s="156"/>
      <c r="F40" s="156"/>
      <c r="G40" s="156"/>
      <c r="H40" s="156"/>
      <c r="I40" s="156"/>
      <c r="J40" s="156"/>
      <c r="K40" s="156"/>
      <c r="L40" s="187"/>
      <c r="M40" s="187"/>
      <c r="N40" s="187"/>
      <c r="O40" s="188">
        <f>O44+O48</f>
        <v>257</v>
      </c>
      <c r="P40" s="117"/>
      <c r="Q40" s="117"/>
      <c r="R40" s="200"/>
      <c r="S40" s="117"/>
      <c r="T40" s="117"/>
      <c r="U40" s="200"/>
      <c r="V40" s="216"/>
      <c r="W40" s="117"/>
      <c r="X40" s="117"/>
      <c r="Y40" s="117"/>
      <c r="Z40" s="117"/>
      <c r="AA40" s="200"/>
      <c r="AB40" s="200"/>
      <c r="AC40" s="200"/>
      <c r="AD40" s="206"/>
      <c r="AE40" s="206"/>
      <c r="AF40" s="181"/>
      <c r="AG40" s="181"/>
      <c r="AH40" s="181"/>
      <c r="AI40" s="181"/>
      <c r="AS40" s="181"/>
    </row>
    <row r="41" spans="1:45" s="118" customFormat="1" ht="15" customHeight="1">
      <c r="A41" s="147"/>
      <c r="B41" s="147" t="s">
        <v>100</v>
      </c>
      <c r="C41" s="156">
        <v>284</v>
      </c>
      <c r="D41" s="156">
        <v>330</v>
      </c>
      <c r="E41" s="156"/>
      <c r="F41" s="156"/>
      <c r="G41" s="156"/>
      <c r="H41" s="156"/>
      <c r="I41" s="156"/>
      <c r="J41" s="156"/>
      <c r="K41" s="156"/>
      <c r="L41" s="187"/>
      <c r="M41" s="187"/>
      <c r="N41" s="187"/>
      <c r="O41" s="188">
        <f>O45+O49</f>
        <v>614</v>
      </c>
      <c r="P41" s="117"/>
      <c r="Q41" s="117"/>
      <c r="R41" s="117"/>
      <c r="S41" s="200"/>
      <c r="T41" s="200"/>
      <c r="U41" s="200"/>
      <c r="V41" s="216"/>
      <c r="W41" s="117"/>
      <c r="X41" s="117"/>
      <c r="Y41" s="117"/>
      <c r="Z41" s="117"/>
      <c r="AA41" s="117"/>
      <c r="AB41" s="200"/>
      <c r="AC41" s="117"/>
      <c r="AD41" s="206"/>
      <c r="AE41" s="202"/>
      <c r="AF41" s="181"/>
      <c r="AH41" s="181"/>
      <c r="AS41" s="181"/>
    </row>
    <row r="42" spans="1:45" s="118" customFormat="1" ht="15" customHeight="1">
      <c r="A42" s="147"/>
      <c r="B42" s="147" t="s">
        <v>102</v>
      </c>
      <c r="C42" s="156">
        <v>685</v>
      </c>
      <c r="D42" s="156">
        <v>775</v>
      </c>
      <c r="E42" s="156"/>
      <c r="F42" s="156"/>
      <c r="G42" s="156"/>
      <c r="H42" s="156"/>
      <c r="I42" s="156"/>
      <c r="J42" s="156"/>
      <c r="K42" s="156"/>
      <c r="L42" s="187"/>
      <c r="M42" s="187"/>
      <c r="N42" s="187"/>
      <c r="O42" s="188">
        <f>O46+O50</f>
        <v>1460</v>
      </c>
      <c r="P42" s="117"/>
      <c r="Q42" s="117"/>
      <c r="R42" s="117"/>
      <c r="S42" s="117"/>
      <c r="T42" s="117"/>
      <c r="U42" s="200"/>
      <c r="V42" s="215"/>
      <c r="W42" s="117"/>
      <c r="X42" s="117"/>
      <c r="Y42" s="117"/>
      <c r="Z42" s="117"/>
      <c r="AA42" s="117"/>
      <c r="AB42" s="200"/>
      <c r="AC42" s="117"/>
      <c r="AD42" s="202"/>
      <c r="AE42" s="202"/>
      <c r="AS42" s="181"/>
    </row>
    <row r="43" spans="1:45" s="118" customFormat="1" ht="14.7" customHeight="1">
      <c r="A43" s="157" t="s">
        <v>112</v>
      </c>
      <c r="B43" s="158" t="s">
        <v>19</v>
      </c>
      <c r="C43" s="159">
        <f t="shared" ref="C43:N43" si="4">SUM(C44:C46)</f>
        <v>91</v>
      </c>
      <c r="D43" s="159">
        <f t="shared" si="4"/>
        <v>114</v>
      </c>
      <c r="E43" s="159">
        <f t="shared" si="4"/>
        <v>0</v>
      </c>
      <c r="F43" s="159">
        <f t="shared" si="4"/>
        <v>0</v>
      </c>
      <c r="G43" s="159">
        <f t="shared" si="4"/>
        <v>0</v>
      </c>
      <c r="H43" s="159">
        <f t="shared" si="4"/>
        <v>0</v>
      </c>
      <c r="I43" s="159">
        <f t="shared" si="4"/>
        <v>0</v>
      </c>
      <c r="J43" s="159">
        <f t="shared" si="4"/>
        <v>0</v>
      </c>
      <c r="K43" s="159">
        <f t="shared" si="4"/>
        <v>0</v>
      </c>
      <c r="L43" s="159">
        <f t="shared" si="4"/>
        <v>0</v>
      </c>
      <c r="M43" s="159">
        <f t="shared" si="4"/>
        <v>0</v>
      </c>
      <c r="N43" s="159">
        <f t="shared" si="4"/>
        <v>0</v>
      </c>
      <c r="O43" s="159">
        <f t="shared" ref="O43:O86" si="5">SUM(C43:N43)</f>
        <v>205</v>
      </c>
      <c r="P43" s="186"/>
      <c r="Q43" s="117"/>
      <c r="R43" s="117"/>
      <c r="S43" s="117"/>
      <c r="T43" s="117"/>
      <c r="U43" s="117"/>
      <c r="V43" s="215"/>
      <c r="W43" s="117"/>
      <c r="X43" s="117"/>
      <c r="Y43" s="117"/>
      <c r="Z43" s="117"/>
      <c r="AA43" s="117"/>
      <c r="AB43" s="200"/>
      <c r="AC43" s="117"/>
      <c r="AD43" s="202"/>
      <c r="AE43" s="202"/>
      <c r="AF43" s="181"/>
      <c r="AG43" s="181"/>
      <c r="AH43" s="181"/>
      <c r="AQ43" s="181"/>
      <c r="AR43" s="181"/>
      <c r="AS43" s="181"/>
    </row>
    <row r="44" spans="1:45" s="118" customFormat="1" ht="14.7" customHeight="1">
      <c r="A44" s="160"/>
      <c r="B44" s="147" t="s">
        <v>99</v>
      </c>
      <c r="C44" s="156">
        <v>18</v>
      </c>
      <c r="D44" s="156">
        <v>18</v>
      </c>
      <c r="E44" s="156"/>
      <c r="F44" s="156"/>
      <c r="G44" s="156"/>
      <c r="H44" s="156"/>
      <c r="I44" s="156"/>
      <c r="J44" s="156"/>
      <c r="K44" s="156"/>
      <c r="L44" s="187"/>
      <c r="M44" s="187"/>
      <c r="N44" s="187"/>
      <c r="O44" s="189">
        <f t="shared" si="5"/>
        <v>36</v>
      </c>
      <c r="P44" s="186"/>
      <c r="Q44" s="117"/>
      <c r="R44" s="117"/>
      <c r="S44" s="117"/>
      <c r="T44" s="117"/>
      <c r="U44" s="117"/>
      <c r="V44" s="215"/>
      <c r="W44" s="117"/>
      <c r="X44" s="117"/>
      <c r="Y44" s="117"/>
      <c r="Z44" s="117"/>
      <c r="AA44" s="117"/>
      <c r="AB44" s="200"/>
      <c r="AC44" s="200"/>
      <c r="AD44" s="202"/>
      <c r="AE44" s="206"/>
      <c r="AF44" s="181"/>
      <c r="AG44" s="181"/>
      <c r="AH44" s="181"/>
      <c r="AI44" s="181"/>
      <c r="AQ44" s="181"/>
      <c r="AR44" s="181"/>
      <c r="AS44" s="181"/>
    </row>
    <row r="45" spans="1:45" s="118" customFormat="1" ht="14.7" customHeight="1">
      <c r="A45" s="160"/>
      <c r="B45" s="147" t="s">
        <v>100</v>
      </c>
      <c r="C45" s="156">
        <v>23</v>
      </c>
      <c r="D45" s="156">
        <v>27</v>
      </c>
      <c r="E45" s="156"/>
      <c r="F45" s="156"/>
      <c r="G45" s="156"/>
      <c r="H45" s="156"/>
      <c r="I45" s="156"/>
      <c r="J45" s="156"/>
      <c r="K45" s="156"/>
      <c r="L45" s="187"/>
      <c r="M45" s="187"/>
      <c r="N45" s="187"/>
      <c r="O45" s="189">
        <f t="shared" si="5"/>
        <v>50</v>
      </c>
      <c r="P45" s="117"/>
      <c r="Q45" s="117"/>
      <c r="R45" s="117"/>
      <c r="S45" s="117"/>
      <c r="T45" s="117"/>
      <c r="U45" s="117"/>
      <c r="V45" s="215"/>
      <c r="W45" s="117"/>
      <c r="X45" s="117"/>
      <c r="Y45" s="117"/>
      <c r="Z45" s="117"/>
      <c r="AA45" s="117"/>
      <c r="AB45" s="200"/>
      <c r="AC45" s="117"/>
      <c r="AD45" s="206"/>
      <c r="AE45" s="202"/>
      <c r="AF45" s="181"/>
      <c r="AG45" s="181"/>
      <c r="AH45" s="181"/>
      <c r="AI45" s="181"/>
      <c r="AQ45" s="181"/>
      <c r="AR45" s="181"/>
      <c r="AS45" s="181"/>
    </row>
    <row r="46" spans="1:45" s="118" customFormat="1" ht="14.7" customHeight="1">
      <c r="A46" s="160"/>
      <c r="B46" s="147" t="s">
        <v>102</v>
      </c>
      <c r="C46" s="156">
        <v>50</v>
      </c>
      <c r="D46" s="156">
        <v>69</v>
      </c>
      <c r="E46" s="156"/>
      <c r="F46" s="156"/>
      <c r="G46" s="156"/>
      <c r="H46" s="156"/>
      <c r="I46" s="156"/>
      <c r="J46" s="156"/>
      <c r="K46" s="156"/>
      <c r="L46" s="187"/>
      <c r="M46" s="187"/>
      <c r="N46" s="187"/>
      <c r="O46" s="189">
        <f t="shared" si="5"/>
        <v>119</v>
      </c>
      <c r="P46" s="117"/>
      <c r="Q46" s="117"/>
      <c r="R46" s="117"/>
      <c r="S46" s="117"/>
      <c r="T46" s="117"/>
      <c r="U46" s="117"/>
      <c r="V46" s="215"/>
      <c r="W46" s="117"/>
      <c r="X46" s="117"/>
      <c r="Y46" s="117"/>
      <c r="Z46" s="117"/>
      <c r="AA46" s="117"/>
      <c r="AB46" s="200"/>
      <c r="AC46" s="117"/>
      <c r="AD46" s="206"/>
      <c r="AE46" s="202"/>
      <c r="AF46" s="181"/>
      <c r="AG46" s="181"/>
      <c r="AH46" s="181"/>
      <c r="AI46" s="181"/>
      <c r="AQ46" s="181"/>
      <c r="AR46" s="181"/>
      <c r="AS46" s="181"/>
    </row>
    <row r="47" spans="1:45" s="118" customFormat="1" ht="14.7" customHeight="1">
      <c r="A47" s="157" t="s">
        <v>113</v>
      </c>
      <c r="B47" s="158" t="s">
        <v>19</v>
      </c>
      <c r="C47" s="159">
        <f t="shared" ref="C47:N47" si="6">SUM(C48:C50)</f>
        <v>991</v>
      </c>
      <c r="D47" s="159">
        <f t="shared" si="6"/>
        <v>1135</v>
      </c>
      <c r="E47" s="159">
        <f t="shared" si="6"/>
        <v>0</v>
      </c>
      <c r="F47" s="159">
        <f t="shared" si="6"/>
        <v>0</v>
      </c>
      <c r="G47" s="159">
        <f t="shared" si="6"/>
        <v>0</v>
      </c>
      <c r="H47" s="159">
        <f t="shared" si="6"/>
        <v>0</v>
      </c>
      <c r="I47" s="159">
        <f t="shared" si="6"/>
        <v>0</v>
      </c>
      <c r="J47" s="159">
        <f t="shared" si="6"/>
        <v>0</v>
      </c>
      <c r="K47" s="159">
        <f t="shared" si="6"/>
        <v>0</v>
      </c>
      <c r="L47" s="159">
        <f t="shared" si="6"/>
        <v>0</v>
      </c>
      <c r="M47" s="159">
        <f t="shared" si="6"/>
        <v>0</v>
      </c>
      <c r="N47" s="159">
        <f t="shared" si="6"/>
        <v>0</v>
      </c>
      <c r="O47" s="159">
        <f t="shared" si="5"/>
        <v>2126</v>
      </c>
      <c r="P47" s="117"/>
      <c r="Q47" s="117"/>
      <c r="R47" s="117"/>
      <c r="S47" s="117"/>
      <c r="T47" s="117"/>
      <c r="U47" s="117"/>
      <c r="V47" s="215"/>
      <c r="W47" s="117"/>
      <c r="X47" s="117"/>
      <c r="Y47" s="117"/>
      <c r="Z47" s="117"/>
      <c r="AA47" s="117"/>
      <c r="AB47" s="200"/>
      <c r="AC47" s="117"/>
      <c r="AD47" s="206"/>
      <c r="AE47" s="202"/>
      <c r="AF47" s="181"/>
      <c r="AG47" s="181"/>
      <c r="AH47" s="181"/>
      <c r="AI47" s="181"/>
      <c r="AP47" s="181"/>
      <c r="AQ47" s="181"/>
      <c r="AR47" s="181"/>
      <c r="AS47" s="181"/>
    </row>
    <row r="48" spans="1:45" s="118" customFormat="1" ht="14.7" customHeight="1">
      <c r="A48" s="160"/>
      <c r="B48" s="147" t="s">
        <v>99</v>
      </c>
      <c r="C48" s="156">
        <v>95</v>
      </c>
      <c r="D48" s="156">
        <v>126</v>
      </c>
      <c r="E48" s="156"/>
      <c r="F48" s="156"/>
      <c r="G48" s="156"/>
      <c r="H48" s="156"/>
      <c r="I48" s="156"/>
      <c r="J48" s="156"/>
      <c r="K48" s="156"/>
      <c r="L48" s="187"/>
      <c r="M48" s="187"/>
      <c r="N48" s="187"/>
      <c r="O48" s="189">
        <f t="shared" si="5"/>
        <v>221</v>
      </c>
      <c r="P48" s="117"/>
      <c r="Q48" s="117"/>
      <c r="R48" s="117"/>
      <c r="S48" s="117"/>
      <c r="T48" s="117"/>
      <c r="U48" s="117"/>
      <c r="V48" s="216"/>
      <c r="W48" s="200"/>
      <c r="X48" s="200"/>
      <c r="Y48" s="200"/>
      <c r="Z48" s="200"/>
      <c r="AA48" s="200"/>
      <c r="AB48" s="200"/>
      <c r="AC48" s="200"/>
      <c r="AD48" s="206"/>
      <c r="AE48" s="206"/>
      <c r="AF48" s="181"/>
      <c r="AG48" s="181"/>
      <c r="AH48" s="181"/>
      <c r="AI48" s="181"/>
      <c r="AP48" s="181"/>
      <c r="AQ48" s="181"/>
      <c r="AR48" s="181"/>
      <c r="AS48" s="181"/>
    </row>
    <row r="49" spans="1:45" s="118" customFormat="1" ht="14.7" customHeight="1">
      <c r="A49" s="160"/>
      <c r="B49" s="147" t="s">
        <v>100</v>
      </c>
      <c r="C49" s="156">
        <v>261</v>
      </c>
      <c r="D49" s="156">
        <v>303</v>
      </c>
      <c r="E49" s="156"/>
      <c r="F49" s="156"/>
      <c r="G49" s="156"/>
      <c r="H49" s="156"/>
      <c r="I49" s="156"/>
      <c r="J49" s="156"/>
      <c r="K49" s="156"/>
      <c r="L49" s="187"/>
      <c r="M49" s="187"/>
      <c r="N49" s="187"/>
      <c r="O49" s="189">
        <f t="shared" si="5"/>
        <v>564</v>
      </c>
      <c r="P49" s="117"/>
      <c r="Q49" s="117"/>
      <c r="R49" s="117"/>
      <c r="S49" s="117"/>
      <c r="T49" s="117"/>
      <c r="U49" s="200"/>
      <c r="V49" s="216"/>
      <c r="W49" s="200"/>
      <c r="X49" s="200"/>
      <c r="Y49" s="200"/>
      <c r="Z49" s="200"/>
      <c r="AA49" s="200"/>
      <c r="AB49" s="200"/>
      <c r="AC49" s="200"/>
      <c r="AD49" s="206"/>
      <c r="AE49" s="206"/>
      <c r="AF49" s="181"/>
      <c r="AG49" s="181"/>
      <c r="AH49" s="181"/>
      <c r="AI49" s="181"/>
      <c r="AL49" s="181"/>
      <c r="AM49" s="181"/>
      <c r="AN49" s="181"/>
      <c r="AO49" s="181"/>
      <c r="AP49" s="181"/>
      <c r="AQ49" s="181"/>
      <c r="AR49" s="181"/>
      <c r="AS49" s="181"/>
    </row>
    <row r="50" spans="1:45" s="118" customFormat="1" ht="14.7" customHeight="1">
      <c r="A50" s="160"/>
      <c r="B50" s="147" t="s">
        <v>102</v>
      </c>
      <c r="C50" s="156">
        <v>635</v>
      </c>
      <c r="D50" s="156">
        <v>706</v>
      </c>
      <c r="E50" s="156"/>
      <c r="F50" s="156"/>
      <c r="G50" s="156"/>
      <c r="H50" s="156"/>
      <c r="I50" s="156"/>
      <c r="J50" s="156"/>
      <c r="K50" s="156"/>
      <c r="L50" s="187"/>
      <c r="M50" s="187"/>
      <c r="N50" s="187"/>
      <c r="O50" s="189">
        <f t="shared" si="5"/>
        <v>1341</v>
      </c>
      <c r="P50" s="117"/>
      <c r="Q50" s="117"/>
      <c r="R50" s="117"/>
      <c r="S50" s="117"/>
      <c r="T50" s="117"/>
      <c r="U50" s="117"/>
      <c r="V50" s="215"/>
      <c r="W50" s="117"/>
      <c r="X50" s="117"/>
      <c r="Y50" s="117"/>
      <c r="Z50" s="117"/>
      <c r="AA50" s="117"/>
      <c r="AB50" s="117"/>
      <c r="AC50" s="117"/>
      <c r="AD50" s="206"/>
      <c r="AE50" s="202"/>
      <c r="AF50" s="181"/>
      <c r="AG50" s="181"/>
      <c r="AH50" s="181"/>
      <c r="AI50" s="181"/>
      <c r="AP50" s="181"/>
      <c r="AQ50" s="181"/>
      <c r="AR50" s="181"/>
      <c r="AS50" s="181"/>
    </row>
    <row r="51" spans="1:45" s="118" customFormat="1" ht="14.7" customHeight="1">
      <c r="A51" s="158" t="s">
        <v>114</v>
      </c>
      <c r="B51" s="158" t="s">
        <v>19</v>
      </c>
      <c r="C51" s="159">
        <f t="shared" ref="C51:N51" si="7">SUM(C52:C54)</f>
        <v>289</v>
      </c>
      <c r="D51" s="159">
        <f t="shared" si="7"/>
        <v>342</v>
      </c>
      <c r="E51" s="159">
        <f t="shared" si="7"/>
        <v>0</v>
      </c>
      <c r="F51" s="159">
        <f t="shared" si="7"/>
        <v>0</v>
      </c>
      <c r="G51" s="159">
        <f t="shared" si="7"/>
        <v>0</v>
      </c>
      <c r="H51" s="159">
        <f t="shared" si="7"/>
        <v>0</v>
      </c>
      <c r="I51" s="159">
        <f t="shared" si="7"/>
        <v>0</v>
      </c>
      <c r="J51" s="159">
        <f t="shared" si="7"/>
        <v>0</v>
      </c>
      <c r="K51" s="159">
        <f t="shared" si="7"/>
        <v>0</v>
      </c>
      <c r="L51" s="159">
        <f t="shared" si="7"/>
        <v>0</v>
      </c>
      <c r="M51" s="159">
        <f t="shared" si="7"/>
        <v>0</v>
      </c>
      <c r="N51" s="159">
        <f t="shared" si="7"/>
        <v>0</v>
      </c>
      <c r="O51" s="159">
        <f t="shared" si="5"/>
        <v>631</v>
      </c>
      <c r="P51" s="117"/>
      <c r="Q51" s="117"/>
      <c r="R51" s="117"/>
      <c r="S51" s="117"/>
      <c r="T51" s="117"/>
      <c r="U51" s="200"/>
      <c r="V51" s="216"/>
      <c r="W51" s="200"/>
      <c r="X51" s="200"/>
      <c r="Y51" s="200"/>
      <c r="Z51" s="200"/>
      <c r="AA51" s="200"/>
      <c r="AB51" s="200"/>
      <c r="AC51" s="200"/>
      <c r="AD51" s="206"/>
      <c r="AE51" s="206"/>
      <c r="AF51" s="181"/>
      <c r="AG51" s="181"/>
      <c r="AH51" s="181"/>
      <c r="AI51" s="181"/>
      <c r="AP51" s="181"/>
      <c r="AQ51" s="181"/>
      <c r="AR51" s="181"/>
      <c r="AS51" s="181"/>
    </row>
    <row r="52" spans="1:45" s="118" customFormat="1" ht="14.7" customHeight="1">
      <c r="A52" s="147"/>
      <c r="B52" s="147" t="s">
        <v>99</v>
      </c>
      <c r="C52" s="156">
        <v>26</v>
      </c>
      <c r="D52" s="156">
        <v>56</v>
      </c>
      <c r="E52" s="156"/>
      <c r="F52" s="156"/>
      <c r="G52" s="156"/>
      <c r="H52" s="156"/>
      <c r="I52" s="156"/>
      <c r="J52" s="156"/>
      <c r="K52" s="156"/>
      <c r="L52" s="187"/>
      <c r="M52" s="187"/>
      <c r="N52" s="187"/>
      <c r="O52" s="189">
        <f t="shared" si="5"/>
        <v>82</v>
      </c>
      <c r="P52" s="117"/>
      <c r="Q52" s="117"/>
      <c r="R52" s="117"/>
      <c r="S52" s="117"/>
      <c r="T52" s="117"/>
      <c r="U52" s="117"/>
      <c r="V52" s="215"/>
      <c r="W52" s="117"/>
      <c r="X52" s="200"/>
      <c r="Y52" s="200"/>
      <c r="Z52" s="200"/>
      <c r="AA52" s="200"/>
      <c r="AB52" s="200"/>
      <c r="AC52" s="200"/>
      <c r="AD52" s="206"/>
      <c r="AE52" s="206"/>
      <c r="AF52" s="181"/>
      <c r="AG52" s="181"/>
      <c r="AH52" s="181"/>
      <c r="AI52" s="181"/>
      <c r="AO52" s="181"/>
      <c r="AP52" s="181"/>
      <c r="AQ52" s="181"/>
      <c r="AR52" s="181"/>
      <c r="AS52" s="181"/>
    </row>
    <row r="53" spans="1:45" s="118" customFormat="1" ht="14.7" customHeight="1">
      <c r="A53" s="147"/>
      <c r="B53" s="147" t="s">
        <v>100</v>
      </c>
      <c r="C53" s="156">
        <v>53</v>
      </c>
      <c r="D53" s="156">
        <v>63</v>
      </c>
      <c r="E53" s="156"/>
      <c r="F53" s="156"/>
      <c r="G53" s="156"/>
      <c r="H53" s="156"/>
      <c r="I53" s="156"/>
      <c r="J53" s="156"/>
      <c r="K53" s="156"/>
      <c r="L53" s="187"/>
      <c r="M53" s="187"/>
      <c r="N53" s="187"/>
      <c r="O53" s="189">
        <f t="shared" si="5"/>
        <v>116</v>
      </c>
      <c r="P53" s="117"/>
      <c r="Q53" s="117"/>
      <c r="R53" s="117"/>
      <c r="S53" s="117"/>
      <c r="T53" s="117"/>
      <c r="U53" s="117"/>
      <c r="V53" s="215"/>
      <c r="W53" s="117"/>
      <c r="X53" s="117"/>
      <c r="Y53" s="200"/>
      <c r="Z53" s="200"/>
      <c r="AA53" s="200"/>
      <c r="AB53" s="200"/>
      <c r="AC53" s="117"/>
      <c r="AD53" s="206"/>
      <c r="AE53" s="202"/>
      <c r="AF53" s="181"/>
      <c r="AG53" s="181"/>
      <c r="AH53" s="181"/>
      <c r="AI53" s="181"/>
      <c r="AP53" s="181"/>
      <c r="AQ53" s="181"/>
      <c r="AR53" s="181"/>
      <c r="AS53" s="181"/>
    </row>
    <row r="54" spans="1:45" s="118" customFormat="1" ht="14.7" customHeight="1">
      <c r="A54" s="147"/>
      <c r="B54" s="147" t="s">
        <v>102</v>
      </c>
      <c r="C54" s="156">
        <v>210</v>
      </c>
      <c r="D54" s="156">
        <v>223</v>
      </c>
      <c r="E54" s="156"/>
      <c r="F54" s="156"/>
      <c r="G54" s="156"/>
      <c r="H54" s="156"/>
      <c r="I54" s="156"/>
      <c r="J54" s="156"/>
      <c r="K54" s="156"/>
      <c r="L54" s="187"/>
      <c r="M54" s="187"/>
      <c r="N54" s="187"/>
      <c r="O54" s="189">
        <f t="shared" si="5"/>
        <v>433</v>
      </c>
      <c r="P54" s="117"/>
      <c r="Q54" s="117"/>
      <c r="R54" s="117"/>
      <c r="S54" s="117"/>
      <c r="T54" s="117"/>
      <c r="U54" s="117"/>
      <c r="V54" s="215"/>
      <c r="W54" s="117"/>
      <c r="X54" s="200"/>
      <c r="Y54" s="200"/>
      <c r="Z54" s="200"/>
      <c r="AA54" s="200"/>
      <c r="AB54" s="200"/>
      <c r="AC54" s="200"/>
      <c r="AD54" s="206"/>
      <c r="AE54" s="206"/>
      <c r="AF54" s="181"/>
      <c r="AG54" s="181"/>
      <c r="AH54" s="181"/>
      <c r="AI54" s="181"/>
      <c r="AP54" s="181"/>
      <c r="AQ54" s="181"/>
      <c r="AR54" s="181"/>
      <c r="AS54" s="181"/>
    </row>
    <row r="55" spans="1:45" s="118" customFormat="1" ht="14.7" customHeight="1">
      <c r="A55" s="158" t="s">
        <v>115</v>
      </c>
      <c r="B55" s="158" t="s">
        <v>19</v>
      </c>
      <c r="C55" s="159">
        <f t="shared" ref="C55:N55" si="8">SUM(C56:C58)</f>
        <v>144</v>
      </c>
      <c r="D55" s="159">
        <f t="shared" si="8"/>
        <v>176</v>
      </c>
      <c r="E55" s="159">
        <f t="shared" si="8"/>
        <v>0</v>
      </c>
      <c r="F55" s="159">
        <f t="shared" si="8"/>
        <v>0</v>
      </c>
      <c r="G55" s="159">
        <f t="shared" si="8"/>
        <v>0</v>
      </c>
      <c r="H55" s="159">
        <f t="shared" si="8"/>
        <v>0</v>
      </c>
      <c r="I55" s="159">
        <f t="shared" si="8"/>
        <v>0</v>
      </c>
      <c r="J55" s="159">
        <f t="shared" si="8"/>
        <v>0</v>
      </c>
      <c r="K55" s="159">
        <f t="shared" si="8"/>
        <v>0</v>
      </c>
      <c r="L55" s="159">
        <f t="shared" si="8"/>
        <v>0</v>
      </c>
      <c r="M55" s="159">
        <f t="shared" si="8"/>
        <v>0</v>
      </c>
      <c r="N55" s="159">
        <f t="shared" si="8"/>
        <v>0</v>
      </c>
      <c r="O55" s="159">
        <f t="shared" si="5"/>
        <v>320</v>
      </c>
      <c r="P55" s="117"/>
      <c r="Q55" s="117"/>
      <c r="R55" s="117"/>
      <c r="S55" s="117"/>
      <c r="T55" s="117"/>
      <c r="U55" s="117"/>
      <c r="V55" s="215"/>
      <c r="W55" s="117"/>
      <c r="X55" s="117"/>
      <c r="Y55" s="200"/>
      <c r="Z55" s="200"/>
      <c r="AA55" s="117"/>
      <c r="AB55" s="200"/>
      <c r="AC55" s="117"/>
      <c r="AD55" s="202"/>
      <c r="AE55" s="202"/>
      <c r="AF55" s="181"/>
      <c r="AG55" s="181"/>
      <c r="AH55" s="181"/>
      <c r="AI55" s="181"/>
      <c r="AP55" s="181"/>
      <c r="AQ55" s="181"/>
      <c r="AR55" s="181"/>
      <c r="AS55" s="181"/>
    </row>
    <row r="56" spans="1:45" s="118" customFormat="1" ht="14.7" customHeight="1">
      <c r="A56" s="147"/>
      <c r="B56" s="147" t="s">
        <v>99</v>
      </c>
      <c r="C56" s="156">
        <v>59</v>
      </c>
      <c r="D56" s="156">
        <v>93</v>
      </c>
      <c r="E56" s="156"/>
      <c r="F56" s="156"/>
      <c r="G56" s="156"/>
      <c r="H56" s="156"/>
      <c r="I56" s="156"/>
      <c r="J56" s="156"/>
      <c r="K56" s="156"/>
      <c r="L56" s="187"/>
      <c r="M56" s="187"/>
      <c r="N56" s="187"/>
      <c r="O56" s="189">
        <f t="shared" si="5"/>
        <v>152</v>
      </c>
      <c r="P56" s="117"/>
      <c r="Q56" s="117"/>
      <c r="R56" s="117"/>
      <c r="S56" s="117"/>
      <c r="T56" s="117"/>
      <c r="U56" s="117"/>
      <c r="V56" s="215"/>
      <c r="W56" s="117"/>
      <c r="X56" s="117"/>
      <c r="Y56" s="117"/>
      <c r="Z56" s="200"/>
      <c r="AA56" s="200"/>
      <c r="AB56" s="200"/>
      <c r="AC56" s="200"/>
      <c r="AD56" s="206"/>
      <c r="AE56" s="206"/>
      <c r="AF56" s="181"/>
      <c r="AG56" s="181"/>
      <c r="AH56" s="181"/>
      <c r="AP56" s="181"/>
      <c r="AQ56" s="181"/>
      <c r="AR56" s="181"/>
      <c r="AS56" s="181"/>
    </row>
    <row r="57" spans="1:45" s="118" customFormat="1" ht="14.7" customHeight="1">
      <c r="A57" s="147"/>
      <c r="B57" s="147" t="s">
        <v>100</v>
      </c>
      <c r="C57" s="156">
        <v>24</v>
      </c>
      <c r="D57" s="156">
        <v>18</v>
      </c>
      <c r="E57" s="156"/>
      <c r="F57" s="156"/>
      <c r="G57" s="156"/>
      <c r="H57" s="156"/>
      <c r="I57" s="156"/>
      <c r="J57" s="156"/>
      <c r="K57" s="156"/>
      <c r="L57" s="187"/>
      <c r="M57" s="187"/>
      <c r="N57" s="187"/>
      <c r="O57" s="189">
        <f t="shared" si="5"/>
        <v>42</v>
      </c>
      <c r="P57" s="117"/>
      <c r="Q57" s="117"/>
      <c r="R57" s="117"/>
      <c r="S57" s="117"/>
      <c r="T57" s="117"/>
      <c r="U57" s="117"/>
      <c r="V57" s="216"/>
      <c r="W57" s="200"/>
      <c r="X57" s="200"/>
      <c r="Y57" s="200"/>
      <c r="Z57" s="200"/>
      <c r="AA57" s="200"/>
      <c r="AB57" s="200"/>
      <c r="AC57" s="200"/>
      <c r="AD57" s="206"/>
      <c r="AE57" s="206"/>
      <c r="AF57" s="181"/>
      <c r="AG57" s="181"/>
      <c r="AH57" s="181"/>
      <c r="AI57" s="181"/>
      <c r="AP57" s="181"/>
      <c r="AQ57" s="181"/>
      <c r="AR57" s="181"/>
      <c r="AS57" s="181"/>
    </row>
    <row r="58" spans="1:45" s="118" customFormat="1" ht="14.7" customHeight="1">
      <c r="A58" s="147"/>
      <c r="B58" s="147" t="s">
        <v>102</v>
      </c>
      <c r="C58" s="156">
        <v>61</v>
      </c>
      <c r="D58" s="156">
        <v>65</v>
      </c>
      <c r="E58" s="156"/>
      <c r="F58" s="156"/>
      <c r="G58" s="156"/>
      <c r="H58" s="156"/>
      <c r="I58" s="156"/>
      <c r="J58" s="156"/>
      <c r="K58" s="156"/>
      <c r="L58" s="187"/>
      <c r="M58" s="187"/>
      <c r="N58" s="187"/>
      <c r="O58" s="189">
        <f t="shared" si="5"/>
        <v>126</v>
      </c>
      <c r="P58" s="117"/>
      <c r="Q58" s="117"/>
      <c r="R58" s="117"/>
      <c r="S58" s="117"/>
      <c r="T58" s="117"/>
      <c r="U58" s="117"/>
      <c r="V58" s="216"/>
      <c r="W58" s="200"/>
      <c r="X58" s="200"/>
      <c r="Y58" s="200"/>
      <c r="Z58" s="200"/>
      <c r="AA58" s="200"/>
      <c r="AB58" s="200"/>
      <c r="AC58" s="117"/>
      <c r="AD58" s="202"/>
      <c r="AE58" s="202"/>
      <c r="AF58" s="181"/>
      <c r="AG58" s="181"/>
      <c r="AI58" s="181"/>
      <c r="AP58" s="181"/>
      <c r="AQ58" s="181"/>
      <c r="AR58" s="181"/>
      <c r="AS58" s="181"/>
    </row>
    <row r="59" spans="1:45" s="118" customFormat="1" ht="14.7" customHeight="1">
      <c r="A59" s="158" t="s">
        <v>116</v>
      </c>
      <c r="B59" s="158" t="s">
        <v>19</v>
      </c>
      <c r="C59" s="159">
        <f t="shared" ref="C59:N59" si="9">SUM(C60:C62)</f>
        <v>139</v>
      </c>
      <c r="D59" s="159">
        <f t="shared" si="9"/>
        <v>79</v>
      </c>
      <c r="E59" s="159">
        <f t="shared" si="9"/>
        <v>0</v>
      </c>
      <c r="F59" s="159">
        <f t="shared" si="9"/>
        <v>0</v>
      </c>
      <c r="G59" s="159">
        <f t="shared" si="9"/>
        <v>0</v>
      </c>
      <c r="H59" s="159">
        <f t="shared" si="9"/>
        <v>0</v>
      </c>
      <c r="I59" s="159">
        <f t="shared" si="9"/>
        <v>0</v>
      </c>
      <c r="J59" s="159">
        <f t="shared" si="9"/>
        <v>0</v>
      </c>
      <c r="K59" s="159">
        <f t="shared" si="9"/>
        <v>0</v>
      </c>
      <c r="L59" s="159">
        <f t="shared" si="9"/>
        <v>0</v>
      </c>
      <c r="M59" s="159">
        <f t="shared" si="9"/>
        <v>0</v>
      </c>
      <c r="N59" s="159">
        <f t="shared" si="9"/>
        <v>0</v>
      </c>
      <c r="O59" s="159">
        <f t="shared" si="5"/>
        <v>218</v>
      </c>
      <c r="P59" s="117"/>
      <c r="Q59" s="117"/>
      <c r="R59" s="117"/>
      <c r="S59" s="117"/>
      <c r="T59" s="117"/>
      <c r="U59" s="117"/>
      <c r="V59" s="215"/>
      <c r="W59" s="117"/>
      <c r="X59" s="117"/>
      <c r="Y59" s="200"/>
      <c r="Z59" s="200"/>
      <c r="AA59" s="200"/>
      <c r="AB59" s="200"/>
      <c r="AC59" s="200"/>
      <c r="AD59" s="206"/>
      <c r="AE59" s="206"/>
      <c r="AF59" s="181"/>
      <c r="AG59" s="181"/>
      <c r="AH59" s="181"/>
      <c r="AI59" s="181"/>
      <c r="AP59" s="181"/>
      <c r="AQ59" s="181"/>
      <c r="AR59" s="181"/>
      <c r="AS59" s="181"/>
    </row>
    <row r="60" spans="1:45" s="118" customFormat="1" ht="14.7" customHeight="1">
      <c r="A60" s="147"/>
      <c r="B60" s="147" t="s">
        <v>99</v>
      </c>
      <c r="C60" s="156">
        <v>5</v>
      </c>
      <c r="D60" s="156">
        <v>11</v>
      </c>
      <c r="E60" s="156"/>
      <c r="F60" s="156"/>
      <c r="G60" s="156"/>
      <c r="H60" s="156"/>
      <c r="I60" s="156"/>
      <c r="J60" s="156"/>
      <c r="K60" s="156"/>
      <c r="L60" s="187"/>
      <c r="M60" s="187"/>
      <c r="N60" s="187"/>
      <c r="O60" s="189">
        <f t="shared" si="5"/>
        <v>16</v>
      </c>
      <c r="P60" s="117"/>
      <c r="Q60" s="117"/>
      <c r="R60" s="117"/>
      <c r="S60" s="117"/>
      <c r="T60" s="117"/>
      <c r="U60" s="117"/>
      <c r="V60" s="215"/>
      <c r="W60" s="117"/>
      <c r="X60" s="117"/>
      <c r="Y60" s="200"/>
      <c r="Z60" s="200"/>
      <c r="AA60" s="200"/>
      <c r="AB60" s="200"/>
      <c r="AC60" s="200"/>
      <c r="AD60" s="206"/>
      <c r="AE60" s="206"/>
      <c r="AF60" s="181"/>
      <c r="AG60" s="181"/>
      <c r="AH60" s="181"/>
      <c r="AP60" s="181"/>
      <c r="AQ60" s="181"/>
      <c r="AR60" s="181"/>
      <c r="AS60" s="181"/>
    </row>
    <row r="61" spans="1:45" s="118" customFormat="1" ht="14.7" customHeight="1">
      <c r="A61" s="147"/>
      <c r="B61" s="147" t="s">
        <v>100</v>
      </c>
      <c r="C61" s="156">
        <v>12</v>
      </c>
      <c r="D61" s="156">
        <v>11</v>
      </c>
      <c r="E61" s="156"/>
      <c r="F61" s="156"/>
      <c r="G61" s="156"/>
      <c r="H61" s="156"/>
      <c r="I61" s="156"/>
      <c r="J61" s="156"/>
      <c r="K61" s="156"/>
      <c r="L61" s="187"/>
      <c r="M61" s="187"/>
      <c r="N61" s="187"/>
      <c r="O61" s="189">
        <f t="shared" si="5"/>
        <v>23</v>
      </c>
      <c r="P61" s="117"/>
      <c r="Q61" s="117"/>
      <c r="R61" s="117"/>
      <c r="S61" s="117"/>
      <c r="T61" s="117"/>
      <c r="U61" s="117"/>
      <c r="V61" s="215"/>
      <c r="W61" s="117"/>
      <c r="X61" s="117"/>
      <c r="Y61" s="200"/>
      <c r="Z61" s="200"/>
      <c r="AA61" s="200"/>
      <c r="AB61" s="200"/>
      <c r="AC61" s="200"/>
      <c r="AD61" s="206"/>
      <c r="AE61" s="206"/>
      <c r="AF61" s="181"/>
      <c r="AG61" s="181"/>
      <c r="AH61" s="181"/>
      <c r="AK61" s="181"/>
      <c r="AL61" s="181"/>
      <c r="AM61" s="181"/>
      <c r="AN61" s="181"/>
      <c r="AO61" s="181"/>
      <c r="AP61" s="181"/>
      <c r="AQ61" s="181"/>
      <c r="AR61" s="181"/>
      <c r="AS61" s="181"/>
    </row>
    <row r="62" spans="1:45" s="118" customFormat="1" ht="14.7" customHeight="1">
      <c r="A62" s="147"/>
      <c r="B62" s="147" t="s">
        <v>102</v>
      </c>
      <c r="C62" s="156">
        <v>122</v>
      </c>
      <c r="D62" s="156">
        <v>57</v>
      </c>
      <c r="E62" s="156"/>
      <c r="F62" s="156"/>
      <c r="G62" s="156"/>
      <c r="H62" s="156"/>
      <c r="I62" s="156"/>
      <c r="J62" s="156"/>
      <c r="K62" s="156"/>
      <c r="L62" s="187"/>
      <c r="M62" s="187"/>
      <c r="N62" s="187"/>
      <c r="O62" s="189">
        <f t="shared" si="5"/>
        <v>179</v>
      </c>
      <c r="P62" s="117"/>
      <c r="Q62" s="117"/>
      <c r="R62" s="117"/>
      <c r="S62" s="117"/>
      <c r="T62" s="117"/>
      <c r="U62" s="117"/>
      <c r="V62" s="215"/>
      <c r="W62" s="117"/>
      <c r="X62" s="117"/>
      <c r="Y62" s="200"/>
      <c r="Z62" s="200"/>
      <c r="AA62" s="200"/>
      <c r="AB62" s="200"/>
      <c r="AC62" s="200"/>
      <c r="AD62" s="206"/>
      <c r="AE62" s="206"/>
      <c r="AF62" s="181"/>
      <c r="AG62" s="181"/>
      <c r="AI62" s="181"/>
      <c r="AP62" s="181"/>
      <c r="AQ62" s="181"/>
      <c r="AR62" s="181"/>
      <c r="AS62" s="181"/>
    </row>
    <row r="63" spans="1:45" s="118" customFormat="1" ht="14.7" customHeight="1">
      <c r="A63" s="158" t="s">
        <v>117</v>
      </c>
      <c r="B63" s="158" t="s">
        <v>19</v>
      </c>
      <c r="C63" s="159">
        <f t="shared" ref="C63:N63" si="10">SUM(C64:C66)</f>
        <v>177</v>
      </c>
      <c r="D63" s="159">
        <f t="shared" si="10"/>
        <v>152</v>
      </c>
      <c r="E63" s="159">
        <f t="shared" si="10"/>
        <v>0</v>
      </c>
      <c r="F63" s="159">
        <f t="shared" si="10"/>
        <v>0</v>
      </c>
      <c r="G63" s="159">
        <f t="shared" si="10"/>
        <v>0</v>
      </c>
      <c r="H63" s="159">
        <f t="shared" si="10"/>
        <v>0</v>
      </c>
      <c r="I63" s="159">
        <f t="shared" si="10"/>
        <v>0</v>
      </c>
      <c r="J63" s="159">
        <f t="shared" si="10"/>
        <v>0</v>
      </c>
      <c r="K63" s="159">
        <f t="shared" si="10"/>
        <v>0</v>
      </c>
      <c r="L63" s="159">
        <f t="shared" si="10"/>
        <v>0</v>
      </c>
      <c r="M63" s="159">
        <f t="shared" si="10"/>
        <v>0</v>
      </c>
      <c r="N63" s="159">
        <f t="shared" si="10"/>
        <v>0</v>
      </c>
      <c r="O63" s="159">
        <f t="shared" si="5"/>
        <v>329</v>
      </c>
      <c r="P63" s="117"/>
      <c r="Q63" s="117"/>
      <c r="R63" s="117"/>
      <c r="S63" s="117"/>
      <c r="T63" s="117"/>
      <c r="U63" s="117"/>
      <c r="V63" s="215"/>
      <c r="W63" s="117"/>
      <c r="X63" s="117"/>
      <c r="Y63" s="200"/>
      <c r="Z63" s="200"/>
      <c r="AA63" s="200"/>
      <c r="AB63" s="200"/>
      <c r="AC63" s="200"/>
      <c r="AD63" s="206"/>
      <c r="AE63" s="206"/>
      <c r="AF63" s="181"/>
      <c r="AG63" s="181"/>
      <c r="AI63" s="181"/>
      <c r="AP63" s="181"/>
      <c r="AQ63" s="181"/>
      <c r="AR63" s="181"/>
      <c r="AS63" s="181"/>
    </row>
    <row r="64" spans="1:45" s="118" customFormat="1" ht="14.7" customHeight="1">
      <c r="A64" s="147"/>
      <c r="B64" s="147" t="s">
        <v>99</v>
      </c>
      <c r="C64" s="156">
        <v>54</v>
      </c>
      <c r="D64" s="156">
        <v>32</v>
      </c>
      <c r="E64" s="156"/>
      <c r="F64" s="156"/>
      <c r="G64" s="156"/>
      <c r="H64" s="156"/>
      <c r="I64" s="156"/>
      <c r="J64" s="156"/>
      <c r="K64" s="156"/>
      <c r="L64" s="187"/>
      <c r="M64" s="187"/>
      <c r="N64" s="187"/>
      <c r="O64" s="189">
        <f t="shared" si="5"/>
        <v>86</v>
      </c>
      <c r="P64" s="117"/>
      <c r="Q64" s="117"/>
      <c r="R64" s="117"/>
      <c r="S64" s="117"/>
      <c r="T64" s="117"/>
      <c r="U64" s="117"/>
      <c r="V64" s="215"/>
      <c r="W64" s="117"/>
      <c r="X64" s="117"/>
      <c r="Y64" s="200"/>
      <c r="Z64" s="200"/>
      <c r="AA64" s="200"/>
      <c r="AB64" s="200"/>
      <c r="AC64" s="200"/>
      <c r="AD64" s="206"/>
      <c r="AE64" s="206"/>
      <c r="AF64" s="181"/>
      <c r="AG64" s="181"/>
      <c r="AI64" s="181"/>
      <c r="AP64" s="181"/>
      <c r="AQ64" s="181"/>
      <c r="AR64" s="181"/>
      <c r="AS64" s="181"/>
    </row>
    <row r="65" spans="1:45" s="118" customFormat="1" ht="14.7" customHeight="1">
      <c r="A65" s="147"/>
      <c r="B65" s="147" t="s">
        <v>100</v>
      </c>
      <c r="C65" s="156">
        <v>29</v>
      </c>
      <c r="D65" s="156">
        <v>36</v>
      </c>
      <c r="E65" s="156"/>
      <c r="F65" s="156"/>
      <c r="G65" s="156"/>
      <c r="H65" s="156"/>
      <c r="I65" s="156"/>
      <c r="J65" s="156"/>
      <c r="K65" s="156"/>
      <c r="L65" s="187"/>
      <c r="M65" s="187"/>
      <c r="N65" s="187"/>
      <c r="O65" s="189">
        <f t="shared" si="5"/>
        <v>65</v>
      </c>
      <c r="P65" s="117"/>
      <c r="Q65" s="117"/>
      <c r="R65" s="117"/>
      <c r="S65" s="117"/>
      <c r="T65" s="117"/>
      <c r="U65" s="117"/>
      <c r="V65" s="215"/>
      <c r="W65" s="117"/>
      <c r="X65" s="117"/>
      <c r="Y65" s="200"/>
      <c r="Z65" s="200"/>
      <c r="AA65" s="200"/>
      <c r="AB65" s="200"/>
      <c r="AC65" s="200"/>
      <c r="AD65" s="206"/>
      <c r="AE65" s="206"/>
      <c r="AF65" s="181"/>
      <c r="AG65" s="181"/>
      <c r="AI65" s="181"/>
      <c r="AP65" s="181"/>
      <c r="AQ65" s="181"/>
      <c r="AR65" s="181"/>
      <c r="AS65" s="181"/>
    </row>
    <row r="66" spans="1:45" s="118" customFormat="1" ht="14.7" customHeight="1">
      <c r="A66" s="147"/>
      <c r="B66" s="147" t="s">
        <v>102</v>
      </c>
      <c r="C66" s="156">
        <v>94</v>
      </c>
      <c r="D66" s="156">
        <v>84</v>
      </c>
      <c r="E66" s="156"/>
      <c r="F66" s="156"/>
      <c r="G66" s="156"/>
      <c r="H66" s="156"/>
      <c r="I66" s="156"/>
      <c r="J66" s="156"/>
      <c r="K66" s="156"/>
      <c r="L66" s="187"/>
      <c r="M66" s="187"/>
      <c r="N66" s="187"/>
      <c r="O66" s="189">
        <f t="shared" si="5"/>
        <v>178</v>
      </c>
      <c r="P66" s="117"/>
      <c r="Q66" s="117"/>
      <c r="R66" s="117"/>
      <c r="S66" s="117"/>
      <c r="T66" s="117"/>
      <c r="U66" s="117"/>
      <c r="V66" s="215"/>
      <c r="W66" s="117"/>
      <c r="X66" s="117"/>
      <c r="Y66" s="200"/>
      <c r="Z66" s="200"/>
      <c r="AA66" s="200"/>
      <c r="AB66" s="200"/>
      <c r="AC66" s="200"/>
      <c r="AD66" s="206"/>
      <c r="AE66" s="206"/>
      <c r="AF66" s="181"/>
      <c r="AG66" s="181"/>
      <c r="AI66" s="181"/>
      <c r="AP66" s="181"/>
      <c r="AQ66" s="181"/>
      <c r="AR66" s="181"/>
      <c r="AS66" s="181"/>
    </row>
    <row r="67" spans="1:45" s="118" customFormat="1" ht="14.7" customHeight="1">
      <c r="A67" s="158" t="s">
        <v>118</v>
      </c>
      <c r="B67" s="158" t="s">
        <v>19</v>
      </c>
      <c r="C67" s="159">
        <f t="shared" ref="C67:N67" si="11">SUM(C68:C70)</f>
        <v>34072</v>
      </c>
      <c r="D67" s="159">
        <f t="shared" si="11"/>
        <v>31882</v>
      </c>
      <c r="E67" s="159">
        <f t="shared" si="11"/>
        <v>0</v>
      </c>
      <c r="F67" s="159">
        <f t="shared" si="11"/>
        <v>0</v>
      </c>
      <c r="G67" s="159">
        <f t="shared" si="11"/>
        <v>0</v>
      </c>
      <c r="H67" s="159">
        <f t="shared" si="11"/>
        <v>0</v>
      </c>
      <c r="I67" s="159">
        <f t="shared" si="11"/>
        <v>0</v>
      </c>
      <c r="J67" s="159">
        <f t="shared" si="11"/>
        <v>0</v>
      </c>
      <c r="K67" s="159">
        <f t="shared" si="11"/>
        <v>0</v>
      </c>
      <c r="L67" s="159">
        <f t="shared" si="11"/>
        <v>0</v>
      </c>
      <c r="M67" s="159">
        <f t="shared" si="11"/>
        <v>0</v>
      </c>
      <c r="N67" s="159">
        <f t="shared" si="11"/>
        <v>0</v>
      </c>
      <c r="O67" s="159">
        <f t="shared" si="5"/>
        <v>65954</v>
      </c>
      <c r="P67" s="117"/>
      <c r="Q67" s="117"/>
      <c r="R67" s="117"/>
      <c r="S67" s="117"/>
      <c r="T67" s="117"/>
      <c r="U67" s="117"/>
      <c r="V67" s="215"/>
      <c r="W67" s="117"/>
      <c r="X67" s="117"/>
      <c r="Y67" s="200"/>
      <c r="Z67" s="200"/>
      <c r="AA67" s="200"/>
      <c r="AB67" s="200"/>
      <c r="AC67" s="200"/>
      <c r="AD67" s="206"/>
      <c r="AE67" s="206"/>
      <c r="AF67" s="181"/>
      <c r="AG67" s="181"/>
      <c r="AI67" s="181"/>
      <c r="AP67" s="181"/>
      <c r="AQ67" s="181"/>
      <c r="AR67" s="181"/>
      <c r="AS67" s="181"/>
    </row>
    <row r="68" spans="1:45" s="118" customFormat="1" ht="14.7" customHeight="1">
      <c r="A68" s="147"/>
      <c r="B68" s="147" t="s">
        <v>99</v>
      </c>
      <c r="C68" s="156">
        <v>10541</v>
      </c>
      <c r="D68" s="156">
        <v>9464</v>
      </c>
      <c r="E68" s="156"/>
      <c r="F68" s="156"/>
      <c r="G68" s="156"/>
      <c r="H68" s="156"/>
      <c r="I68" s="156"/>
      <c r="J68" s="156"/>
      <c r="K68" s="156"/>
      <c r="L68" s="187"/>
      <c r="M68" s="187"/>
      <c r="N68" s="187"/>
      <c r="O68" s="189">
        <f t="shared" si="5"/>
        <v>20005</v>
      </c>
      <c r="P68" s="117"/>
      <c r="Q68" s="117"/>
      <c r="R68" s="117"/>
      <c r="S68" s="117"/>
      <c r="T68" s="117"/>
      <c r="U68" s="117"/>
      <c r="V68" s="215"/>
      <c r="W68" s="117"/>
      <c r="X68" s="117"/>
      <c r="Y68" s="200"/>
      <c r="Z68" s="200"/>
      <c r="AA68" s="200"/>
      <c r="AB68" s="200"/>
      <c r="AC68" s="200"/>
      <c r="AD68" s="206"/>
      <c r="AE68" s="206"/>
      <c r="AF68" s="181"/>
      <c r="AG68" s="181"/>
      <c r="AI68" s="181"/>
      <c r="AP68" s="181"/>
      <c r="AQ68" s="181"/>
      <c r="AR68" s="181"/>
      <c r="AS68" s="181"/>
    </row>
    <row r="69" spans="1:45" s="118" customFormat="1" ht="14.7" customHeight="1">
      <c r="A69" s="147"/>
      <c r="B69" s="147" t="s">
        <v>100</v>
      </c>
      <c r="C69" s="156">
        <v>9187</v>
      </c>
      <c r="D69" s="156">
        <v>8488</v>
      </c>
      <c r="E69" s="156"/>
      <c r="F69" s="156"/>
      <c r="G69" s="156"/>
      <c r="H69" s="156"/>
      <c r="I69" s="156"/>
      <c r="J69" s="156"/>
      <c r="K69" s="156"/>
      <c r="L69" s="187"/>
      <c r="M69" s="187"/>
      <c r="N69" s="187"/>
      <c r="O69" s="189">
        <f t="shared" si="5"/>
        <v>17675</v>
      </c>
      <c r="P69" s="117"/>
      <c r="Q69" s="117"/>
      <c r="R69" s="117"/>
      <c r="S69" s="117"/>
      <c r="T69" s="117"/>
      <c r="U69" s="117"/>
      <c r="V69" s="215"/>
      <c r="W69" s="117"/>
      <c r="X69" s="117"/>
      <c r="Y69" s="200"/>
      <c r="Z69" s="200"/>
      <c r="AA69" s="200"/>
      <c r="AB69" s="200"/>
      <c r="AC69" s="200"/>
      <c r="AD69" s="206"/>
      <c r="AE69" s="206"/>
      <c r="AF69" s="181"/>
      <c r="AG69" s="181"/>
      <c r="AI69" s="181"/>
      <c r="AP69" s="181"/>
      <c r="AQ69" s="181"/>
      <c r="AR69" s="181"/>
      <c r="AS69" s="181"/>
    </row>
    <row r="70" spans="1:45" s="118" customFormat="1" ht="14.7" customHeight="1">
      <c r="A70" s="147"/>
      <c r="B70" s="147" t="s">
        <v>102</v>
      </c>
      <c r="C70" s="156">
        <v>14344</v>
      </c>
      <c r="D70" s="156">
        <v>13930</v>
      </c>
      <c r="E70" s="156"/>
      <c r="F70" s="156"/>
      <c r="G70" s="156"/>
      <c r="H70" s="156"/>
      <c r="I70" s="156"/>
      <c r="J70" s="156"/>
      <c r="K70" s="156"/>
      <c r="L70" s="187"/>
      <c r="M70" s="187"/>
      <c r="N70" s="187"/>
      <c r="O70" s="189">
        <f t="shared" si="5"/>
        <v>28274</v>
      </c>
      <c r="P70" s="117"/>
      <c r="Q70" s="117"/>
      <c r="R70" s="117"/>
      <c r="S70" s="117"/>
      <c r="T70" s="117"/>
      <c r="U70" s="117"/>
      <c r="V70" s="215"/>
      <c r="W70" s="117"/>
      <c r="X70" s="117"/>
      <c r="Y70" s="200"/>
      <c r="Z70" s="200"/>
      <c r="AA70" s="200"/>
      <c r="AB70" s="200"/>
      <c r="AC70" s="200"/>
      <c r="AD70" s="206"/>
      <c r="AE70" s="206"/>
      <c r="AF70" s="181"/>
      <c r="AG70" s="181"/>
      <c r="AI70" s="181"/>
      <c r="AP70" s="181"/>
      <c r="AQ70" s="181"/>
      <c r="AR70" s="181"/>
      <c r="AS70" s="181"/>
    </row>
    <row r="71" spans="1:45" s="118" customFormat="1" ht="14.7" customHeight="1">
      <c r="A71" s="158" t="s">
        <v>119</v>
      </c>
      <c r="B71" s="158" t="s">
        <v>19</v>
      </c>
      <c r="C71" s="159">
        <f t="shared" ref="C71:N71" si="12">SUM(C72:C74)</f>
        <v>436</v>
      </c>
      <c r="D71" s="159">
        <f t="shared" si="12"/>
        <v>343</v>
      </c>
      <c r="E71" s="159">
        <f t="shared" si="12"/>
        <v>0</v>
      </c>
      <c r="F71" s="159">
        <f t="shared" si="12"/>
        <v>0</v>
      </c>
      <c r="G71" s="159">
        <f t="shared" si="12"/>
        <v>0</v>
      </c>
      <c r="H71" s="159">
        <f t="shared" si="12"/>
        <v>0</v>
      </c>
      <c r="I71" s="159">
        <f t="shared" si="12"/>
        <v>0</v>
      </c>
      <c r="J71" s="159">
        <f t="shared" si="12"/>
        <v>0</v>
      </c>
      <c r="K71" s="159">
        <f t="shared" si="12"/>
        <v>0</v>
      </c>
      <c r="L71" s="159">
        <f t="shared" si="12"/>
        <v>0</v>
      </c>
      <c r="M71" s="159">
        <f t="shared" si="12"/>
        <v>0</v>
      </c>
      <c r="N71" s="159">
        <f t="shared" si="12"/>
        <v>0</v>
      </c>
      <c r="O71" s="159">
        <f t="shared" si="5"/>
        <v>779</v>
      </c>
      <c r="P71" s="117"/>
      <c r="Q71" s="117"/>
      <c r="R71" s="117"/>
      <c r="S71" s="117"/>
      <c r="T71" s="117"/>
      <c r="U71" s="117"/>
      <c r="V71" s="215"/>
      <c r="W71" s="117"/>
      <c r="X71" s="117"/>
      <c r="Y71" s="200"/>
      <c r="Z71" s="200"/>
      <c r="AA71" s="200"/>
      <c r="AB71" s="200"/>
      <c r="AC71" s="200"/>
      <c r="AD71" s="206"/>
      <c r="AE71" s="206"/>
      <c r="AF71" s="181"/>
      <c r="AG71" s="181"/>
      <c r="AI71" s="181"/>
      <c r="AP71" s="181"/>
      <c r="AQ71" s="181"/>
      <c r="AR71" s="181"/>
      <c r="AS71" s="181"/>
    </row>
    <row r="72" spans="1:45" s="118" customFormat="1" ht="14.7" customHeight="1">
      <c r="A72" s="147"/>
      <c r="B72" s="147" t="s">
        <v>99</v>
      </c>
      <c r="C72" s="156">
        <v>92</v>
      </c>
      <c r="D72" s="156">
        <v>71</v>
      </c>
      <c r="E72" s="156"/>
      <c r="F72" s="156"/>
      <c r="G72" s="156"/>
      <c r="H72" s="156"/>
      <c r="I72" s="156"/>
      <c r="J72" s="156"/>
      <c r="K72" s="156"/>
      <c r="L72" s="187"/>
      <c r="M72" s="187"/>
      <c r="N72" s="187"/>
      <c r="O72" s="189">
        <f t="shared" si="5"/>
        <v>163</v>
      </c>
      <c r="P72" s="117"/>
      <c r="Q72" s="117"/>
      <c r="R72" s="117"/>
      <c r="S72" s="117"/>
      <c r="T72" s="117"/>
      <c r="U72" s="117"/>
      <c r="V72" s="215"/>
      <c r="W72" s="117"/>
      <c r="X72" s="117"/>
      <c r="Y72" s="200"/>
      <c r="Z72" s="200"/>
      <c r="AA72" s="200"/>
      <c r="AB72" s="200"/>
      <c r="AC72" s="200"/>
      <c r="AD72" s="206"/>
      <c r="AE72" s="206"/>
      <c r="AF72" s="181"/>
      <c r="AG72" s="181"/>
      <c r="AI72" s="181"/>
      <c r="AP72" s="181"/>
      <c r="AQ72" s="181"/>
      <c r="AR72" s="181"/>
      <c r="AS72" s="181"/>
    </row>
    <row r="73" spans="1:45" s="118" customFormat="1" ht="14.7" customHeight="1">
      <c r="A73" s="147"/>
      <c r="B73" s="147" t="s">
        <v>100</v>
      </c>
      <c r="C73" s="156">
        <v>75</v>
      </c>
      <c r="D73" s="156">
        <v>71</v>
      </c>
      <c r="E73" s="156"/>
      <c r="F73" s="156"/>
      <c r="G73" s="156"/>
      <c r="H73" s="156"/>
      <c r="I73" s="156"/>
      <c r="J73" s="156"/>
      <c r="K73" s="156"/>
      <c r="L73" s="187"/>
      <c r="M73" s="187"/>
      <c r="N73" s="187"/>
      <c r="O73" s="189">
        <f t="shared" si="5"/>
        <v>146</v>
      </c>
      <c r="P73" s="117"/>
      <c r="Q73" s="117"/>
      <c r="R73" s="117"/>
      <c r="S73" s="117"/>
      <c r="T73" s="117"/>
      <c r="U73" s="117"/>
      <c r="V73" s="215"/>
      <c r="W73" s="117"/>
      <c r="X73" s="117"/>
      <c r="Y73" s="200"/>
      <c r="Z73" s="200"/>
      <c r="AA73" s="200"/>
      <c r="AB73" s="200"/>
      <c r="AC73" s="200"/>
      <c r="AD73" s="206"/>
      <c r="AE73" s="206"/>
      <c r="AF73" s="181"/>
      <c r="AG73" s="181"/>
      <c r="AI73" s="181"/>
      <c r="AP73" s="181"/>
      <c r="AQ73" s="181"/>
      <c r="AR73" s="181"/>
      <c r="AS73" s="181"/>
    </row>
    <row r="74" spans="1:45" s="118" customFormat="1" ht="14.7" customHeight="1">
      <c r="A74" s="147"/>
      <c r="B74" s="147" t="s">
        <v>102</v>
      </c>
      <c r="C74" s="156">
        <v>269</v>
      </c>
      <c r="D74" s="156">
        <v>201</v>
      </c>
      <c r="E74" s="156"/>
      <c r="F74" s="156"/>
      <c r="G74" s="156"/>
      <c r="H74" s="156"/>
      <c r="I74" s="156"/>
      <c r="J74" s="156"/>
      <c r="K74" s="156"/>
      <c r="L74" s="187"/>
      <c r="M74" s="187"/>
      <c r="N74" s="187"/>
      <c r="O74" s="189">
        <f t="shared" si="5"/>
        <v>470</v>
      </c>
      <c r="P74" s="117"/>
      <c r="Q74" s="117"/>
      <c r="R74" s="117"/>
      <c r="S74" s="117"/>
      <c r="T74" s="117"/>
      <c r="U74" s="117"/>
      <c r="V74" s="215"/>
      <c r="W74" s="117"/>
      <c r="X74" s="117"/>
      <c r="Y74" s="200"/>
      <c r="Z74" s="200"/>
      <c r="AA74" s="200"/>
      <c r="AB74" s="200"/>
      <c r="AC74" s="200"/>
      <c r="AD74" s="206"/>
      <c r="AE74" s="206"/>
      <c r="AF74" s="181"/>
      <c r="AG74" s="181"/>
      <c r="AI74" s="181"/>
      <c r="AP74" s="181"/>
      <c r="AQ74" s="181"/>
      <c r="AR74" s="181"/>
      <c r="AS74" s="181"/>
    </row>
    <row r="75" spans="1:45" s="118" customFormat="1" ht="14.7" customHeight="1">
      <c r="A75" s="158" t="s">
        <v>120</v>
      </c>
      <c r="B75" s="158" t="s">
        <v>19</v>
      </c>
      <c r="C75" s="159">
        <f t="shared" ref="C75:N75" si="13">SUM(C76:C78)</f>
        <v>901</v>
      </c>
      <c r="D75" s="159">
        <f t="shared" si="13"/>
        <v>728</v>
      </c>
      <c r="E75" s="159">
        <f t="shared" si="13"/>
        <v>0</v>
      </c>
      <c r="F75" s="159">
        <f t="shared" si="13"/>
        <v>0</v>
      </c>
      <c r="G75" s="159">
        <f t="shared" si="13"/>
        <v>0</v>
      </c>
      <c r="H75" s="159">
        <f t="shared" si="13"/>
        <v>0</v>
      </c>
      <c r="I75" s="159">
        <f t="shared" si="13"/>
        <v>0</v>
      </c>
      <c r="J75" s="159">
        <f t="shared" si="13"/>
        <v>0</v>
      </c>
      <c r="K75" s="159">
        <f t="shared" si="13"/>
        <v>0</v>
      </c>
      <c r="L75" s="159">
        <f t="shared" si="13"/>
        <v>0</v>
      </c>
      <c r="M75" s="159">
        <f t="shared" si="13"/>
        <v>0</v>
      </c>
      <c r="N75" s="159">
        <f t="shared" si="13"/>
        <v>0</v>
      </c>
      <c r="O75" s="159">
        <f t="shared" si="5"/>
        <v>1629</v>
      </c>
      <c r="P75" s="117"/>
      <c r="Q75" s="117"/>
      <c r="R75" s="117"/>
      <c r="S75" s="117"/>
      <c r="T75" s="117"/>
      <c r="U75" s="117"/>
      <c r="V75" s="215"/>
      <c r="W75" s="117"/>
      <c r="X75" s="117"/>
      <c r="Y75" s="200"/>
      <c r="Z75" s="200"/>
      <c r="AA75" s="200"/>
      <c r="AB75" s="200"/>
      <c r="AC75" s="200"/>
      <c r="AD75" s="206"/>
      <c r="AE75" s="206"/>
      <c r="AF75" s="181"/>
      <c r="AG75" s="181"/>
      <c r="AI75" s="181"/>
      <c r="AP75" s="181"/>
      <c r="AQ75" s="181"/>
      <c r="AR75" s="181"/>
      <c r="AS75" s="181"/>
    </row>
    <row r="76" spans="1:45" s="118" customFormat="1" ht="14.7" customHeight="1">
      <c r="A76" s="147"/>
      <c r="B76" s="147" t="s">
        <v>99</v>
      </c>
      <c r="C76" s="156">
        <v>546</v>
      </c>
      <c r="D76" s="156">
        <v>448</v>
      </c>
      <c r="E76" s="156"/>
      <c r="F76" s="156"/>
      <c r="G76" s="156"/>
      <c r="H76" s="156"/>
      <c r="I76" s="156"/>
      <c r="J76" s="156"/>
      <c r="K76" s="156"/>
      <c r="L76" s="187"/>
      <c r="M76" s="187"/>
      <c r="N76" s="187"/>
      <c r="O76" s="189">
        <f t="shared" si="5"/>
        <v>994</v>
      </c>
      <c r="P76" s="117"/>
      <c r="Q76" s="117"/>
      <c r="R76" s="117"/>
      <c r="S76" s="117"/>
      <c r="T76" s="117"/>
      <c r="U76" s="117"/>
      <c r="V76" s="215"/>
      <c r="W76" s="117"/>
      <c r="X76" s="117"/>
      <c r="Y76" s="200"/>
      <c r="Z76" s="200"/>
      <c r="AA76" s="200"/>
      <c r="AB76" s="200"/>
      <c r="AC76" s="200"/>
      <c r="AD76" s="206"/>
      <c r="AE76" s="206"/>
      <c r="AF76" s="181"/>
      <c r="AG76" s="181"/>
      <c r="AI76" s="181"/>
      <c r="AP76" s="181"/>
      <c r="AQ76" s="181"/>
      <c r="AR76" s="181"/>
      <c r="AS76" s="181"/>
    </row>
    <row r="77" spans="1:45" s="118" customFormat="1" ht="14.7" customHeight="1">
      <c r="A77" s="147"/>
      <c r="B77" s="147" t="s">
        <v>100</v>
      </c>
      <c r="C77" s="156">
        <v>257</v>
      </c>
      <c r="D77" s="156">
        <v>200</v>
      </c>
      <c r="E77" s="156"/>
      <c r="F77" s="156"/>
      <c r="G77" s="156"/>
      <c r="H77" s="156"/>
      <c r="I77" s="156"/>
      <c r="J77" s="156"/>
      <c r="K77" s="156"/>
      <c r="L77" s="187"/>
      <c r="M77" s="187"/>
      <c r="N77" s="187"/>
      <c r="O77" s="189">
        <f t="shared" si="5"/>
        <v>457</v>
      </c>
      <c r="P77" s="117"/>
      <c r="Q77" s="117"/>
      <c r="R77" s="117"/>
      <c r="S77" s="117"/>
      <c r="T77" s="117"/>
      <c r="U77" s="117"/>
      <c r="V77" s="215"/>
      <c r="W77" s="117"/>
      <c r="X77" s="117"/>
      <c r="Y77" s="200"/>
      <c r="Z77" s="200"/>
      <c r="AA77" s="200"/>
      <c r="AB77" s="200"/>
      <c r="AC77" s="200"/>
      <c r="AD77" s="206"/>
      <c r="AE77" s="206"/>
      <c r="AF77" s="181"/>
      <c r="AG77" s="181"/>
      <c r="AI77" s="181"/>
      <c r="AP77" s="181"/>
      <c r="AQ77" s="181"/>
      <c r="AR77" s="181"/>
      <c r="AS77" s="181"/>
    </row>
    <row r="78" spans="1:45" s="118" customFormat="1" ht="14.7" customHeight="1">
      <c r="A78" s="147"/>
      <c r="B78" s="147" t="s">
        <v>102</v>
      </c>
      <c r="C78" s="156">
        <v>98</v>
      </c>
      <c r="D78" s="156">
        <v>80</v>
      </c>
      <c r="E78" s="156"/>
      <c r="F78" s="156"/>
      <c r="G78" s="156"/>
      <c r="H78" s="156"/>
      <c r="I78" s="156"/>
      <c r="J78" s="156"/>
      <c r="K78" s="156"/>
      <c r="L78" s="187"/>
      <c r="M78" s="187"/>
      <c r="N78" s="187"/>
      <c r="O78" s="189">
        <f t="shared" si="5"/>
        <v>178</v>
      </c>
      <c r="P78" s="117"/>
      <c r="Q78" s="117"/>
      <c r="R78" s="117"/>
      <c r="S78" s="117"/>
      <c r="T78" s="117"/>
      <c r="U78" s="117"/>
      <c r="V78" s="215"/>
      <c r="W78" s="117"/>
      <c r="X78" s="117"/>
      <c r="Y78" s="200"/>
      <c r="Z78" s="200"/>
      <c r="AA78" s="200"/>
      <c r="AB78" s="200"/>
      <c r="AC78" s="200"/>
      <c r="AD78" s="206"/>
      <c r="AE78" s="206"/>
      <c r="AF78" s="181"/>
      <c r="AG78" s="181"/>
      <c r="AI78" s="181"/>
      <c r="AP78" s="181"/>
      <c r="AQ78" s="181"/>
      <c r="AR78" s="181"/>
      <c r="AS78" s="181"/>
    </row>
    <row r="79" spans="1:45" s="118" customFormat="1" ht="14.7" customHeight="1">
      <c r="A79" s="158" t="s">
        <v>121</v>
      </c>
      <c r="B79" s="158" t="s">
        <v>19</v>
      </c>
      <c r="C79" s="159">
        <f t="shared" ref="C79:N79" si="14">SUM(C80:C82)</f>
        <v>284</v>
      </c>
      <c r="D79" s="159">
        <f t="shared" si="14"/>
        <v>1366</v>
      </c>
      <c r="E79" s="159">
        <f t="shared" si="14"/>
        <v>0</v>
      </c>
      <c r="F79" s="159">
        <f t="shared" si="14"/>
        <v>0</v>
      </c>
      <c r="G79" s="159">
        <f t="shared" si="14"/>
        <v>0</v>
      </c>
      <c r="H79" s="159">
        <f t="shared" si="14"/>
        <v>0</v>
      </c>
      <c r="I79" s="159">
        <f t="shared" si="14"/>
        <v>0</v>
      </c>
      <c r="J79" s="159">
        <f t="shared" si="14"/>
        <v>0</v>
      </c>
      <c r="K79" s="159">
        <f t="shared" si="14"/>
        <v>0</v>
      </c>
      <c r="L79" s="159">
        <f t="shared" si="14"/>
        <v>0</v>
      </c>
      <c r="M79" s="159">
        <f t="shared" si="14"/>
        <v>0</v>
      </c>
      <c r="N79" s="159">
        <f t="shared" si="14"/>
        <v>0</v>
      </c>
      <c r="O79" s="159">
        <f t="shared" si="5"/>
        <v>1650</v>
      </c>
      <c r="P79" s="117"/>
      <c r="Q79" s="117"/>
      <c r="R79" s="117"/>
      <c r="S79" s="117"/>
      <c r="T79" s="117"/>
      <c r="U79" s="117"/>
      <c r="V79" s="215"/>
      <c r="W79" s="117"/>
      <c r="X79" s="117"/>
      <c r="Y79" s="200"/>
      <c r="Z79" s="200"/>
      <c r="AA79" s="200"/>
      <c r="AB79" s="200"/>
      <c r="AC79" s="200"/>
      <c r="AD79" s="206"/>
      <c r="AE79" s="206"/>
      <c r="AF79" s="181"/>
      <c r="AG79" s="181"/>
      <c r="AI79" s="181"/>
      <c r="AP79" s="181"/>
      <c r="AQ79" s="181"/>
      <c r="AR79" s="181"/>
      <c r="AS79" s="181"/>
    </row>
    <row r="80" spans="1:45" s="118" customFormat="1" ht="14.7" customHeight="1">
      <c r="A80" s="147"/>
      <c r="B80" s="147" t="s">
        <v>99</v>
      </c>
      <c r="C80" s="156">
        <v>74</v>
      </c>
      <c r="D80" s="156">
        <v>344</v>
      </c>
      <c r="E80" s="156"/>
      <c r="F80" s="156"/>
      <c r="G80" s="156"/>
      <c r="H80" s="156"/>
      <c r="I80" s="156"/>
      <c r="J80" s="156"/>
      <c r="K80" s="156"/>
      <c r="L80" s="187"/>
      <c r="M80" s="187"/>
      <c r="N80" s="187"/>
      <c r="O80" s="189">
        <f t="shared" si="5"/>
        <v>418</v>
      </c>
      <c r="P80" s="117"/>
      <c r="Q80" s="117"/>
      <c r="R80" s="117"/>
      <c r="S80" s="117"/>
      <c r="T80" s="117"/>
      <c r="U80" s="117"/>
      <c r="V80" s="215"/>
      <c r="W80" s="117"/>
      <c r="X80" s="117"/>
      <c r="Y80" s="200"/>
      <c r="Z80" s="200"/>
      <c r="AA80" s="200"/>
      <c r="AB80" s="200"/>
      <c r="AC80" s="200"/>
      <c r="AD80" s="206"/>
      <c r="AE80" s="206"/>
      <c r="AF80" s="181"/>
      <c r="AG80" s="181"/>
      <c r="AI80" s="181"/>
      <c r="AP80" s="181"/>
      <c r="AQ80" s="181"/>
      <c r="AR80" s="181"/>
      <c r="AS80" s="181"/>
    </row>
    <row r="81" spans="1:45" s="118" customFormat="1" ht="14.7" customHeight="1">
      <c r="A81" s="147"/>
      <c r="B81" s="147" t="s">
        <v>100</v>
      </c>
      <c r="C81" s="156">
        <v>101</v>
      </c>
      <c r="D81" s="156">
        <v>445</v>
      </c>
      <c r="E81" s="156"/>
      <c r="F81" s="156"/>
      <c r="G81" s="156"/>
      <c r="H81" s="156"/>
      <c r="I81" s="156"/>
      <c r="J81" s="156"/>
      <c r="K81" s="156"/>
      <c r="L81" s="187"/>
      <c r="M81" s="187"/>
      <c r="N81" s="187"/>
      <c r="O81" s="189">
        <f t="shared" si="5"/>
        <v>546</v>
      </c>
      <c r="P81" s="117"/>
      <c r="Q81" s="117"/>
      <c r="R81" s="117"/>
      <c r="S81" s="117"/>
      <c r="T81" s="117"/>
      <c r="U81" s="117"/>
      <c r="V81" s="215"/>
      <c r="W81" s="117"/>
      <c r="X81" s="117"/>
      <c r="Y81" s="200"/>
      <c r="Z81" s="200"/>
      <c r="AA81" s="200"/>
      <c r="AB81" s="200"/>
      <c r="AC81" s="200"/>
      <c r="AD81" s="206"/>
      <c r="AE81" s="206"/>
      <c r="AF81" s="181"/>
      <c r="AG81" s="181"/>
      <c r="AI81" s="181"/>
      <c r="AP81" s="181"/>
      <c r="AQ81" s="181"/>
      <c r="AR81" s="181"/>
      <c r="AS81" s="181"/>
    </row>
    <row r="82" spans="1:45" s="118" customFormat="1" ht="14.7" customHeight="1">
      <c r="A82" s="147"/>
      <c r="B82" s="147" t="s">
        <v>102</v>
      </c>
      <c r="C82" s="156">
        <v>109</v>
      </c>
      <c r="D82" s="156">
        <v>577</v>
      </c>
      <c r="E82" s="156"/>
      <c r="F82" s="156"/>
      <c r="G82" s="156"/>
      <c r="H82" s="156"/>
      <c r="I82" s="156"/>
      <c r="J82" s="156"/>
      <c r="K82" s="156"/>
      <c r="L82" s="187"/>
      <c r="M82" s="187"/>
      <c r="N82" s="187"/>
      <c r="O82" s="189">
        <f t="shared" si="5"/>
        <v>686</v>
      </c>
      <c r="P82" s="117"/>
      <c r="Q82" s="117"/>
      <c r="R82" s="117"/>
      <c r="S82" s="117"/>
      <c r="T82" s="117"/>
      <c r="U82" s="117"/>
      <c r="V82" s="215"/>
      <c r="W82" s="117"/>
      <c r="X82" s="117"/>
      <c r="Y82" s="200"/>
      <c r="Z82" s="200"/>
      <c r="AA82" s="200"/>
      <c r="AB82" s="200"/>
      <c r="AC82" s="200"/>
      <c r="AD82" s="206"/>
      <c r="AE82" s="206"/>
      <c r="AF82" s="181"/>
      <c r="AG82" s="181"/>
      <c r="AI82" s="181"/>
      <c r="AP82" s="181"/>
      <c r="AQ82" s="181"/>
      <c r="AR82" s="181"/>
      <c r="AS82" s="181"/>
    </row>
    <row r="83" spans="1:45" s="118" customFormat="1" ht="14.7" customHeight="1">
      <c r="A83" s="158" t="s">
        <v>78</v>
      </c>
      <c r="B83" s="158" t="s">
        <v>19</v>
      </c>
      <c r="C83" s="159">
        <f t="shared" ref="C83:N83" si="15">SUM(C84:C86)</f>
        <v>6</v>
      </c>
      <c r="D83" s="159">
        <f t="shared" si="15"/>
        <v>7</v>
      </c>
      <c r="E83" s="159">
        <f t="shared" si="15"/>
        <v>0</v>
      </c>
      <c r="F83" s="159">
        <f t="shared" si="15"/>
        <v>0</v>
      </c>
      <c r="G83" s="159">
        <f t="shared" si="15"/>
        <v>0</v>
      </c>
      <c r="H83" s="159">
        <f t="shared" si="15"/>
        <v>0</v>
      </c>
      <c r="I83" s="159">
        <f t="shared" si="15"/>
        <v>0</v>
      </c>
      <c r="J83" s="159">
        <f t="shared" si="15"/>
        <v>0</v>
      </c>
      <c r="K83" s="159">
        <f t="shared" si="15"/>
        <v>0</v>
      </c>
      <c r="L83" s="159">
        <f t="shared" si="15"/>
        <v>0</v>
      </c>
      <c r="M83" s="159">
        <f t="shared" si="15"/>
        <v>0</v>
      </c>
      <c r="N83" s="159">
        <f t="shared" si="15"/>
        <v>0</v>
      </c>
      <c r="O83" s="159">
        <f t="shared" si="5"/>
        <v>13</v>
      </c>
      <c r="P83" s="117"/>
      <c r="Q83" s="117"/>
      <c r="R83" s="117"/>
      <c r="S83" s="117"/>
      <c r="T83" s="117"/>
      <c r="U83" s="117"/>
      <c r="V83" s="215"/>
      <c r="W83" s="117"/>
      <c r="X83" s="117"/>
      <c r="Y83" s="200"/>
      <c r="Z83" s="200"/>
      <c r="AA83" s="200"/>
      <c r="AB83" s="200"/>
      <c r="AC83" s="200"/>
      <c r="AD83" s="206"/>
      <c r="AE83" s="206"/>
      <c r="AF83" s="181"/>
      <c r="AG83" s="181"/>
      <c r="AI83" s="181"/>
      <c r="AP83" s="181"/>
      <c r="AQ83" s="181"/>
      <c r="AR83" s="181"/>
      <c r="AS83" s="181"/>
    </row>
    <row r="84" spans="1:45" s="118" customFormat="1" ht="14.7" customHeight="1">
      <c r="A84" s="147"/>
      <c r="B84" s="147" t="s">
        <v>99</v>
      </c>
      <c r="C84" s="156">
        <v>1</v>
      </c>
      <c r="D84" s="156">
        <v>2</v>
      </c>
      <c r="E84" s="156"/>
      <c r="F84" s="156"/>
      <c r="G84" s="156"/>
      <c r="H84" s="156"/>
      <c r="I84" s="156"/>
      <c r="J84" s="156"/>
      <c r="K84" s="156"/>
      <c r="L84" s="187"/>
      <c r="M84" s="187"/>
      <c r="N84" s="187"/>
      <c r="O84" s="189">
        <f t="shared" si="5"/>
        <v>3</v>
      </c>
      <c r="P84" s="117"/>
      <c r="Q84" s="117"/>
      <c r="R84" s="117"/>
      <c r="S84" s="117"/>
      <c r="T84" s="117"/>
      <c r="U84" s="117"/>
      <c r="V84" s="215"/>
      <c r="W84" s="117"/>
      <c r="X84" s="117"/>
      <c r="Y84" s="200"/>
      <c r="Z84" s="200"/>
      <c r="AA84" s="200"/>
      <c r="AB84" s="200"/>
      <c r="AC84" s="200"/>
      <c r="AD84" s="206"/>
      <c r="AE84" s="206"/>
      <c r="AF84" s="181"/>
      <c r="AG84" s="181"/>
      <c r="AI84" s="181"/>
      <c r="AP84" s="181"/>
      <c r="AQ84" s="181"/>
      <c r="AR84" s="181"/>
      <c r="AS84" s="181"/>
    </row>
    <row r="85" spans="1:45" s="118" customFormat="1" ht="14.7" customHeight="1">
      <c r="A85" s="147"/>
      <c r="B85" s="147" t="s">
        <v>100</v>
      </c>
      <c r="C85" s="156">
        <v>0</v>
      </c>
      <c r="D85" s="156">
        <v>1</v>
      </c>
      <c r="E85" s="156"/>
      <c r="F85" s="156"/>
      <c r="G85" s="156"/>
      <c r="H85" s="156"/>
      <c r="I85" s="156"/>
      <c r="J85" s="156"/>
      <c r="K85" s="156"/>
      <c r="L85" s="187"/>
      <c r="M85" s="187"/>
      <c r="N85" s="187"/>
      <c r="O85" s="189">
        <f t="shared" si="5"/>
        <v>1</v>
      </c>
      <c r="P85" s="117"/>
      <c r="Q85" s="117"/>
      <c r="R85" s="117"/>
      <c r="S85" s="117"/>
      <c r="T85" s="117"/>
      <c r="U85" s="117"/>
      <c r="V85" s="215"/>
      <c r="W85" s="117"/>
      <c r="X85" s="117"/>
      <c r="Y85" s="200"/>
      <c r="Z85" s="200"/>
      <c r="AA85" s="200"/>
      <c r="AB85" s="200"/>
      <c r="AC85" s="200"/>
      <c r="AD85" s="206"/>
      <c r="AE85" s="206"/>
      <c r="AF85" s="181"/>
      <c r="AG85" s="181"/>
      <c r="AI85" s="181"/>
      <c r="AP85" s="181"/>
      <c r="AQ85" s="181"/>
      <c r="AR85" s="181"/>
      <c r="AS85" s="181"/>
    </row>
    <row r="86" spans="1:45" s="118" customFormat="1" ht="14.7" customHeight="1">
      <c r="A86" s="147"/>
      <c r="B86" s="147" t="s">
        <v>102</v>
      </c>
      <c r="C86" s="156">
        <v>5</v>
      </c>
      <c r="D86" s="156">
        <v>4</v>
      </c>
      <c r="E86" s="156"/>
      <c r="F86" s="156"/>
      <c r="G86" s="156"/>
      <c r="H86" s="156"/>
      <c r="I86" s="156"/>
      <c r="J86" s="156"/>
      <c r="K86" s="156"/>
      <c r="L86" s="187"/>
      <c r="M86" s="187"/>
      <c r="N86" s="187"/>
      <c r="O86" s="189">
        <f t="shared" si="5"/>
        <v>9</v>
      </c>
      <c r="P86" s="117"/>
      <c r="Q86" s="117"/>
      <c r="R86" s="117"/>
      <c r="S86" s="117"/>
      <c r="T86" s="117"/>
      <c r="U86" s="117"/>
      <c r="V86" s="215"/>
      <c r="W86" s="117"/>
      <c r="X86" s="117"/>
      <c r="Y86" s="200"/>
      <c r="Z86" s="200"/>
      <c r="AA86" s="200"/>
      <c r="AB86" s="200"/>
      <c r="AC86" s="200"/>
      <c r="AD86" s="206"/>
      <c r="AE86" s="206"/>
      <c r="AF86" s="181"/>
      <c r="AG86" s="181"/>
      <c r="AI86" s="181"/>
      <c r="AP86" s="181"/>
      <c r="AQ86" s="181"/>
      <c r="AR86" s="181"/>
      <c r="AS86" s="181"/>
    </row>
    <row r="87" spans="1:45" s="118" customFormat="1" ht="12">
      <c r="A87" s="148"/>
      <c r="E87" s="117"/>
      <c r="F87" s="117"/>
      <c r="G87" s="117"/>
      <c r="Q87" s="117"/>
      <c r="R87" s="176"/>
      <c r="S87" s="176"/>
      <c r="T87" s="197"/>
      <c r="U87" s="197"/>
      <c r="V87" s="234"/>
      <c r="W87" s="176"/>
      <c r="X87" s="197"/>
      <c r="Y87" s="197"/>
      <c r="Z87" s="176"/>
      <c r="AA87" s="176"/>
      <c r="AB87" s="176"/>
      <c r="AC87" s="202"/>
      <c r="AD87" s="202"/>
      <c r="AE87" s="202"/>
      <c r="AF87" s="202"/>
      <c r="AQ87" s="181"/>
      <c r="AS87" s="181"/>
    </row>
    <row r="88" spans="1:45" s="117" customFormat="1" ht="18" customHeight="1">
      <c r="A88" s="398"/>
      <c r="B88" s="399"/>
      <c r="C88" s="399"/>
      <c r="D88" s="399"/>
      <c r="E88" s="399"/>
      <c r="F88" s="399"/>
      <c r="G88" s="399"/>
      <c r="H88" s="399"/>
      <c r="I88" s="399"/>
      <c r="J88" s="399"/>
      <c r="K88" s="399"/>
      <c r="L88" s="399"/>
      <c r="M88" s="399"/>
      <c r="N88" s="399"/>
      <c r="O88" s="399"/>
      <c r="P88" s="399"/>
      <c r="Q88" s="399"/>
      <c r="R88" s="399"/>
      <c r="S88" s="399"/>
      <c r="T88" s="399"/>
      <c r="U88" s="399"/>
      <c r="V88" s="400"/>
      <c r="W88" s="176"/>
      <c r="X88" s="176"/>
      <c r="Y88" s="176"/>
      <c r="Z88" s="176"/>
    </row>
    <row r="89" spans="1:45" s="118" customFormat="1" ht="12">
      <c r="A89" s="148"/>
      <c r="F89" s="117"/>
      <c r="G89" s="117"/>
      <c r="H89" s="117"/>
      <c r="K89" s="117"/>
      <c r="L89" s="176"/>
      <c r="M89" s="176"/>
      <c r="N89" s="176"/>
      <c r="O89" s="176"/>
      <c r="P89" s="176"/>
      <c r="Q89" s="176"/>
      <c r="R89" s="176"/>
      <c r="S89" s="176"/>
      <c r="T89" s="176"/>
      <c r="U89" s="176"/>
      <c r="V89" s="208"/>
      <c r="W89" s="202"/>
      <c r="X89" s="202"/>
      <c r="Y89" s="202"/>
      <c r="Z89" s="202"/>
    </row>
    <row r="90" spans="1:45" s="118" customFormat="1" ht="23.25" customHeight="1">
      <c r="A90" s="401" t="s">
        <v>122</v>
      </c>
      <c r="B90" s="402"/>
      <c r="C90" s="402"/>
      <c r="D90" s="402"/>
      <c r="E90" s="402"/>
      <c r="F90" s="402"/>
      <c r="G90" s="402"/>
      <c r="H90" s="402"/>
      <c r="I90" s="402"/>
      <c r="J90" s="402"/>
      <c r="K90" s="402"/>
      <c r="L90" s="402"/>
      <c r="M90" s="402"/>
      <c r="N90" s="402"/>
      <c r="O90" s="176"/>
      <c r="P90" s="176"/>
      <c r="Q90" s="184"/>
      <c r="R90" s="184"/>
      <c r="S90" s="184"/>
      <c r="T90" s="184"/>
      <c r="U90" s="184"/>
      <c r="V90" s="235"/>
      <c r="W90" s="203"/>
      <c r="X90" s="203"/>
      <c r="Y90" s="203"/>
      <c r="Z90" s="203"/>
      <c r="AA90" s="182"/>
      <c r="AB90" s="182"/>
    </row>
    <row r="91" spans="1:45" s="118" customFormat="1" ht="22.5" customHeight="1">
      <c r="A91" s="131" t="s">
        <v>86</v>
      </c>
      <c r="B91" s="131" t="s">
        <v>87</v>
      </c>
      <c r="C91" s="131" t="s">
        <v>88</v>
      </c>
      <c r="D91" s="131" t="s">
        <v>89</v>
      </c>
      <c r="E91" s="131" t="s">
        <v>90</v>
      </c>
      <c r="F91" s="131" t="s">
        <v>91</v>
      </c>
      <c r="G91" s="131" t="s">
        <v>92</v>
      </c>
      <c r="H91" s="131" t="s">
        <v>93</v>
      </c>
      <c r="I91" s="131" t="s">
        <v>94</v>
      </c>
      <c r="J91" s="131" t="s">
        <v>95</v>
      </c>
      <c r="K91" s="131" t="s">
        <v>96</v>
      </c>
      <c r="L91" s="131" t="s">
        <v>97</v>
      </c>
      <c r="M91" s="131" t="s">
        <v>98</v>
      </c>
      <c r="N91" s="131" t="s">
        <v>123</v>
      </c>
      <c r="O91" s="176"/>
      <c r="P91" s="184"/>
      <c r="Q91" s="184"/>
      <c r="R91" s="184"/>
      <c r="S91" s="184"/>
      <c r="T91" s="184"/>
      <c r="U91" s="184"/>
      <c r="V91" s="235"/>
      <c r="W91" s="203"/>
      <c r="X91" s="203"/>
      <c r="Y91" s="203"/>
      <c r="Z91" s="203"/>
      <c r="AA91" s="182"/>
      <c r="AB91" s="182"/>
      <c r="AC91" s="182"/>
      <c r="AD91" s="182"/>
      <c r="AE91" s="182"/>
      <c r="AF91" s="182"/>
    </row>
    <row r="92" spans="1:45" s="118" customFormat="1" ht="12">
      <c r="A92" s="220" t="s">
        <v>124</v>
      </c>
      <c r="B92" s="221">
        <v>12615.580645161301</v>
      </c>
      <c r="C92" s="222">
        <v>11932.620689655199</v>
      </c>
      <c r="D92" s="223">
        <v>0</v>
      </c>
      <c r="E92" s="222">
        <v>0</v>
      </c>
      <c r="F92" s="223">
        <v>0</v>
      </c>
      <c r="G92" s="222">
        <v>0</v>
      </c>
      <c r="H92" s="222">
        <v>0</v>
      </c>
      <c r="I92" s="223">
        <v>0</v>
      </c>
      <c r="J92" s="222">
        <v>0</v>
      </c>
      <c r="K92" s="223">
        <v>0</v>
      </c>
      <c r="L92" s="223">
        <v>0</v>
      </c>
      <c r="M92" s="222">
        <v>0</v>
      </c>
      <c r="N92" s="223">
        <v>12285.483333333301</v>
      </c>
      <c r="O92" s="232"/>
      <c r="P92" s="233"/>
      <c r="Q92" s="233"/>
      <c r="R92" s="233"/>
      <c r="S92" s="233"/>
      <c r="T92" s="233"/>
      <c r="U92" s="233"/>
      <c r="V92" s="236"/>
      <c r="W92" s="237"/>
      <c r="X92" s="237"/>
      <c r="Y92" s="237"/>
      <c r="Z92" s="237"/>
      <c r="AA92" s="239"/>
      <c r="AB92" s="239"/>
    </row>
    <row r="93" spans="1:45" s="118" customFormat="1" ht="12">
      <c r="A93" s="224" t="s">
        <v>99</v>
      </c>
      <c r="B93" s="175">
        <v>1046.7419354838701</v>
      </c>
      <c r="C93" s="225">
        <v>990.34482758620697</v>
      </c>
      <c r="D93" s="225">
        <v>0</v>
      </c>
      <c r="E93" s="225">
        <v>0</v>
      </c>
      <c r="F93" s="225">
        <v>0</v>
      </c>
      <c r="G93" s="225">
        <v>0</v>
      </c>
      <c r="H93" s="225">
        <v>0</v>
      </c>
      <c r="I93" s="225">
        <v>0</v>
      </c>
      <c r="J93" s="225">
        <v>0</v>
      </c>
      <c r="K93" s="225">
        <v>0</v>
      </c>
      <c r="L93" s="225">
        <v>0</v>
      </c>
      <c r="M93" s="225">
        <v>0</v>
      </c>
      <c r="N93" s="225">
        <v>1019.4833333333301</v>
      </c>
      <c r="O93" s="176"/>
      <c r="P93" s="233"/>
      <c r="Q93" s="233"/>
      <c r="R93" s="233"/>
      <c r="S93" s="233"/>
      <c r="T93" s="233"/>
      <c r="U93" s="197"/>
      <c r="V93" s="236"/>
      <c r="W93" s="237"/>
      <c r="X93" s="237"/>
      <c r="Y93" s="237"/>
      <c r="Z93" s="237"/>
      <c r="AA93" s="239"/>
      <c r="AB93" s="239"/>
      <c r="AC93" s="239"/>
      <c r="AD93" s="239"/>
      <c r="AE93" s="239"/>
      <c r="AF93" s="239"/>
      <c r="AG93" s="239"/>
    </row>
    <row r="94" spans="1:45" s="118" customFormat="1" ht="12">
      <c r="A94" s="226" t="s">
        <v>100</v>
      </c>
      <c r="B94" s="175">
        <v>1188.9354838709701</v>
      </c>
      <c r="C94" s="225">
        <v>1359.96551724138</v>
      </c>
      <c r="D94" s="225">
        <v>0</v>
      </c>
      <c r="E94" s="225">
        <v>0</v>
      </c>
      <c r="F94" s="225">
        <v>0</v>
      </c>
      <c r="G94" s="225">
        <v>0</v>
      </c>
      <c r="H94" s="225">
        <v>0</v>
      </c>
      <c r="I94" s="225">
        <v>0</v>
      </c>
      <c r="J94" s="225">
        <v>0</v>
      </c>
      <c r="K94" s="225">
        <v>0</v>
      </c>
      <c r="L94" s="225">
        <v>0</v>
      </c>
      <c r="M94" s="225">
        <v>0</v>
      </c>
      <c r="N94" s="225">
        <v>1271.5999999999999</v>
      </c>
      <c r="O94" s="176"/>
      <c r="P94" s="184"/>
      <c r="Q94" s="184"/>
      <c r="R94" s="184"/>
      <c r="S94" s="184"/>
      <c r="T94" s="184"/>
      <c r="U94" s="184"/>
      <c r="V94" s="235"/>
      <c r="W94" s="203"/>
      <c r="X94" s="203"/>
      <c r="Y94" s="203"/>
      <c r="Z94" s="203"/>
      <c r="AA94" s="239"/>
      <c r="AB94" s="239"/>
      <c r="AC94" s="239"/>
      <c r="AG94" s="239"/>
    </row>
    <row r="95" spans="1:45" s="121" customFormat="1" ht="12">
      <c r="A95" s="226" t="s">
        <v>102</v>
      </c>
      <c r="B95" s="175">
        <v>10379.9032258065</v>
      </c>
      <c r="C95" s="225">
        <v>9582.3103448275906</v>
      </c>
      <c r="D95" s="225">
        <v>0</v>
      </c>
      <c r="E95" s="225">
        <v>0</v>
      </c>
      <c r="F95" s="225">
        <v>0</v>
      </c>
      <c r="G95" s="225">
        <v>0</v>
      </c>
      <c r="H95" s="225">
        <v>0</v>
      </c>
      <c r="I95" s="225">
        <v>0</v>
      </c>
      <c r="J95" s="225">
        <v>0</v>
      </c>
      <c r="K95" s="225">
        <v>0</v>
      </c>
      <c r="L95" s="225">
        <v>0</v>
      </c>
      <c r="M95" s="225">
        <v>0</v>
      </c>
      <c r="N95" s="225">
        <v>9994.4</v>
      </c>
      <c r="O95" s="233"/>
      <c r="P95" s="233"/>
      <c r="Q95" s="233"/>
      <c r="R95" s="233"/>
      <c r="S95" s="233"/>
      <c r="T95" s="233"/>
      <c r="U95" s="233"/>
      <c r="V95" s="236"/>
      <c r="W95" s="238"/>
      <c r="X95" s="238"/>
      <c r="Y95" s="238"/>
      <c r="Z95" s="238"/>
      <c r="AA95" s="238"/>
      <c r="AB95" s="238"/>
      <c r="AC95" s="238"/>
      <c r="AD95" s="238"/>
      <c r="AE95" s="238"/>
      <c r="AF95" s="238"/>
      <c r="AG95" s="238"/>
    </row>
    <row r="96" spans="1:45" s="118" customFormat="1" ht="12">
      <c r="A96" s="220" t="s">
        <v>125</v>
      </c>
      <c r="B96" s="221">
        <v>50596.7419354839</v>
      </c>
      <c r="C96" s="222">
        <v>54735.793103448297</v>
      </c>
      <c r="D96" s="223">
        <v>0</v>
      </c>
      <c r="E96" s="222">
        <v>0</v>
      </c>
      <c r="F96" s="223">
        <v>0</v>
      </c>
      <c r="G96" s="222">
        <v>0</v>
      </c>
      <c r="H96" s="222">
        <v>0</v>
      </c>
      <c r="I96" s="223">
        <v>0</v>
      </c>
      <c r="J96" s="222">
        <v>0</v>
      </c>
      <c r="K96" s="223">
        <v>0</v>
      </c>
      <c r="L96" s="223">
        <v>0</v>
      </c>
      <c r="M96" s="222">
        <v>0</v>
      </c>
      <c r="N96" s="223">
        <v>52597.283333333296</v>
      </c>
      <c r="O96" s="176"/>
      <c r="P96" s="233"/>
      <c r="Q96" s="233"/>
      <c r="R96" s="233"/>
      <c r="S96" s="233"/>
      <c r="T96" s="233"/>
      <c r="U96" s="233"/>
      <c r="V96" s="236"/>
      <c r="W96" s="239"/>
      <c r="X96" s="239"/>
      <c r="Y96" s="239"/>
      <c r="Z96" s="239"/>
      <c r="AA96" s="239"/>
      <c r="AB96" s="239"/>
      <c r="AC96" s="239"/>
      <c r="AD96" s="239"/>
      <c r="AE96" s="239"/>
      <c r="AF96" s="239"/>
      <c r="AG96" s="239"/>
    </row>
    <row r="97" spans="1:34" s="118" customFormat="1" ht="12">
      <c r="A97" s="224" t="s">
        <v>99</v>
      </c>
      <c r="B97" s="175">
        <v>16400.677419354801</v>
      </c>
      <c r="C97" s="225">
        <v>16672.241379310301</v>
      </c>
      <c r="D97" s="225">
        <v>0</v>
      </c>
      <c r="E97" s="225">
        <v>0</v>
      </c>
      <c r="F97" s="225">
        <v>0</v>
      </c>
      <c r="G97" s="225">
        <v>0</v>
      </c>
      <c r="H97" s="225">
        <v>0</v>
      </c>
      <c r="I97" s="225">
        <v>0</v>
      </c>
      <c r="J97" s="225">
        <v>0</v>
      </c>
      <c r="K97" s="225">
        <v>0</v>
      </c>
      <c r="L97" s="225">
        <v>0</v>
      </c>
      <c r="M97" s="225">
        <v>0</v>
      </c>
      <c r="N97" s="225">
        <v>16531.933333333302</v>
      </c>
      <c r="O97" s="176"/>
      <c r="P97" s="233"/>
      <c r="Q97" s="233"/>
      <c r="R97" s="233"/>
      <c r="S97" s="233"/>
      <c r="T97" s="233"/>
      <c r="U97" s="233"/>
      <c r="V97" s="236"/>
      <c r="W97" s="239"/>
      <c r="X97" s="239"/>
      <c r="Y97" s="239"/>
      <c r="Z97" s="239"/>
      <c r="AA97" s="239"/>
      <c r="AB97" s="239"/>
      <c r="AC97" s="181"/>
      <c r="AD97" s="239"/>
      <c r="AE97" s="239"/>
      <c r="AF97" s="239"/>
      <c r="AG97" s="239"/>
    </row>
    <row r="98" spans="1:34" s="118" customFormat="1" ht="12">
      <c r="A98" s="226" t="s">
        <v>100</v>
      </c>
      <c r="B98" s="175">
        <v>15459.2903225806</v>
      </c>
      <c r="C98" s="225">
        <v>16121.724137931</v>
      </c>
      <c r="D98" s="225">
        <v>0</v>
      </c>
      <c r="E98" s="225">
        <v>0</v>
      </c>
      <c r="F98" s="225">
        <v>0</v>
      </c>
      <c r="G98" s="225">
        <v>0</v>
      </c>
      <c r="H98" s="225">
        <v>0</v>
      </c>
      <c r="I98" s="225">
        <v>0</v>
      </c>
      <c r="J98" s="225">
        <v>0</v>
      </c>
      <c r="K98" s="225">
        <v>0</v>
      </c>
      <c r="L98" s="225">
        <v>0</v>
      </c>
      <c r="M98" s="225">
        <v>0</v>
      </c>
      <c r="N98" s="225">
        <v>15779.4666666667</v>
      </c>
      <c r="O98" s="176"/>
      <c r="P98" s="233"/>
      <c r="Q98" s="233"/>
      <c r="R98" s="233"/>
      <c r="S98" s="233"/>
      <c r="T98" s="197"/>
      <c r="U98" s="233"/>
      <c r="V98" s="236"/>
      <c r="W98" s="239"/>
      <c r="X98" s="239"/>
      <c r="Y98" s="239"/>
      <c r="Z98" s="239"/>
      <c r="AA98" s="239"/>
      <c r="AB98" s="239"/>
      <c r="AC98" s="239"/>
      <c r="AD98" s="239"/>
      <c r="AE98" s="239"/>
      <c r="AF98" s="239"/>
      <c r="AG98" s="239"/>
    </row>
    <row r="99" spans="1:34" s="118" customFormat="1" ht="12">
      <c r="A99" s="226" t="s">
        <v>102</v>
      </c>
      <c r="B99" s="225">
        <v>18736.774193548401</v>
      </c>
      <c r="C99" s="225">
        <v>21941.827586206899</v>
      </c>
      <c r="D99" s="225">
        <v>0</v>
      </c>
      <c r="E99" s="225">
        <v>0</v>
      </c>
      <c r="F99" s="225">
        <v>0</v>
      </c>
      <c r="G99" s="225">
        <v>0</v>
      </c>
      <c r="H99" s="225">
        <v>0</v>
      </c>
      <c r="I99" s="225">
        <v>0</v>
      </c>
      <c r="J99" s="225">
        <v>0</v>
      </c>
      <c r="K99" s="225">
        <v>0</v>
      </c>
      <c r="L99" s="225">
        <v>0</v>
      </c>
      <c r="M99" s="225">
        <v>0</v>
      </c>
      <c r="N99" s="225">
        <v>20285.883333333299</v>
      </c>
      <c r="O99" s="176"/>
      <c r="P99" s="233"/>
      <c r="Q99" s="233"/>
      <c r="R99" s="233"/>
      <c r="S99" s="233"/>
      <c r="T99" s="233"/>
      <c r="U99" s="233"/>
      <c r="V99" s="236"/>
      <c r="W99" s="239"/>
      <c r="X99" s="239"/>
      <c r="Y99" s="239"/>
      <c r="Z99" s="181"/>
      <c r="AA99" s="239"/>
      <c r="AB99" s="239"/>
      <c r="AC99" s="239"/>
      <c r="AD99" s="239"/>
      <c r="AG99" s="239"/>
    </row>
    <row r="100" spans="1:34" s="118" customFormat="1" ht="12">
      <c r="A100" s="220" t="s">
        <v>126</v>
      </c>
      <c r="B100" s="221">
        <v>63212.322580645203</v>
      </c>
      <c r="C100" s="222">
        <v>66668.413793103406</v>
      </c>
      <c r="D100" s="223">
        <v>0</v>
      </c>
      <c r="E100" s="222">
        <v>0</v>
      </c>
      <c r="F100" s="223">
        <v>0</v>
      </c>
      <c r="G100" s="222">
        <v>0</v>
      </c>
      <c r="H100" s="222">
        <v>0</v>
      </c>
      <c r="I100" s="223">
        <v>0</v>
      </c>
      <c r="J100" s="222">
        <v>0</v>
      </c>
      <c r="K100" s="223">
        <v>0</v>
      </c>
      <c r="L100" s="223">
        <v>0</v>
      </c>
      <c r="M100" s="222">
        <v>0</v>
      </c>
      <c r="N100" s="223">
        <v>64882.766666666699</v>
      </c>
      <c r="O100" s="176"/>
      <c r="P100" s="233"/>
      <c r="Q100" s="233"/>
      <c r="R100" s="233"/>
      <c r="S100" s="233"/>
      <c r="T100" s="233"/>
      <c r="U100" s="233"/>
      <c r="V100" s="236"/>
      <c r="W100" s="239"/>
      <c r="X100" s="239"/>
      <c r="Y100" s="239"/>
      <c r="Z100" s="239"/>
      <c r="AA100" s="239"/>
      <c r="AB100" s="239"/>
      <c r="AC100" s="239"/>
      <c r="AD100" s="239"/>
      <c r="AG100" s="239"/>
    </row>
    <row r="101" spans="1:34" s="118" customFormat="1" ht="12">
      <c r="A101" s="224" t="s">
        <v>99</v>
      </c>
      <c r="B101" s="175">
        <v>17447.419354838701</v>
      </c>
      <c r="C101" s="225">
        <v>17662.586206896602</v>
      </c>
      <c r="D101" s="225">
        <v>0</v>
      </c>
      <c r="E101" s="225">
        <v>0</v>
      </c>
      <c r="F101" s="225">
        <v>0</v>
      </c>
      <c r="G101" s="225">
        <v>0</v>
      </c>
      <c r="H101" s="225">
        <v>0</v>
      </c>
      <c r="I101" s="225">
        <v>0</v>
      </c>
      <c r="J101" s="225">
        <v>0</v>
      </c>
      <c r="K101" s="225">
        <v>0</v>
      </c>
      <c r="L101" s="225">
        <v>0</v>
      </c>
      <c r="M101" s="225">
        <v>0</v>
      </c>
      <c r="N101" s="225">
        <v>17551.416666666701</v>
      </c>
      <c r="O101" s="176"/>
      <c r="P101" s="233"/>
      <c r="Q101" s="233"/>
      <c r="R101" s="239"/>
      <c r="S101" s="233"/>
      <c r="T101" s="233"/>
      <c r="U101" s="233"/>
      <c r="V101" s="236"/>
      <c r="W101" s="239"/>
      <c r="X101" s="239"/>
      <c r="Y101" s="239"/>
      <c r="Z101" s="239"/>
      <c r="AA101" s="239"/>
      <c r="AB101" s="239"/>
    </row>
    <row r="102" spans="1:34" s="118" customFormat="1" ht="12">
      <c r="A102" s="226" t="s">
        <v>100</v>
      </c>
      <c r="B102" s="175">
        <v>16648.225806451599</v>
      </c>
      <c r="C102" s="225">
        <v>17481.689655172398</v>
      </c>
      <c r="D102" s="225">
        <v>0</v>
      </c>
      <c r="E102" s="225">
        <v>0</v>
      </c>
      <c r="F102" s="225">
        <v>0</v>
      </c>
      <c r="G102" s="225">
        <v>0</v>
      </c>
      <c r="H102" s="225">
        <v>0</v>
      </c>
      <c r="I102" s="225">
        <v>0</v>
      </c>
      <c r="J102" s="225">
        <v>0</v>
      </c>
      <c r="K102" s="225">
        <v>0</v>
      </c>
      <c r="L102" s="225">
        <v>0</v>
      </c>
      <c r="M102" s="225">
        <v>0</v>
      </c>
      <c r="N102" s="225">
        <v>17051.066666666698</v>
      </c>
      <c r="O102" s="176"/>
      <c r="P102" s="233"/>
      <c r="Q102" s="233"/>
      <c r="R102" s="197"/>
      <c r="S102" s="233"/>
      <c r="T102" s="233"/>
      <c r="U102" s="233"/>
      <c r="V102" s="236"/>
      <c r="W102" s="239"/>
      <c r="X102" s="239"/>
      <c r="Y102" s="239"/>
      <c r="Z102" s="239"/>
      <c r="AA102" s="239"/>
      <c r="AB102" s="239"/>
    </row>
    <row r="103" spans="1:34" s="118" customFormat="1" ht="12">
      <c r="A103" s="226" t="s">
        <v>102</v>
      </c>
      <c r="B103" s="175">
        <v>29116.677419354801</v>
      </c>
      <c r="C103" s="225">
        <v>31524.1379310345</v>
      </c>
      <c r="D103" s="225">
        <v>0</v>
      </c>
      <c r="E103" s="225">
        <v>0</v>
      </c>
      <c r="F103" s="225">
        <v>0</v>
      </c>
      <c r="G103" s="225">
        <v>0</v>
      </c>
      <c r="H103" s="225">
        <v>0</v>
      </c>
      <c r="I103" s="225">
        <v>0</v>
      </c>
      <c r="J103" s="225">
        <v>0</v>
      </c>
      <c r="K103" s="225">
        <v>0</v>
      </c>
      <c r="L103" s="225">
        <v>0</v>
      </c>
      <c r="M103" s="225">
        <v>0</v>
      </c>
      <c r="N103" s="225">
        <v>30280.2833333333</v>
      </c>
      <c r="O103" s="176"/>
      <c r="P103" s="233"/>
      <c r="Q103" s="233"/>
      <c r="R103" s="197"/>
      <c r="S103" s="197"/>
      <c r="T103" s="233"/>
      <c r="U103" s="233"/>
      <c r="V103" s="236"/>
      <c r="W103" s="239"/>
      <c r="X103" s="239"/>
      <c r="Y103" s="239"/>
      <c r="Z103" s="239"/>
      <c r="AA103" s="239"/>
      <c r="AB103" s="239"/>
    </row>
    <row r="104" spans="1:34" s="118" customFormat="1" ht="12">
      <c r="A104" s="148"/>
      <c r="F104" s="117"/>
      <c r="G104" s="117"/>
      <c r="H104" s="117"/>
      <c r="I104" s="117"/>
      <c r="J104" s="117"/>
      <c r="K104" s="117"/>
      <c r="L104" s="176"/>
      <c r="M104" s="176"/>
      <c r="N104" s="176"/>
      <c r="O104" s="176"/>
      <c r="P104" s="233"/>
      <c r="Q104" s="233"/>
      <c r="R104" s="233"/>
      <c r="S104" s="197"/>
      <c r="T104" s="233"/>
      <c r="U104" s="233"/>
      <c r="V104" s="236"/>
      <c r="W104" s="239"/>
      <c r="X104" s="239"/>
      <c r="Y104" s="239"/>
      <c r="Z104" s="239"/>
      <c r="AA104" s="239"/>
      <c r="AB104" s="239"/>
    </row>
    <row r="105" spans="1:34" s="118" customFormat="1" ht="12" customHeight="1">
      <c r="A105" s="403"/>
      <c r="B105" s="399"/>
      <c r="C105" s="399"/>
      <c r="D105" s="399"/>
      <c r="E105" s="399"/>
      <c r="F105" s="399"/>
      <c r="G105" s="399"/>
      <c r="H105" s="399"/>
      <c r="I105" s="399"/>
      <c r="J105" s="399"/>
      <c r="K105" s="399"/>
      <c r="L105" s="399"/>
      <c r="M105" s="399"/>
      <c r="N105" s="399"/>
      <c r="O105" s="399"/>
      <c r="P105" s="399"/>
      <c r="Q105" s="399"/>
      <c r="R105" s="399"/>
      <c r="S105" s="399"/>
      <c r="T105" s="399"/>
      <c r="U105" s="399"/>
      <c r="V105" s="404"/>
    </row>
    <row r="106" spans="1:34" s="118" customFormat="1" ht="12">
      <c r="A106" s="148"/>
      <c r="F106" s="117"/>
      <c r="G106" s="117"/>
      <c r="H106" s="117"/>
      <c r="I106" s="117"/>
      <c r="J106" s="117"/>
      <c r="K106" s="117"/>
      <c r="L106" s="176"/>
      <c r="M106" s="176"/>
      <c r="N106" s="176"/>
      <c r="O106" s="176"/>
      <c r="P106" s="176"/>
      <c r="Q106" s="176"/>
      <c r="R106" s="176"/>
      <c r="S106" s="176"/>
      <c r="T106" s="176"/>
      <c r="U106" s="176"/>
      <c r="V106" s="208"/>
      <c r="AA106" s="182"/>
      <c r="AB106" s="182"/>
      <c r="AC106" s="182"/>
      <c r="AD106" s="182"/>
      <c r="AE106" s="182"/>
      <c r="AF106" s="182"/>
      <c r="AG106" s="182"/>
    </row>
    <row r="107" spans="1:34" s="118" customFormat="1" ht="24.75" customHeight="1">
      <c r="A107" s="401" t="s">
        <v>127</v>
      </c>
      <c r="B107" s="402"/>
      <c r="C107" s="402"/>
      <c r="D107" s="402"/>
      <c r="E107" s="402"/>
      <c r="F107" s="402"/>
      <c r="G107" s="402"/>
      <c r="H107" s="402"/>
      <c r="I107" s="402"/>
      <c r="J107" s="402"/>
      <c r="K107" s="402"/>
      <c r="L107" s="402"/>
      <c r="M107" s="402"/>
      <c r="N107" s="402"/>
      <c r="O107" s="176"/>
      <c r="P107" s="176"/>
      <c r="Q107" s="184"/>
      <c r="R107" s="184"/>
      <c r="S107" s="184"/>
      <c r="T107" s="184"/>
      <c r="U107" s="184"/>
      <c r="V107" s="235"/>
      <c r="W107" s="182"/>
      <c r="X107" s="182"/>
      <c r="Y107" s="182"/>
      <c r="Z107" s="182"/>
      <c r="AA107" s="182"/>
      <c r="AB107" s="182"/>
    </row>
    <row r="108" spans="1:34" s="118" customFormat="1" ht="12">
      <c r="A108" s="131" t="s">
        <v>86</v>
      </c>
      <c r="B108" s="131" t="s">
        <v>87</v>
      </c>
      <c r="C108" s="131" t="s">
        <v>88</v>
      </c>
      <c r="D108" s="131" t="s">
        <v>89</v>
      </c>
      <c r="E108" s="131" t="s">
        <v>90</v>
      </c>
      <c r="F108" s="131" t="s">
        <v>91</v>
      </c>
      <c r="G108" s="131" t="s">
        <v>92</v>
      </c>
      <c r="H108" s="131" t="s">
        <v>93</v>
      </c>
      <c r="I108" s="131" t="s">
        <v>94</v>
      </c>
      <c r="J108" s="131" t="s">
        <v>95</v>
      </c>
      <c r="K108" s="131" t="s">
        <v>96</v>
      </c>
      <c r="L108" s="131" t="s">
        <v>97</v>
      </c>
      <c r="M108" s="131" t="s">
        <v>98</v>
      </c>
      <c r="N108" s="131" t="s">
        <v>123</v>
      </c>
      <c r="O108" s="176"/>
      <c r="P108" s="184"/>
      <c r="Q108" s="184"/>
      <c r="R108" s="184"/>
      <c r="S108" s="184"/>
      <c r="T108" s="184"/>
      <c r="U108" s="184"/>
      <c r="V108" s="235"/>
      <c r="W108" s="182"/>
      <c r="X108" s="182"/>
      <c r="Y108" s="182"/>
      <c r="Z108" s="182"/>
      <c r="AA108" s="182"/>
      <c r="AB108" s="182"/>
      <c r="AC108" s="239"/>
      <c r="AD108" s="239"/>
      <c r="AE108" s="239"/>
      <c r="AF108" s="239"/>
      <c r="AG108" s="239"/>
      <c r="AH108" s="239"/>
    </row>
    <row r="109" spans="1:34" s="118" customFormat="1" ht="12.75" customHeight="1">
      <c r="A109" s="220" t="s">
        <v>124</v>
      </c>
      <c r="B109" s="227">
        <v>74.624741913282904</v>
      </c>
      <c r="C109" s="228">
        <v>91.651468654099105</v>
      </c>
      <c r="D109" s="229">
        <v>0</v>
      </c>
      <c r="E109" s="228">
        <v>0</v>
      </c>
      <c r="F109" s="229">
        <v>0</v>
      </c>
      <c r="G109" s="228">
        <v>0</v>
      </c>
      <c r="H109" s="228">
        <v>0</v>
      </c>
      <c r="I109" s="229">
        <v>0</v>
      </c>
      <c r="J109" s="228">
        <v>0</v>
      </c>
      <c r="K109" s="229">
        <v>0</v>
      </c>
      <c r="L109" s="229">
        <v>0</v>
      </c>
      <c r="M109" s="228">
        <v>0</v>
      </c>
      <c r="N109" s="229">
        <v>82.112299980721005</v>
      </c>
      <c r="O109" s="176"/>
      <c r="P109" s="176"/>
      <c r="Q109" s="184"/>
      <c r="R109" s="184"/>
      <c r="S109" s="184"/>
      <c r="T109" s="184"/>
      <c r="U109" s="184"/>
      <c r="V109" s="235"/>
      <c r="W109" s="182"/>
      <c r="X109" s="182"/>
      <c r="Y109" s="182"/>
      <c r="Z109" s="182"/>
      <c r="AA109" s="182"/>
      <c r="AB109" s="182"/>
      <c r="AC109" s="239"/>
      <c r="AD109" s="239"/>
      <c r="AE109" s="239"/>
      <c r="AF109" s="239"/>
      <c r="AG109" s="239"/>
      <c r="AH109" s="239"/>
    </row>
    <row r="110" spans="1:34" s="118" customFormat="1" ht="12">
      <c r="A110" s="224" t="s">
        <v>99</v>
      </c>
      <c r="B110" s="230">
        <v>32.520000000000003</v>
      </c>
      <c r="C110" s="231">
        <v>38.2222222222222</v>
      </c>
      <c r="D110" s="231">
        <v>0</v>
      </c>
      <c r="E110" s="231">
        <v>0</v>
      </c>
      <c r="F110" s="231">
        <v>0</v>
      </c>
      <c r="G110" s="231">
        <v>0</v>
      </c>
      <c r="H110" s="231">
        <v>0</v>
      </c>
      <c r="I110" s="231">
        <v>0</v>
      </c>
      <c r="J110" s="231">
        <v>0</v>
      </c>
      <c r="K110" s="231">
        <v>0</v>
      </c>
      <c r="L110" s="231">
        <v>0</v>
      </c>
      <c r="M110" s="231">
        <v>0</v>
      </c>
      <c r="N110" s="231">
        <v>34.906976744185997</v>
      </c>
      <c r="O110" s="176"/>
      <c r="P110" s="176"/>
      <c r="Q110" s="176"/>
      <c r="R110" s="184"/>
      <c r="S110" s="184"/>
      <c r="T110" s="184"/>
      <c r="U110" s="184"/>
      <c r="V110" s="235"/>
      <c r="W110" s="182"/>
      <c r="X110" s="182"/>
      <c r="Y110" s="182"/>
      <c r="Z110" s="182"/>
      <c r="AA110" s="239"/>
      <c r="AB110" s="239"/>
      <c r="AC110" s="181"/>
      <c r="AD110" s="239"/>
      <c r="AE110" s="239"/>
      <c r="AF110" s="239"/>
      <c r="AH110" s="239"/>
    </row>
    <row r="111" spans="1:34" s="118" customFormat="1" ht="12">
      <c r="A111" s="226" t="s">
        <v>100</v>
      </c>
      <c r="B111" s="230">
        <v>44.976190476190503</v>
      </c>
      <c r="C111" s="231">
        <v>43.375539568345303</v>
      </c>
      <c r="D111" s="231">
        <v>0</v>
      </c>
      <c r="E111" s="231">
        <v>0</v>
      </c>
      <c r="F111" s="231">
        <v>0</v>
      </c>
      <c r="G111" s="231">
        <v>0</v>
      </c>
      <c r="H111" s="231">
        <v>0</v>
      </c>
      <c r="I111" s="231">
        <v>0</v>
      </c>
      <c r="J111" s="231">
        <v>0</v>
      </c>
      <c r="K111" s="231">
        <v>0</v>
      </c>
      <c r="L111" s="231">
        <v>0</v>
      </c>
      <c r="M111" s="231">
        <v>0</v>
      </c>
      <c r="N111" s="231">
        <v>44.1623994147769</v>
      </c>
      <c r="O111" s="176"/>
      <c r="P111" s="176"/>
      <c r="Q111" s="184"/>
      <c r="R111" s="184"/>
      <c r="S111" s="184"/>
      <c r="T111" s="184"/>
      <c r="U111" s="184"/>
      <c r="V111" s="235"/>
      <c r="W111" s="182"/>
      <c r="X111" s="182"/>
      <c r="AA111" s="239"/>
      <c r="AB111" s="239"/>
      <c r="AC111" s="239"/>
      <c r="AD111" s="239"/>
      <c r="AE111" s="239"/>
      <c r="AF111" s="239"/>
      <c r="AG111" s="239"/>
      <c r="AH111" s="239"/>
    </row>
    <row r="112" spans="1:34" s="118" customFormat="1" ht="12">
      <c r="A112" s="226" t="s">
        <v>102</v>
      </c>
      <c r="B112" s="230">
        <v>90.305378973105107</v>
      </c>
      <c r="C112" s="231">
        <v>115.42012214722</v>
      </c>
      <c r="D112" s="231">
        <v>0</v>
      </c>
      <c r="E112" s="231">
        <v>0</v>
      </c>
      <c r="F112" s="231">
        <v>0</v>
      </c>
      <c r="G112" s="231">
        <v>0</v>
      </c>
      <c r="H112" s="231">
        <v>0</v>
      </c>
      <c r="I112" s="231">
        <v>0</v>
      </c>
      <c r="J112" s="231">
        <v>0</v>
      </c>
      <c r="K112" s="231">
        <v>0</v>
      </c>
      <c r="L112" s="231">
        <v>0</v>
      </c>
      <c r="M112" s="231">
        <v>0</v>
      </c>
      <c r="N112" s="231">
        <v>101.155533953618</v>
      </c>
      <c r="O112" s="176"/>
      <c r="P112" s="184"/>
      <c r="Q112" s="184"/>
      <c r="R112" s="184"/>
      <c r="S112" s="184"/>
      <c r="T112" s="184"/>
      <c r="U112" s="184"/>
      <c r="V112" s="235"/>
      <c r="W112" s="182"/>
      <c r="X112" s="182"/>
      <c r="Y112" s="182"/>
      <c r="Z112" s="182"/>
    </row>
    <row r="113" spans="1:33" s="118" customFormat="1" ht="12">
      <c r="A113" s="220" t="s">
        <v>125</v>
      </c>
      <c r="B113" s="227">
        <v>42.3083143015863</v>
      </c>
      <c r="C113" s="228">
        <v>40.708461038357903</v>
      </c>
      <c r="D113" s="229">
        <v>0</v>
      </c>
      <c r="E113" s="228">
        <v>0</v>
      </c>
      <c r="F113" s="229">
        <v>0</v>
      </c>
      <c r="G113" s="228">
        <v>0</v>
      </c>
      <c r="H113" s="228">
        <v>0</v>
      </c>
      <c r="I113" s="229">
        <v>0</v>
      </c>
      <c r="J113" s="228">
        <v>0</v>
      </c>
      <c r="K113" s="229">
        <v>0</v>
      </c>
      <c r="L113" s="229">
        <v>0</v>
      </c>
      <c r="M113" s="228">
        <v>0</v>
      </c>
      <c r="N113" s="229">
        <v>41.509636338345999</v>
      </c>
      <c r="O113" s="176"/>
      <c r="P113" s="184"/>
      <c r="Q113" s="184"/>
      <c r="R113" s="233"/>
      <c r="S113" s="233"/>
      <c r="T113" s="233"/>
      <c r="U113" s="233"/>
      <c r="V113" s="208"/>
      <c r="Z113" s="182"/>
      <c r="AA113" s="182"/>
      <c r="AB113" s="182"/>
      <c r="AC113" s="182"/>
      <c r="AD113" s="182"/>
      <c r="AE113" s="182"/>
      <c r="AF113" s="182"/>
    </row>
    <row r="114" spans="1:33" s="118" customFormat="1" ht="12">
      <c r="A114" s="224" t="s">
        <v>99</v>
      </c>
      <c r="B114" s="230">
        <v>48.314004585403097</v>
      </c>
      <c r="C114" s="231">
        <v>46.916985308915301</v>
      </c>
      <c r="D114" s="231">
        <v>0</v>
      </c>
      <c r="E114" s="231">
        <v>0</v>
      </c>
      <c r="F114" s="231">
        <v>0</v>
      </c>
      <c r="G114" s="231">
        <v>0</v>
      </c>
      <c r="H114" s="231">
        <v>0</v>
      </c>
      <c r="I114" s="231">
        <v>0</v>
      </c>
      <c r="J114" s="231">
        <v>0</v>
      </c>
      <c r="K114" s="231">
        <v>0</v>
      </c>
      <c r="L114" s="231">
        <v>0</v>
      </c>
      <c r="M114" s="231">
        <v>0</v>
      </c>
      <c r="N114" s="231">
        <v>47.633637165539497</v>
      </c>
      <c r="O114" s="176"/>
      <c r="P114" s="184"/>
      <c r="Q114" s="184"/>
      <c r="R114" s="184"/>
      <c r="S114" s="184"/>
      <c r="T114" s="184"/>
      <c r="U114" s="233"/>
      <c r="V114" s="235"/>
      <c r="W114" s="182"/>
      <c r="X114" s="182"/>
      <c r="Y114" s="182"/>
      <c r="Z114" s="182"/>
      <c r="AA114" s="182"/>
      <c r="AB114" s="182"/>
      <c r="AC114" s="182"/>
    </row>
    <row r="115" spans="1:33" s="118" customFormat="1" ht="12" customHeight="1">
      <c r="A115" s="226" t="s">
        <v>100</v>
      </c>
      <c r="B115" s="230">
        <v>46.942988554925698</v>
      </c>
      <c r="C115" s="231">
        <v>46.179167594035199</v>
      </c>
      <c r="D115" s="231">
        <v>0</v>
      </c>
      <c r="E115" s="231">
        <v>0</v>
      </c>
      <c r="F115" s="231">
        <v>0</v>
      </c>
      <c r="G115" s="231">
        <v>0</v>
      </c>
      <c r="H115" s="231">
        <v>0</v>
      </c>
      <c r="I115" s="231">
        <v>0</v>
      </c>
      <c r="J115" s="231">
        <v>0</v>
      </c>
      <c r="K115" s="231">
        <v>0</v>
      </c>
      <c r="L115" s="231">
        <v>0</v>
      </c>
      <c r="M115" s="231">
        <v>0</v>
      </c>
      <c r="N115" s="231">
        <v>46.568639214616901</v>
      </c>
      <c r="O115" s="176"/>
      <c r="P115" s="184"/>
      <c r="Q115" s="184"/>
      <c r="R115" s="233"/>
      <c r="S115" s="233"/>
      <c r="T115" s="233"/>
      <c r="U115" s="233"/>
      <c r="V115" s="235"/>
      <c r="W115" s="182"/>
      <c r="X115" s="182"/>
      <c r="Y115" s="182"/>
      <c r="Z115" s="182"/>
      <c r="AA115" s="182"/>
      <c r="AB115" s="182"/>
    </row>
    <row r="116" spans="1:33" s="118" customFormat="1" ht="12">
      <c r="A116" s="226" t="s">
        <v>102</v>
      </c>
      <c r="B116" s="230">
        <v>33.869924513309499</v>
      </c>
      <c r="C116" s="231">
        <v>32.4210959108918</v>
      </c>
      <c r="D116" s="231">
        <v>0</v>
      </c>
      <c r="E116" s="231">
        <v>0</v>
      </c>
      <c r="F116" s="231">
        <v>0</v>
      </c>
      <c r="G116" s="231">
        <v>0</v>
      </c>
      <c r="H116" s="231">
        <v>0</v>
      </c>
      <c r="I116" s="231">
        <v>0</v>
      </c>
      <c r="J116" s="231">
        <v>0</v>
      </c>
      <c r="K116" s="231">
        <v>0</v>
      </c>
      <c r="L116" s="231">
        <v>0</v>
      </c>
      <c r="M116" s="231">
        <v>0</v>
      </c>
      <c r="N116" s="231">
        <v>33.123411139357501</v>
      </c>
      <c r="O116" s="176"/>
      <c r="P116" s="184"/>
      <c r="Q116" s="184"/>
      <c r="R116" s="184"/>
      <c r="S116" s="184"/>
      <c r="T116" s="184"/>
      <c r="U116" s="184"/>
      <c r="V116" s="235"/>
      <c r="W116" s="182"/>
      <c r="X116" s="182"/>
      <c r="Y116" s="182"/>
      <c r="Z116" s="182"/>
      <c r="AA116" s="182"/>
      <c r="AB116" s="182"/>
    </row>
    <row r="117" spans="1:33" s="118" customFormat="1" ht="12">
      <c r="A117" s="220" t="s">
        <v>126</v>
      </c>
      <c r="B117" s="227">
        <v>47.223347464280103</v>
      </c>
      <c r="C117" s="228">
        <v>47.012939804139698</v>
      </c>
      <c r="D117" s="229">
        <v>0</v>
      </c>
      <c r="E117" s="228">
        <v>0</v>
      </c>
      <c r="F117" s="229">
        <v>0</v>
      </c>
      <c r="G117" s="228">
        <v>0</v>
      </c>
      <c r="H117" s="228">
        <v>0</v>
      </c>
      <c r="I117" s="229">
        <v>0</v>
      </c>
      <c r="J117" s="228">
        <v>0</v>
      </c>
      <c r="K117" s="229">
        <v>0</v>
      </c>
      <c r="L117" s="229">
        <v>0</v>
      </c>
      <c r="M117" s="228">
        <v>0</v>
      </c>
      <c r="N117" s="229">
        <v>47.120036762257399</v>
      </c>
      <c r="O117" s="176"/>
      <c r="P117" s="176"/>
      <c r="Q117" s="176"/>
      <c r="R117" s="176"/>
      <c r="S117" s="176"/>
      <c r="T117" s="176"/>
      <c r="U117" s="176"/>
      <c r="V117" s="208"/>
    </row>
    <row r="118" spans="1:33" s="118" customFormat="1" ht="12">
      <c r="A118" s="224" t="s">
        <v>99</v>
      </c>
      <c r="B118" s="230">
        <v>46.874196909185599</v>
      </c>
      <c r="C118" s="231">
        <v>46.302319057415403</v>
      </c>
      <c r="D118" s="231">
        <v>0</v>
      </c>
      <c r="E118" s="231">
        <v>0</v>
      </c>
      <c r="F118" s="231">
        <v>0</v>
      </c>
      <c r="G118" s="231">
        <v>0</v>
      </c>
      <c r="H118" s="231">
        <v>0</v>
      </c>
      <c r="I118" s="231">
        <v>0</v>
      </c>
      <c r="J118" s="231">
        <v>0</v>
      </c>
      <c r="K118" s="231">
        <v>0</v>
      </c>
      <c r="L118" s="231">
        <v>0</v>
      </c>
      <c r="M118" s="231">
        <v>0</v>
      </c>
      <c r="N118" s="231">
        <v>46.598865478119897</v>
      </c>
      <c r="O118" s="176"/>
      <c r="P118" s="176"/>
      <c r="Q118" s="176"/>
      <c r="R118" s="176"/>
      <c r="S118" s="176"/>
      <c r="T118" s="176"/>
      <c r="U118" s="176"/>
      <c r="V118" s="208"/>
    </row>
    <row r="119" spans="1:33" s="118" customFormat="1" ht="12">
      <c r="A119" s="226" t="s">
        <v>100</v>
      </c>
      <c r="B119" s="230">
        <v>46.811096696936403</v>
      </c>
      <c r="C119" s="231">
        <v>45.9778948455738</v>
      </c>
      <c r="D119" s="231">
        <v>0</v>
      </c>
      <c r="E119" s="231">
        <v>0</v>
      </c>
      <c r="F119" s="231">
        <v>0</v>
      </c>
      <c r="G119" s="231">
        <v>0</v>
      </c>
      <c r="H119" s="231">
        <v>0</v>
      </c>
      <c r="I119" s="231">
        <v>0</v>
      </c>
      <c r="J119" s="231">
        <v>0</v>
      </c>
      <c r="K119" s="231">
        <v>0</v>
      </c>
      <c r="L119" s="231">
        <v>0</v>
      </c>
      <c r="M119" s="231">
        <v>0</v>
      </c>
      <c r="N119" s="231">
        <v>46.401685108110897</v>
      </c>
      <c r="O119" s="176"/>
      <c r="P119" s="176"/>
      <c r="Q119" s="176"/>
      <c r="R119" s="176"/>
      <c r="S119" s="176"/>
      <c r="T119" s="176"/>
      <c r="U119" s="176"/>
      <c r="V119" s="208"/>
    </row>
    <row r="120" spans="1:33" s="118" customFormat="1" ht="12">
      <c r="A120" s="226" t="s">
        <v>102</v>
      </c>
      <c r="B120" s="230">
        <v>47.712263868066003</v>
      </c>
      <c r="C120" s="231">
        <v>48.081574478408498</v>
      </c>
      <c r="D120" s="231">
        <v>0</v>
      </c>
      <c r="E120" s="231">
        <v>0</v>
      </c>
      <c r="F120" s="231">
        <v>0</v>
      </c>
      <c r="G120" s="231">
        <v>0</v>
      </c>
      <c r="H120" s="231">
        <v>0</v>
      </c>
      <c r="I120" s="231">
        <v>0</v>
      </c>
      <c r="J120" s="231">
        <v>0</v>
      </c>
      <c r="K120" s="231">
        <v>0</v>
      </c>
      <c r="L120" s="231">
        <v>0</v>
      </c>
      <c r="M120" s="231">
        <v>0</v>
      </c>
      <c r="N120" s="231">
        <v>47.895877936254301</v>
      </c>
      <c r="O120" s="176"/>
      <c r="P120" s="176"/>
      <c r="Q120" s="176"/>
      <c r="R120" s="176"/>
      <c r="S120" s="176"/>
      <c r="T120" s="176"/>
      <c r="U120" s="176"/>
      <c r="V120" s="208"/>
    </row>
    <row r="121" spans="1:33" s="118" customFormat="1" ht="12">
      <c r="A121" s="148"/>
      <c r="F121" s="117"/>
      <c r="G121" s="117"/>
      <c r="H121" s="117"/>
      <c r="I121" s="117"/>
      <c r="J121" s="117"/>
      <c r="K121" s="117"/>
      <c r="L121" s="176"/>
      <c r="M121" s="176"/>
      <c r="N121" s="176"/>
      <c r="O121" s="176"/>
      <c r="P121" s="176"/>
      <c r="Q121" s="176"/>
      <c r="R121" s="176"/>
      <c r="S121" s="176"/>
      <c r="T121" s="176"/>
      <c r="U121" s="176"/>
      <c r="V121" s="208"/>
    </row>
    <row r="122" spans="1:33" s="118" customFormat="1" ht="12">
      <c r="A122" s="403"/>
      <c r="B122" s="399"/>
      <c r="C122" s="399"/>
      <c r="D122" s="399"/>
      <c r="E122" s="399"/>
      <c r="F122" s="399"/>
      <c r="G122" s="399"/>
      <c r="H122" s="399"/>
      <c r="I122" s="399"/>
      <c r="J122" s="399"/>
      <c r="K122" s="399"/>
      <c r="L122" s="399"/>
      <c r="M122" s="399"/>
      <c r="N122" s="399"/>
      <c r="O122" s="399"/>
      <c r="P122" s="399"/>
      <c r="Q122" s="399"/>
      <c r="R122" s="399"/>
      <c r="S122" s="399"/>
      <c r="T122" s="399"/>
      <c r="U122" s="399"/>
      <c r="V122" s="404"/>
    </row>
    <row r="123" spans="1:33" s="118" customFormat="1" ht="12">
      <c r="A123" s="148"/>
      <c r="F123" s="117"/>
      <c r="G123" s="117"/>
      <c r="H123" s="117"/>
      <c r="I123" s="117"/>
      <c r="J123" s="117"/>
      <c r="K123" s="117"/>
      <c r="L123" s="176"/>
      <c r="M123" s="176"/>
      <c r="N123" s="176"/>
      <c r="O123" s="176"/>
      <c r="P123" s="176"/>
      <c r="Q123" s="176"/>
      <c r="R123" s="176"/>
      <c r="S123" s="184"/>
      <c r="T123" s="184"/>
      <c r="U123" s="184"/>
      <c r="V123" s="235"/>
    </row>
    <row r="124" spans="1:33" s="117" customFormat="1" ht="24.75" customHeight="1">
      <c r="A124" s="408" t="s">
        <v>128</v>
      </c>
      <c r="B124" s="405"/>
      <c r="C124" s="405"/>
      <c r="D124" s="405"/>
      <c r="E124" s="405"/>
      <c r="F124" s="405"/>
      <c r="G124" s="405"/>
      <c r="H124" s="405"/>
      <c r="I124" s="405"/>
      <c r="J124" s="405"/>
      <c r="K124" s="405"/>
      <c r="L124" s="405"/>
      <c r="M124" s="405"/>
      <c r="N124" s="405"/>
      <c r="O124" s="176"/>
      <c r="P124" s="184"/>
      <c r="Q124" s="184"/>
      <c r="R124" s="184"/>
      <c r="S124" s="184"/>
      <c r="T124" s="184"/>
      <c r="U124" s="184"/>
      <c r="V124" s="235"/>
      <c r="W124" s="183"/>
      <c r="X124" s="183"/>
      <c r="Y124" s="183"/>
      <c r="Z124" s="183"/>
      <c r="AA124" s="183"/>
      <c r="AB124" s="183"/>
    </row>
    <row r="125" spans="1:33" s="118" customFormat="1" ht="12">
      <c r="A125" s="130" t="s">
        <v>106</v>
      </c>
      <c r="B125" s="131" t="s">
        <v>87</v>
      </c>
      <c r="C125" s="131" t="s">
        <v>88</v>
      </c>
      <c r="D125" s="131" t="s">
        <v>89</v>
      </c>
      <c r="E125" s="131" t="s">
        <v>90</v>
      </c>
      <c r="F125" s="131" t="s">
        <v>91</v>
      </c>
      <c r="G125" s="131" t="s">
        <v>92</v>
      </c>
      <c r="H125" s="131" t="s">
        <v>93</v>
      </c>
      <c r="I125" s="131" t="s">
        <v>94</v>
      </c>
      <c r="J125" s="131" t="s">
        <v>95</v>
      </c>
      <c r="K125" s="131" t="s">
        <v>96</v>
      </c>
      <c r="L125" s="131" t="s">
        <v>97</v>
      </c>
      <c r="M125" s="131" t="s">
        <v>98</v>
      </c>
      <c r="N125" s="131" t="s">
        <v>123</v>
      </c>
      <c r="O125" s="176"/>
      <c r="P125" s="233"/>
      <c r="Q125" s="184"/>
      <c r="R125" s="184"/>
      <c r="S125" s="184"/>
      <c r="T125" s="184"/>
      <c r="U125" s="184"/>
      <c r="V125" s="235"/>
      <c r="W125" s="182"/>
      <c r="X125" s="182"/>
      <c r="Y125" s="182"/>
      <c r="Z125" s="182"/>
      <c r="AA125" s="182"/>
      <c r="AB125" s="182"/>
      <c r="AC125" s="182"/>
      <c r="AD125" s="182"/>
      <c r="AE125" s="182"/>
      <c r="AF125" s="182"/>
    </row>
    <row r="126" spans="1:33" s="118" customFormat="1" ht="12.75" customHeight="1">
      <c r="A126" s="132" t="s">
        <v>19</v>
      </c>
      <c r="B126" s="221">
        <v>63212.322580645203</v>
      </c>
      <c r="C126" s="222">
        <v>66668.413793103406</v>
      </c>
      <c r="D126" s="223">
        <v>0</v>
      </c>
      <c r="E126" s="222">
        <v>0</v>
      </c>
      <c r="F126" s="223">
        <v>0</v>
      </c>
      <c r="G126" s="222">
        <v>0</v>
      </c>
      <c r="H126" s="222">
        <v>0</v>
      </c>
      <c r="I126" s="223">
        <v>0</v>
      </c>
      <c r="J126" s="222">
        <v>0</v>
      </c>
      <c r="K126" s="223">
        <v>0</v>
      </c>
      <c r="L126" s="223">
        <v>0</v>
      </c>
      <c r="M126" s="222">
        <v>0</v>
      </c>
      <c r="N126" s="221">
        <v>64882.766666666699</v>
      </c>
      <c r="O126" s="176"/>
      <c r="P126" s="233"/>
      <c r="Q126" s="233"/>
      <c r="R126" s="233"/>
      <c r="S126" s="233"/>
      <c r="T126" s="197"/>
      <c r="U126" s="233"/>
      <c r="V126" s="236"/>
      <c r="W126" s="239"/>
      <c r="X126" s="239"/>
      <c r="Y126" s="239"/>
      <c r="Z126" s="239"/>
      <c r="AA126" s="239"/>
      <c r="AB126" s="239"/>
    </row>
    <row r="127" spans="1:33" s="118" customFormat="1" ht="12">
      <c r="A127" s="134" t="s">
        <v>69</v>
      </c>
      <c r="B127" s="175">
        <v>425.09677419354801</v>
      </c>
      <c r="C127" s="225">
        <v>711.62068965517199</v>
      </c>
      <c r="D127" s="225">
        <v>0</v>
      </c>
      <c r="E127" s="225">
        <v>0</v>
      </c>
      <c r="F127" s="225">
        <v>0</v>
      </c>
      <c r="G127" s="225">
        <v>0</v>
      </c>
      <c r="H127" s="225">
        <v>0</v>
      </c>
      <c r="I127" s="225">
        <v>0</v>
      </c>
      <c r="J127" s="225">
        <v>0</v>
      </c>
      <c r="K127" s="225">
        <v>0</v>
      </c>
      <c r="L127" s="225">
        <v>0</v>
      </c>
      <c r="M127" s="225">
        <v>0</v>
      </c>
      <c r="N127" s="225">
        <v>563.58333333333303</v>
      </c>
      <c r="O127" s="176"/>
      <c r="P127" s="233"/>
      <c r="Q127" s="233"/>
      <c r="R127" s="233"/>
      <c r="S127" s="233"/>
      <c r="T127" s="233"/>
      <c r="U127" s="233"/>
      <c r="V127" s="236"/>
      <c r="W127" s="239"/>
      <c r="X127" s="239"/>
      <c r="Y127" s="239"/>
      <c r="Z127" s="239"/>
      <c r="AA127" s="182"/>
      <c r="AB127" s="239"/>
      <c r="AF127" s="239"/>
      <c r="AG127" s="239"/>
    </row>
    <row r="128" spans="1:33" s="118" customFormat="1" ht="12">
      <c r="A128" s="138" t="s">
        <v>70</v>
      </c>
      <c r="B128" s="175">
        <v>62787.225806451599</v>
      </c>
      <c r="C128" s="225">
        <v>65956.793103448304</v>
      </c>
      <c r="D128" s="225">
        <v>0</v>
      </c>
      <c r="E128" s="225">
        <v>0</v>
      </c>
      <c r="F128" s="225">
        <v>0</v>
      </c>
      <c r="G128" s="225">
        <v>0</v>
      </c>
      <c r="H128" s="225">
        <v>0</v>
      </c>
      <c r="I128" s="225">
        <v>0</v>
      </c>
      <c r="J128" s="225">
        <v>0</v>
      </c>
      <c r="K128" s="225">
        <v>0</v>
      </c>
      <c r="L128" s="225">
        <v>0</v>
      </c>
      <c r="M128" s="225">
        <v>0</v>
      </c>
      <c r="N128" s="175">
        <v>64319.183333333298</v>
      </c>
      <c r="O128" s="176"/>
      <c r="P128" s="233"/>
      <c r="Q128" s="233"/>
      <c r="R128" s="233"/>
      <c r="S128" s="233"/>
      <c r="T128" s="233"/>
      <c r="U128" s="233"/>
      <c r="V128" s="236"/>
      <c r="W128" s="239"/>
      <c r="X128" s="239"/>
      <c r="Y128" s="239"/>
      <c r="Z128" s="239"/>
      <c r="AA128" s="182"/>
      <c r="AB128" s="239"/>
      <c r="AF128" s="239"/>
      <c r="AG128" s="239"/>
    </row>
    <row r="129" spans="1:33" s="122" customFormat="1" ht="23.25" customHeight="1">
      <c r="A129" s="148"/>
      <c r="B129" s="118"/>
      <c r="C129" s="118"/>
      <c r="D129" s="118"/>
      <c r="E129" s="118"/>
      <c r="F129" s="117"/>
      <c r="G129" s="117"/>
      <c r="H129" s="117"/>
      <c r="I129" s="117"/>
      <c r="J129" s="117"/>
      <c r="K129" s="117"/>
      <c r="L129" s="176"/>
      <c r="M129" s="176"/>
      <c r="N129" s="176"/>
      <c r="O129" s="176"/>
      <c r="P129" s="233"/>
      <c r="Q129" s="233"/>
      <c r="R129" s="233"/>
      <c r="S129" s="233"/>
      <c r="T129" s="233"/>
      <c r="U129" s="233"/>
      <c r="V129" s="236"/>
      <c r="W129" s="266"/>
      <c r="X129" s="266"/>
      <c r="Y129" s="266"/>
      <c r="Z129" s="266"/>
      <c r="AA129" s="266"/>
      <c r="AB129" s="266"/>
      <c r="AC129" s="266"/>
      <c r="AD129" s="266"/>
      <c r="AE129" s="266"/>
      <c r="AF129" s="266"/>
      <c r="AG129" s="266"/>
    </row>
    <row r="130" spans="1:33" s="118" customFormat="1" ht="12.75" customHeight="1">
      <c r="A130" s="408" t="s">
        <v>129</v>
      </c>
      <c r="B130" s="405"/>
      <c r="C130" s="405"/>
      <c r="D130" s="405"/>
      <c r="E130" s="405"/>
      <c r="F130" s="405"/>
      <c r="G130" s="405"/>
      <c r="H130" s="405"/>
      <c r="I130" s="405"/>
      <c r="J130" s="405"/>
      <c r="K130" s="405"/>
      <c r="L130" s="405"/>
      <c r="M130" s="405"/>
      <c r="N130" s="405"/>
      <c r="O130" s="176"/>
      <c r="P130" s="176"/>
      <c r="Q130" s="233"/>
      <c r="R130" s="233"/>
      <c r="S130" s="184"/>
      <c r="T130" s="184"/>
      <c r="U130" s="184"/>
      <c r="V130" s="236"/>
      <c r="W130" s="239"/>
      <c r="X130" s="239"/>
      <c r="Y130" s="239"/>
      <c r="Z130" s="239"/>
      <c r="AA130" s="239"/>
    </row>
    <row r="131" spans="1:33" s="118" customFormat="1" ht="12.75" customHeight="1">
      <c r="A131" s="130" t="s">
        <v>106</v>
      </c>
      <c r="B131" s="131" t="s">
        <v>87</v>
      </c>
      <c r="C131" s="131" t="s">
        <v>88</v>
      </c>
      <c r="D131" s="131" t="s">
        <v>89</v>
      </c>
      <c r="E131" s="131" t="s">
        <v>90</v>
      </c>
      <c r="F131" s="131" t="s">
        <v>91</v>
      </c>
      <c r="G131" s="131" t="s">
        <v>92</v>
      </c>
      <c r="H131" s="131" t="s">
        <v>93</v>
      </c>
      <c r="I131" s="131" t="s">
        <v>94</v>
      </c>
      <c r="J131" s="131" t="s">
        <v>95</v>
      </c>
      <c r="K131" s="131" t="s">
        <v>96</v>
      </c>
      <c r="L131" s="131" t="s">
        <v>97</v>
      </c>
      <c r="M131" s="131" t="s">
        <v>98</v>
      </c>
      <c r="N131" s="131" t="s">
        <v>123</v>
      </c>
      <c r="O131" s="176"/>
      <c r="P131" s="184"/>
      <c r="Q131" s="184"/>
      <c r="R131" s="184"/>
      <c r="S131" s="184"/>
      <c r="T131" s="184"/>
      <c r="U131" s="184"/>
      <c r="V131" s="235"/>
      <c r="W131" s="182"/>
      <c r="X131" s="182"/>
      <c r="Y131" s="182"/>
      <c r="Z131" s="182"/>
      <c r="AA131" s="182"/>
      <c r="AB131" s="182"/>
      <c r="AC131" s="182"/>
      <c r="AD131" s="182"/>
      <c r="AE131" s="182"/>
      <c r="AF131" s="182"/>
    </row>
    <row r="132" spans="1:33" s="117" customFormat="1" ht="14.25" customHeight="1">
      <c r="A132" s="132" t="s">
        <v>19</v>
      </c>
      <c r="B132" s="227">
        <v>47.223347464280103</v>
      </c>
      <c r="C132" s="228">
        <v>47.012939804139698</v>
      </c>
      <c r="D132" s="229">
        <v>0</v>
      </c>
      <c r="E132" s="228">
        <v>0</v>
      </c>
      <c r="F132" s="229">
        <v>0</v>
      </c>
      <c r="G132" s="228">
        <v>0</v>
      </c>
      <c r="H132" s="228">
        <v>0</v>
      </c>
      <c r="I132" s="229">
        <v>0</v>
      </c>
      <c r="J132" s="228">
        <v>0</v>
      </c>
      <c r="K132" s="229">
        <v>0</v>
      </c>
      <c r="L132" s="229">
        <v>0</v>
      </c>
      <c r="M132" s="228">
        <v>0</v>
      </c>
      <c r="N132" s="229">
        <v>47.120036762257399</v>
      </c>
      <c r="P132" s="183"/>
      <c r="Q132" s="183"/>
      <c r="R132" s="183"/>
      <c r="S132" s="183"/>
      <c r="T132" s="183"/>
      <c r="U132" s="183"/>
      <c r="V132" s="267"/>
      <c r="W132" s="183"/>
      <c r="X132" s="183"/>
      <c r="Y132" s="183"/>
      <c r="Z132" s="183"/>
      <c r="AA132" s="271"/>
      <c r="AB132" s="183"/>
    </row>
    <row r="133" spans="1:33" s="118" customFormat="1" ht="12.75" customHeight="1">
      <c r="A133" s="134" t="s">
        <v>69</v>
      </c>
      <c r="B133" s="230">
        <v>29.5</v>
      </c>
      <c r="C133" s="231">
        <v>6.5</v>
      </c>
      <c r="D133" s="231">
        <v>0</v>
      </c>
      <c r="E133" s="231">
        <v>0</v>
      </c>
      <c r="F133" s="231">
        <v>0</v>
      </c>
      <c r="G133" s="231">
        <v>0</v>
      </c>
      <c r="H133" s="231">
        <v>0</v>
      </c>
      <c r="I133" s="231">
        <v>0</v>
      </c>
      <c r="J133" s="231">
        <v>0</v>
      </c>
      <c r="K133" s="231">
        <v>0</v>
      </c>
      <c r="L133" s="231">
        <v>0</v>
      </c>
      <c r="M133" s="231">
        <v>0</v>
      </c>
      <c r="N133" s="231">
        <v>18</v>
      </c>
      <c r="O133" s="176"/>
      <c r="P133" s="176"/>
      <c r="Q133" s="176"/>
      <c r="R133" s="184"/>
      <c r="S133" s="184"/>
      <c r="T133" s="184"/>
      <c r="U133" s="184"/>
      <c r="V133" s="268"/>
      <c r="W133" s="182"/>
      <c r="X133" s="182"/>
      <c r="Y133" s="182"/>
      <c r="Z133" s="182"/>
      <c r="AA133" s="182"/>
      <c r="AB133" s="182"/>
      <c r="AC133" s="182"/>
    </row>
    <row r="134" spans="1:33" s="118" customFormat="1" ht="12.75" customHeight="1">
      <c r="A134" s="138" t="s">
        <v>70</v>
      </c>
      <c r="B134" s="230">
        <v>47.224275096828201</v>
      </c>
      <c r="C134" s="231">
        <v>47.015137950679602</v>
      </c>
      <c r="D134" s="231">
        <v>0</v>
      </c>
      <c r="E134" s="231">
        <v>0</v>
      </c>
      <c r="F134" s="231">
        <v>0</v>
      </c>
      <c r="G134" s="231">
        <v>0</v>
      </c>
      <c r="H134" s="231">
        <v>0</v>
      </c>
      <c r="I134" s="231">
        <v>0</v>
      </c>
      <c r="J134" s="231">
        <v>0</v>
      </c>
      <c r="K134" s="231">
        <v>0</v>
      </c>
      <c r="L134" s="231">
        <v>0</v>
      </c>
      <c r="M134" s="231">
        <v>0</v>
      </c>
      <c r="N134" s="231">
        <v>47.1215883207012</v>
      </c>
      <c r="O134" s="176"/>
      <c r="P134" s="176"/>
      <c r="Q134" s="176"/>
      <c r="R134" s="184"/>
      <c r="S134" s="184"/>
      <c r="T134" s="184"/>
      <c r="U134" s="184"/>
      <c r="V134" s="268"/>
      <c r="W134" s="182"/>
      <c r="X134" s="182"/>
      <c r="Y134" s="182"/>
      <c r="Z134" s="182"/>
      <c r="AA134" s="182"/>
      <c r="AB134" s="182"/>
      <c r="AC134" s="182"/>
    </row>
    <row r="135" spans="1:33" s="118" customFormat="1" ht="12.75" customHeight="1">
      <c r="A135" s="139"/>
      <c r="B135" s="240"/>
      <c r="C135" s="240"/>
      <c r="D135" s="240"/>
      <c r="E135" s="240"/>
      <c r="F135" s="240"/>
      <c r="G135" s="240"/>
      <c r="H135" s="240"/>
      <c r="I135" s="240"/>
      <c r="J135" s="240"/>
      <c r="K135" s="240"/>
      <c r="L135" s="240"/>
      <c r="M135" s="240"/>
      <c r="N135" s="240"/>
      <c r="O135" s="176"/>
      <c r="P135" s="176"/>
      <c r="Q135" s="176"/>
      <c r="R135" s="176"/>
      <c r="S135" s="176"/>
      <c r="T135" s="176"/>
      <c r="U135" s="176"/>
      <c r="V135" s="269"/>
    </row>
    <row r="136" spans="1:33" s="118" customFormat="1" ht="12">
      <c r="A136" s="408" t="s">
        <v>130</v>
      </c>
      <c r="B136" s="405"/>
      <c r="C136" s="405"/>
      <c r="D136" s="405"/>
      <c r="E136" s="405"/>
      <c r="F136" s="405"/>
      <c r="G136" s="405"/>
      <c r="H136" s="405"/>
      <c r="I136" s="405"/>
      <c r="J136" s="405"/>
      <c r="K136" s="405"/>
      <c r="L136" s="405"/>
      <c r="M136" s="405"/>
      <c r="N136" s="405"/>
      <c r="O136" s="176"/>
      <c r="P136" s="176"/>
      <c r="Q136" s="176"/>
      <c r="R136" s="184"/>
      <c r="S136" s="184"/>
      <c r="T136" s="184"/>
      <c r="U136" s="184"/>
      <c r="V136" s="268"/>
      <c r="W136" s="182"/>
      <c r="X136" s="182"/>
      <c r="Y136" s="182"/>
      <c r="Z136" s="182"/>
      <c r="AA136" s="182"/>
      <c r="AB136" s="182"/>
      <c r="AC136" s="182"/>
    </row>
    <row r="137" spans="1:33" s="118" customFormat="1" ht="12">
      <c r="A137" s="130" t="s">
        <v>131</v>
      </c>
      <c r="B137" s="131" t="s">
        <v>87</v>
      </c>
      <c r="C137" s="131" t="s">
        <v>88</v>
      </c>
      <c r="D137" s="131" t="s">
        <v>89</v>
      </c>
      <c r="E137" s="131" t="s">
        <v>90</v>
      </c>
      <c r="F137" s="131" t="s">
        <v>91</v>
      </c>
      <c r="G137" s="131" t="s">
        <v>92</v>
      </c>
      <c r="H137" s="131" t="s">
        <v>93</v>
      </c>
      <c r="I137" s="131" t="s">
        <v>94</v>
      </c>
      <c r="J137" s="131" t="s">
        <v>95</v>
      </c>
      <c r="K137" s="131" t="s">
        <v>96</v>
      </c>
      <c r="L137" s="131" t="s">
        <v>97</v>
      </c>
      <c r="M137" s="131" t="s">
        <v>98</v>
      </c>
      <c r="N137" s="131" t="s">
        <v>123</v>
      </c>
      <c r="O137" s="176"/>
      <c r="P137" s="176"/>
      <c r="Q137" s="176"/>
      <c r="R137" s="184"/>
      <c r="S137" s="184"/>
      <c r="T137" s="184"/>
      <c r="U137" s="184"/>
      <c r="V137" s="268"/>
      <c r="W137" s="182"/>
      <c r="X137" s="182"/>
      <c r="Y137" s="182"/>
      <c r="Z137" s="182"/>
      <c r="AA137" s="182"/>
      <c r="AB137" s="182"/>
      <c r="AC137" s="182"/>
    </row>
    <row r="138" spans="1:33">
      <c r="A138" s="132" t="s">
        <v>19</v>
      </c>
      <c r="B138" s="227">
        <v>47.224275096828201</v>
      </c>
      <c r="C138" s="228">
        <v>47.015137950679602</v>
      </c>
      <c r="D138" s="229">
        <v>0</v>
      </c>
      <c r="E138" s="228">
        <v>0</v>
      </c>
      <c r="F138" s="229">
        <v>0</v>
      </c>
      <c r="G138" s="228">
        <v>0</v>
      </c>
      <c r="H138" s="228">
        <v>0</v>
      </c>
      <c r="I138" s="229">
        <v>0</v>
      </c>
      <c r="J138" s="228">
        <v>0</v>
      </c>
      <c r="K138" s="229">
        <v>0</v>
      </c>
      <c r="L138" s="229">
        <v>0</v>
      </c>
      <c r="M138" s="228">
        <v>0</v>
      </c>
      <c r="N138" s="229">
        <v>47.1215883207012</v>
      </c>
      <c r="V138" s="269"/>
    </row>
    <row r="139" spans="1:33">
      <c r="A139" s="134" t="s">
        <v>84</v>
      </c>
      <c r="B139" s="230">
        <v>74.624741913282904</v>
      </c>
      <c r="C139" s="231">
        <v>91.651468654099105</v>
      </c>
      <c r="D139" s="231">
        <v>0</v>
      </c>
      <c r="E139" s="231">
        <v>0</v>
      </c>
      <c r="F139" s="231">
        <v>0</v>
      </c>
      <c r="G139" s="231">
        <v>0</v>
      </c>
      <c r="H139" s="231">
        <v>0</v>
      </c>
      <c r="I139" s="231">
        <v>0</v>
      </c>
      <c r="J139" s="231">
        <v>0</v>
      </c>
      <c r="K139" s="231">
        <v>0</v>
      </c>
      <c r="L139" s="231">
        <v>0</v>
      </c>
      <c r="M139" s="231">
        <v>0</v>
      </c>
      <c r="N139" s="231">
        <v>82.112299980721005</v>
      </c>
      <c r="V139" s="269"/>
    </row>
    <row r="140" spans="1:33">
      <c r="A140" s="138" t="s">
        <v>82</v>
      </c>
      <c r="B140" s="230">
        <v>42.309104938271602</v>
      </c>
      <c r="C140" s="231">
        <v>40.710579274900198</v>
      </c>
      <c r="D140" s="231">
        <v>0</v>
      </c>
      <c r="E140" s="231">
        <v>0</v>
      </c>
      <c r="F140" s="231">
        <v>0</v>
      </c>
      <c r="G140" s="231">
        <v>0</v>
      </c>
      <c r="H140" s="231">
        <v>0</v>
      </c>
      <c r="I140" s="231">
        <v>0</v>
      </c>
      <c r="J140" s="231">
        <v>0</v>
      </c>
      <c r="K140" s="231">
        <v>0</v>
      </c>
      <c r="L140" s="231">
        <v>0</v>
      </c>
      <c r="M140" s="231">
        <v>0</v>
      </c>
      <c r="N140" s="231">
        <v>41.511089815916797</v>
      </c>
      <c r="O140" s="247"/>
      <c r="V140" s="269"/>
    </row>
    <row r="141" spans="1:33">
      <c r="A141" s="140"/>
      <c r="B141" s="240"/>
      <c r="C141" s="240"/>
      <c r="D141" s="240"/>
      <c r="E141" s="240"/>
      <c r="F141" s="240"/>
      <c r="G141" s="240"/>
      <c r="H141" s="240"/>
      <c r="I141" s="240"/>
      <c r="J141" s="240"/>
      <c r="K141" s="263"/>
      <c r="L141" s="240"/>
      <c r="M141" s="240"/>
      <c r="N141" s="264"/>
      <c r="O141" s="247"/>
      <c r="V141" s="269"/>
    </row>
    <row r="142" spans="1:33">
      <c r="A142" s="241" t="s">
        <v>132</v>
      </c>
      <c r="B142" s="240"/>
      <c r="C142" s="240"/>
      <c r="D142" s="240"/>
      <c r="E142" s="240"/>
      <c r="F142" s="240"/>
      <c r="G142" s="240"/>
      <c r="H142" s="240"/>
      <c r="I142" s="240"/>
      <c r="J142" s="240"/>
      <c r="K142" s="263"/>
      <c r="L142" s="240"/>
      <c r="M142" s="240"/>
      <c r="N142" s="264"/>
      <c r="O142" s="247"/>
      <c r="V142" s="269"/>
    </row>
    <row r="143" spans="1:33">
      <c r="A143" s="130" t="s">
        <v>133</v>
      </c>
      <c r="B143" s="242" t="s">
        <v>87</v>
      </c>
      <c r="C143" s="242" t="s">
        <v>88</v>
      </c>
      <c r="D143" s="242" t="s">
        <v>89</v>
      </c>
      <c r="E143" s="242" t="s">
        <v>90</v>
      </c>
      <c r="F143" s="242" t="s">
        <v>91</v>
      </c>
      <c r="G143" s="242" t="s">
        <v>92</v>
      </c>
      <c r="H143" s="242" t="s">
        <v>93</v>
      </c>
      <c r="I143" s="242" t="s">
        <v>94</v>
      </c>
      <c r="J143" s="242" t="s">
        <v>95</v>
      </c>
      <c r="K143" s="242" t="s">
        <v>96</v>
      </c>
      <c r="L143" s="242" t="s">
        <v>97</v>
      </c>
      <c r="M143" s="242" t="s">
        <v>98</v>
      </c>
      <c r="N143" s="242" t="s">
        <v>123</v>
      </c>
      <c r="O143" s="247"/>
      <c r="V143" s="269"/>
      <c r="W143" s="118"/>
    </row>
    <row r="144" spans="1:33">
      <c r="A144" s="243" t="s">
        <v>74</v>
      </c>
      <c r="B144" s="175">
        <v>3</v>
      </c>
      <c r="C144" s="225">
        <v>1</v>
      </c>
      <c r="D144" s="225">
        <v>0</v>
      </c>
      <c r="E144" s="225">
        <v>0</v>
      </c>
      <c r="F144" s="225">
        <v>0</v>
      </c>
      <c r="G144" s="225">
        <v>0</v>
      </c>
      <c r="H144" s="225">
        <v>0</v>
      </c>
      <c r="I144" s="225">
        <v>0</v>
      </c>
      <c r="J144" s="225">
        <v>0</v>
      </c>
      <c r="K144" s="225">
        <v>0</v>
      </c>
      <c r="L144" s="225">
        <v>0</v>
      </c>
      <c r="M144" s="225">
        <v>0</v>
      </c>
      <c r="N144" s="225">
        <f>SUM(B144:M144)</f>
        <v>4</v>
      </c>
      <c r="O144" s="247"/>
      <c r="V144" s="269"/>
      <c r="W144" s="118"/>
    </row>
    <row r="145" spans="1:23">
      <c r="A145" s="243" t="s">
        <v>134</v>
      </c>
      <c r="B145" s="175">
        <v>0</v>
      </c>
      <c r="C145" s="225">
        <v>0</v>
      </c>
      <c r="D145" s="225">
        <v>0</v>
      </c>
      <c r="E145" s="225">
        <v>0</v>
      </c>
      <c r="F145" s="225">
        <v>0</v>
      </c>
      <c r="G145" s="225">
        <v>0</v>
      </c>
      <c r="H145" s="225">
        <v>0</v>
      </c>
      <c r="I145" s="225">
        <v>0</v>
      </c>
      <c r="J145" s="225">
        <v>0</v>
      </c>
      <c r="K145" s="225">
        <v>0</v>
      </c>
      <c r="L145" s="225">
        <v>0</v>
      </c>
      <c r="M145" s="225">
        <v>0</v>
      </c>
      <c r="N145" s="225">
        <f>SUM(B145:M145)</f>
        <v>0</v>
      </c>
      <c r="O145" s="247"/>
      <c r="V145" s="269"/>
      <c r="W145" s="118"/>
    </row>
    <row r="146" spans="1:23">
      <c r="A146" s="244" t="s">
        <v>135</v>
      </c>
      <c r="B146" s="175">
        <v>409</v>
      </c>
      <c r="C146" s="225">
        <v>444</v>
      </c>
      <c r="D146" s="225">
        <v>512</v>
      </c>
      <c r="E146" s="225">
        <v>640</v>
      </c>
      <c r="F146" s="225">
        <v>629</v>
      </c>
      <c r="G146" s="225">
        <v>622</v>
      </c>
      <c r="H146" s="225">
        <v>632</v>
      </c>
      <c r="I146" s="225">
        <v>512</v>
      </c>
      <c r="J146" s="225">
        <v>524</v>
      </c>
      <c r="K146" s="225">
        <v>553</v>
      </c>
      <c r="L146" s="225">
        <v>877</v>
      </c>
      <c r="M146" s="225">
        <v>697</v>
      </c>
      <c r="N146" s="225">
        <f>SUM(B146:M146)</f>
        <v>7051</v>
      </c>
      <c r="O146" s="247"/>
      <c r="V146" s="269"/>
      <c r="W146" s="118"/>
    </row>
    <row r="147" spans="1:23">
      <c r="A147" s="245"/>
      <c r="B147" s="140"/>
      <c r="C147" s="246"/>
      <c r="D147" s="246"/>
      <c r="E147" s="246"/>
      <c r="F147" s="246"/>
      <c r="G147" s="246"/>
      <c r="H147" s="246"/>
      <c r="I147" s="246"/>
      <c r="J147" s="246"/>
      <c r="K147" s="246"/>
      <c r="L147" s="263"/>
      <c r="M147" s="246"/>
      <c r="N147" s="246"/>
      <c r="O147" s="247"/>
      <c r="P147" s="247"/>
      <c r="V147" s="269"/>
      <c r="W147" s="118"/>
    </row>
    <row r="148" spans="1:23">
      <c r="A148" s="241" t="s">
        <v>136</v>
      </c>
      <c r="B148" s="240"/>
      <c r="C148" s="240"/>
      <c r="D148" s="240"/>
      <c r="E148" s="240"/>
      <c r="F148" s="240"/>
      <c r="G148" s="240"/>
      <c r="H148" s="240"/>
      <c r="I148" s="240"/>
      <c r="J148" s="240"/>
      <c r="K148" s="263"/>
      <c r="L148" s="240"/>
      <c r="M148" s="240"/>
      <c r="N148" s="264"/>
      <c r="O148" s="247"/>
      <c r="V148" s="269"/>
    </row>
    <row r="149" spans="1:23">
      <c r="A149" s="130" t="s">
        <v>133</v>
      </c>
      <c r="B149" s="130" t="s">
        <v>137</v>
      </c>
      <c r="C149" s="242" t="s">
        <v>87</v>
      </c>
      <c r="D149" s="242" t="s">
        <v>88</v>
      </c>
      <c r="E149" s="242" t="s">
        <v>89</v>
      </c>
      <c r="F149" s="242" t="s">
        <v>90</v>
      </c>
      <c r="G149" s="242" t="s">
        <v>91</v>
      </c>
      <c r="H149" s="242" t="s">
        <v>92</v>
      </c>
      <c r="I149" s="242" t="s">
        <v>93</v>
      </c>
      <c r="J149" s="242" t="s">
        <v>94</v>
      </c>
      <c r="K149" s="242" t="s">
        <v>95</v>
      </c>
      <c r="L149" s="242" t="s">
        <v>96</v>
      </c>
      <c r="M149" s="242" t="s">
        <v>97</v>
      </c>
      <c r="N149" s="242" t="s">
        <v>98</v>
      </c>
      <c r="O149" s="242" t="s">
        <v>123</v>
      </c>
      <c r="P149" s="247"/>
      <c r="V149" s="269"/>
    </row>
    <row r="150" spans="1:23">
      <c r="A150" s="406" t="s">
        <v>74</v>
      </c>
      <c r="B150" s="147" t="s">
        <v>138</v>
      </c>
      <c r="C150" s="175">
        <v>0</v>
      </c>
      <c r="D150" s="225">
        <v>0</v>
      </c>
      <c r="E150" s="225">
        <v>0</v>
      </c>
      <c r="F150" s="225">
        <v>0</v>
      </c>
      <c r="G150" s="225">
        <v>0</v>
      </c>
      <c r="H150" s="225">
        <v>0</v>
      </c>
      <c r="I150" s="225">
        <v>0</v>
      </c>
      <c r="J150" s="225">
        <v>0</v>
      </c>
      <c r="K150" s="225">
        <v>0</v>
      </c>
      <c r="L150" s="225">
        <v>0</v>
      </c>
      <c r="M150" s="225">
        <v>0</v>
      </c>
      <c r="N150" s="225">
        <v>0</v>
      </c>
      <c r="O150" s="265">
        <f t="shared" ref="O150:O155" si="16">SUM(C150:N150)</f>
        <v>0</v>
      </c>
      <c r="P150" s="247"/>
      <c r="V150" s="269"/>
    </row>
    <row r="151" spans="1:23">
      <c r="A151" s="407"/>
      <c r="B151" s="147" t="s">
        <v>139</v>
      </c>
      <c r="C151" s="175">
        <v>2</v>
      </c>
      <c r="D151" s="225">
        <v>2</v>
      </c>
      <c r="E151" s="225">
        <v>0</v>
      </c>
      <c r="F151" s="225">
        <v>0</v>
      </c>
      <c r="G151" s="225">
        <v>0</v>
      </c>
      <c r="H151" s="225">
        <v>0</v>
      </c>
      <c r="I151" s="225">
        <v>0</v>
      </c>
      <c r="J151" s="225">
        <v>0</v>
      </c>
      <c r="K151" s="225">
        <v>0</v>
      </c>
      <c r="L151" s="225">
        <v>0</v>
      </c>
      <c r="M151" s="225">
        <v>0</v>
      </c>
      <c r="N151" s="225">
        <v>0</v>
      </c>
      <c r="O151" s="265">
        <f t="shared" si="16"/>
        <v>4</v>
      </c>
      <c r="P151" s="247"/>
      <c r="V151" s="269"/>
    </row>
    <row r="152" spans="1:23">
      <c r="A152" s="406" t="s">
        <v>134</v>
      </c>
      <c r="B152" s="147" t="s">
        <v>138</v>
      </c>
      <c r="C152" s="175">
        <v>0</v>
      </c>
      <c r="D152" s="225">
        <v>0</v>
      </c>
      <c r="E152" s="225">
        <v>0</v>
      </c>
      <c r="F152" s="225">
        <v>0</v>
      </c>
      <c r="G152" s="225">
        <v>0</v>
      </c>
      <c r="H152" s="225">
        <v>0</v>
      </c>
      <c r="I152" s="225">
        <v>0</v>
      </c>
      <c r="J152" s="225">
        <v>0</v>
      </c>
      <c r="K152" s="225">
        <v>0</v>
      </c>
      <c r="L152" s="225">
        <v>0</v>
      </c>
      <c r="M152" s="225">
        <v>0</v>
      </c>
      <c r="N152" s="225">
        <v>0</v>
      </c>
      <c r="O152" s="265">
        <f t="shared" si="16"/>
        <v>0</v>
      </c>
      <c r="P152" s="247"/>
      <c r="V152" s="269"/>
    </row>
    <row r="153" spans="1:23">
      <c r="A153" s="407"/>
      <c r="B153" s="147" t="s">
        <v>139</v>
      </c>
      <c r="C153" s="175">
        <v>0</v>
      </c>
      <c r="D153" s="225">
        <v>0</v>
      </c>
      <c r="E153" s="225">
        <v>0</v>
      </c>
      <c r="F153" s="225">
        <v>0</v>
      </c>
      <c r="G153" s="225">
        <v>0</v>
      </c>
      <c r="H153" s="225">
        <v>0</v>
      </c>
      <c r="I153" s="225">
        <v>0</v>
      </c>
      <c r="J153" s="225">
        <v>0</v>
      </c>
      <c r="K153" s="225">
        <v>0</v>
      </c>
      <c r="L153" s="225">
        <v>0</v>
      </c>
      <c r="M153" s="225">
        <v>0</v>
      </c>
      <c r="N153" s="225">
        <v>0</v>
      </c>
      <c r="O153" s="265">
        <f t="shared" si="16"/>
        <v>0</v>
      </c>
      <c r="P153" s="247"/>
      <c r="V153" s="269"/>
    </row>
    <row r="154" spans="1:23">
      <c r="A154" s="406" t="s">
        <v>135</v>
      </c>
      <c r="B154" s="147" t="s">
        <v>138</v>
      </c>
      <c r="C154" s="175">
        <v>322</v>
      </c>
      <c r="D154" s="225">
        <v>355</v>
      </c>
      <c r="E154" s="225">
        <v>351</v>
      </c>
      <c r="F154" s="225">
        <v>388</v>
      </c>
      <c r="G154" s="225">
        <v>376</v>
      </c>
      <c r="H154" s="225">
        <v>452</v>
      </c>
      <c r="I154" s="225">
        <v>434</v>
      </c>
      <c r="J154" s="225">
        <v>332</v>
      </c>
      <c r="K154" s="225">
        <v>354</v>
      </c>
      <c r="L154" s="225">
        <v>323</v>
      </c>
      <c r="M154" s="225">
        <v>575</v>
      </c>
      <c r="N154" s="225">
        <v>409</v>
      </c>
      <c r="O154" s="265">
        <f t="shared" si="16"/>
        <v>4671</v>
      </c>
      <c r="P154" s="247"/>
      <c r="V154" s="269"/>
    </row>
    <row r="155" spans="1:23">
      <c r="A155" s="407"/>
      <c r="B155" s="147" t="s">
        <v>139</v>
      </c>
      <c r="C155" s="175">
        <v>54</v>
      </c>
      <c r="D155" s="225">
        <v>66</v>
      </c>
      <c r="E155" s="225">
        <v>54</v>
      </c>
      <c r="F155" s="225">
        <v>71</v>
      </c>
      <c r="G155" s="225">
        <v>101</v>
      </c>
      <c r="H155" s="225">
        <v>79</v>
      </c>
      <c r="I155" s="225">
        <v>123</v>
      </c>
      <c r="J155" s="225">
        <v>115</v>
      </c>
      <c r="K155" s="225">
        <v>112</v>
      </c>
      <c r="L155" s="225">
        <v>167</v>
      </c>
      <c r="M155" s="225">
        <v>196</v>
      </c>
      <c r="N155" s="225">
        <v>222</v>
      </c>
      <c r="O155" s="265">
        <f t="shared" si="16"/>
        <v>1360</v>
      </c>
      <c r="P155" s="247"/>
      <c r="V155" s="269"/>
    </row>
    <row r="156" spans="1:23">
      <c r="B156" s="247"/>
      <c r="C156" s="247"/>
      <c r="D156" s="247"/>
      <c r="E156" s="247"/>
      <c r="F156" s="247"/>
      <c r="G156" s="247"/>
      <c r="H156" s="247"/>
      <c r="I156" s="247"/>
      <c r="J156" s="247"/>
      <c r="K156" s="247"/>
      <c r="L156" s="247"/>
      <c r="M156" s="247"/>
      <c r="V156" s="269"/>
    </row>
    <row r="157" spans="1:23">
      <c r="A157" s="248"/>
      <c r="B157" s="248"/>
      <c r="C157" s="248"/>
      <c r="D157" s="248"/>
      <c r="E157" s="248"/>
      <c r="F157" s="248"/>
      <c r="G157" s="248"/>
      <c r="H157" s="248"/>
      <c r="I157" s="248"/>
      <c r="J157" s="248"/>
      <c r="K157" s="248"/>
      <c r="L157" s="248"/>
      <c r="M157" s="248"/>
      <c r="N157" s="248"/>
      <c r="O157" s="248"/>
      <c r="P157" s="248"/>
      <c r="Q157" s="248"/>
      <c r="R157" s="248"/>
      <c r="S157" s="248"/>
      <c r="T157" s="248"/>
      <c r="U157" s="248"/>
      <c r="V157" s="270"/>
    </row>
    <row r="158" spans="1:23">
      <c r="B158" s="249"/>
      <c r="C158" s="249"/>
      <c r="D158" s="249"/>
      <c r="E158" s="249"/>
      <c r="F158" s="249"/>
      <c r="G158" s="249"/>
      <c r="H158" s="249"/>
      <c r="I158" s="249"/>
      <c r="J158" s="249"/>
      <c r="K158" s="249"/>
      <c r="L158" s="249"/>
      <c r="M158" s="249"/>
      <c r="P158" s="249"/>
    </row>
    <row r="159" spans="1:23">
      <c r="A159" s="405" t="s">
        <v>140</v>
      </c>
      <c r="B159" s="405"/>
      <c r="C159" s="405"/>
      <c r="D159" s="405"/>
      <c r="E159" s="405"/>
      <c r="F159" s="405"/>
      <c r="G159" s="405"/>
      <c r="H159" s="405"/>
      <c r="I159" s="405"/>
      <c r="J159" s="405"/>
      <c r="K159" s="405"/>
      <c r="L159" s="405"/>
      <c r="M159" s="405"/>
      <c r="N159" s="405"/>
    </row>
    <row r="160" spans="1:23">
      <c r="A160" s="250" t="s">
        <v>141</v>
      </c>
      <c r="B160" s="251" t="s">
        <v>142</v>
      </c>
      <c r="C160" s="252" t="s">
        <v>19</v>
      </c>
      <c r="D160" s="249"/>
      <c r="E160" s="249"/>
      <c r="F160" s="249"/>
      <c r="G160" s="249"/>
      <c r="H160" s="249"/>
      <c r="I160" s="249"/>
      <c r="J160" s="249"/>
      <c r="K160" s="249"/>
      <c r="L160" s="249"/>
      <c r="M160" s="247"/>
      <c r="P160" s="249"/>
    </row>
    <row r="161" spans="1:9">
      <c r="A161" s="253" t="s">
        <v>19</v>
      </c>
      <c r="B161" s="254"/>
      <c r="C161" s="255">
        <f>SUM(C162:C208)</f>
        <v>85</v>
      </c>
      <c r="D161" s="249"/>
      <c r="E161" s="249"/>
      <c r="F161" s="249"/>
      <c r="G161" s="249"/>
      <c r="H161" s="247"/>
      <c r="I161" s="247"/>
    </row>
    <row r="162" spans="1:9">
      <c r="A162" s="256" t="s">
        <v>143</v>
      </c>
      <c r="B162" s="142" t="s">
        <v>144</v>
      </c>
      <c r="C162" s="257">
        <v>2</v>
      </c>
      <c r="D162" s="247"/>
      <c r="E162" s="249"/>
      <c r="F162" s="247"/>
    </row>
    <row r="163" spans="1:9">
      <c r="A163" s="258" t="s">
        <v>145</v>
      </c>
      <c r="B163" s="145" t="s">
        <v>146</v>
      </c>
      <c r="C163" s="259">
        <v>3</v>
      </c>
    </row>
    <row r="164" spans="1:9">
      <c r="A164" s="258" t="s">
        <v>147</v>
      </c>
      <c r="B164" s="145" t="s">
        <v>148</v>
      </c>
      <c r="C164" s="259">
        <v>1</v>
      </c>
    </row>
    <row r="165" spans="1:9">
      <c r="A165" s="260" t="s">
        <v>149</v>
      </c>
      <c r="B165" s="261" t="s">
        <v>150</v>
      </c>
      <c r="C165" s="262">
        <v>1</v>
      </c>
    </row>
    <row r="166" spans="1:9">
      <c r="A166" s="260" t="s">
        <v>151</v>
      </c>
      <c r="B166" s="261" t="s">
        <v>152</v>
      </c>
      <c r="C166" s="262">
        <v>3</v>
      </c>
    </row>
    <row r="167" spans="1:9">
      <c r="A167" s="260" t="s">
        <v>153</v>
      </c>
      <c r="B167" s="261" t="s">
        <v>154</v>
      </c>
      <c r="C167" s="262">
        <v>1</v>
      </c>
    </row>
    <row r="168" spans="1:9">
      <c r="A168" s="260" t="s">
        <v>155</v>
      </c>
      <c r="B168" s="261" t="s">
        <v>156</v>
      </c>
      <c r="C168" s="262">
        <v>1</v>
      </c>
    </row>
    <row r="169" spans="1:9">
      <c r="A169" s="260" t="s">
        <v>157</v>
      </c>
      <c r="B169" s="261" t="s">
        <v>158</v>
      </c>
      <c r="C169" s="262">
        <v>2</v>
      </c>
    </row>
    <row r="170" spans="1:9">
      <c r="A170" s="260" t="s">
        <v>159</v>
      </c>
      <c r="B170" s="261" t="s">
        <v>160</v>
      </c>
      <c r="C170" s="262">
        <v>1</v>
      </c>
    </row>
    <row r="171" spans="1:9">
      <c r="A171" s="260" t="s">
        <v>161</v>
      </c>
      <c r="B171" s="261" t="s">
        <v>162</v>
      </c>
      <c r="C171" s="262">
        <v>2</v>
      </c>
    </row>
    <row r="172" spans="1:9">
      <c r="A172" s="260" t="s">
        <v>163</v>
      </c>
      <c r="B172" s="261" t="s">
        <v>164</v>
      </c>
      <c r="C172" s="262">
        <v>3</v>
      </c>
    </row>
    <row r="173" spans="1:9">
      <c r="A173" s="260" t="s">
        <v>165</v>
      </c>
      <c r="B173" s="261" t="s">
        <v>166</v>
      </c>
      <c r="C173" s="262">
        <v>2</v>
      </c>
    </row>
    <row r="174" spans="1:9">
      <c r="A174" s="260" t="s">
        <v>167</v>
      </c>
      <c r="B174" s="261" t="s">
        <v>168</v>
      </c>
      <c r="C174" s="262">
        <v>2</v>
      </c>
    </row>
    <row r="175" spans="1:9">
      <c r="A175" s="260" t="s">
        <v>169</v>
      </c>
      <c r="B175" s="261" t="s">
        <v>170</v>
      </c>
      <c r="C175" s="262">
        <v>2</v>
      </c>
    </row>
    <row r="176" spans="1:9">
      <c r="A176" s="260" t="s">
        <v>171</v>
      </c>
      <c r="B176" s="261" t="s">
        <v>172</v>
      </c>
      <c r="C176" s="262">
        <v>1</v>
      </c>
    </row>
    <row r="177" spans="1:3">
      <c r="A177" s="260" t="s">
        <v>173</v>
      </c>
      <c r="B177" s="261" t="s">
        <v>174</v>
      </c>
      <c r="C177" s="262">
        <v>6</v>
      </c>
    </row>
    <row r="178" spans="1:3">
      <c r="A178" s="260" t="s">
        <v>175</v>
      </c>
      <c r="B178" s="261" t="s">
        <v>176</v>
      </c>
      <c r="C178" s="262">
        <v>2</v>
      </c>
    </row>
    <row r="179" spans="1:3">
      <c r="A179" s="260" t="s">
        <v>177</v>
      </c>
      <c r="B179" s="261" t="s">
        <v>178</v>
      </c>
      <c r="C179" s="262">
        <v>1</v>
      </c>
    </row>
    <row r="180" spans="1:3">
      <c r="A180" s="260" t="s">
        <v>179</v>
      </c>
      <c r="B180" s="261" t="s">
        <v>180</v>
      </c>
      <c r="C180" s="262">
        <v>1</v>
      </c>
    </row>
    <row r="181" spans="1:3">
      <c r="A181" s="260" t="s">
        <v>181</v>
      </c>
      <c r="B181" s="261" t="s">
        <v>182</v>
      </c>
      <c r="C181" s="262">
        <v>1</v>
      </c>
    </row>
    <row r="182" spans="1:3">
      <c r="A182" s="260" t="s">
        <v>183</v>
      </c>
      <c r="B182" s="261" t="s">
        <v>184</v>
      </c>
      <c r="C182" s="262">
        <v>3</v>
      </c>
    </row>
    <row r="183" spans="1:3">
      <c r="A183" s="260" t="s">
        <v>185</v>
      </c>
      <c r="B183" s="261" t="s">
        <v>186</v>
      </c>
      <c r="C183" s="262">
        <v>2</v>
      </c>
    </row>
    <row r="184" spans="1:3">
      <c r="A184" s="260" t="s">
        <v>187</v>
      </c>
      <c r="B184" s="261" t="s">
        <v>188</v>
      </c>
      <c r="C184" s="262">
        <v>2</v>
      </c>
    </row>
    <row r="185" spans="1:3">
      <c r="A185" s="260" t="s">
        <v>189</v>
      </c>
      <c r="B185" s="261" t="s">
        <v>190</v>
      </c>
      <c r="C185" s="262">
        <v>1</v>
      </c>
    </row>
    <row r="186" spans="1:3">
      <c r="A186" s="260" t="s">
        <v>191</v>
      </c>
      <c r="B186" s="261" t="s">
        <v>192</v>
      </c>
      <c r="C186" s="262">
        <v>1</v>
      </c>
    </row>
    <row r="187" spans="1:3">
      <c r="A187" s="260" t="s">
        <v>193</v>
      </c>
      <c r="B187" s="261" t="s">
        <v>194</v>
      </c>
      <c r="C187" s="262">
        <v>2</v>
      </c>
    </row>
    <row r="188" spans="1:3">
      <c r="A188" s="260" t="s">
        <v>195</v>
      </c>
      <c r="B188" s="261" t="s">
        <v>196</v>
      </c>
      <c r="C188" s="262">
        <v>1</v>
      </c>
    </row>
    <row r="189" spans="1:3">
      <c r="A189" s="260" t="s">
        <v>197</v>
      </c>
      <c r="B189" s="261" t="s">
        <v>198</v>
      </c>
      <c r="C189" s="262">
        <v>2</v>
      </c>
    </row>
    <row r="190" spans="1:3">
      <c r="A190" s="260" t="s">
        <v>199</v>
      </c>
      <c r="B190" s="261" t="s">
        <v>200</v>
      </c>
      <c r="C190" s="262">
        <v>1</v>
      </c>
    </row>
    <row r="191" spans="1:3">
      <c r="A191" s="260" t="s">
        <v>201</v>
      </c>
      <c r="B191" s="261" t="s">
        <v>202</v>
      </c>
      <c r="C191" s="262">
        <v>3</v>
      </c>
    </row>
    <row r="192" spans="1:3">
      <c r="A192" s="260" t="s">
        <v>203</v>
      </c>
      <c r="B192" s="261" t="s">
        <v>204</v>
      </c>
      <c r="C192" s="262">
        <v>1</v>
      </c>
    </row>
    <row r="193" spans="1:3">
      <c r="A193" s="260" t="s">
        <v>205</v>
      </c>
      <c r="B193" s="261" t="s">
        <v>206</v>
      </c>
      <c r="C193" s="262">
        <v>1</v>
      </c>
    </row>
    <row r="194" spans="1:3">
      <c r="A194" s="260" t="s">
        <v>207</v>
      </c>
      <c r="B194" s="261" t="s">
        <v>208</v>
      </c>
      <c r="C194" s="262">
        <v>2</v>
      </c>
    </row>
    <row r="195" spans="1:3">
      <c r="A195" s="260" t="s">
        <v>209</v>
      </c>
      <c r="B195" s="261" t="s">
        <v>210</v>
      </c>
      <c r="C195" s="262">
        <v>1</v>
      </c>
    </row>
    <row r="196" spans="1:3">
      <c r="A196" s="260" t="s">
        <v>211</v>
      </c>
      <c r="B196" s="261" t="s">
        <v>212</v>
      </c>
      <c r="C196" s="262">
        <v>1</v>
      </c>
    </row>
    <row r="197" spans="1:3">
      <c r="A197" s="260" t="s">
        <v>213</v>
      </c>
      <c r="B197" s="261" t="s">
        <v>214</v>
      </c>
      <c r="C197" s="262">
        <v>2</v>
      </c>
    </row>
    <row r="198" spans="1:3">
      <c r="A198" s="260" t="s">
        <v>215</v>
      </c>
      <c r="B198" s="261" t="s">
        <v>216</v>
      </c>
      <c r="C198" s="262">
        <v>2</v>
      </c>
    </row>
    <row r="199" spans="1:3">
      <c r="A199" s="260" t="s">
        <v>217</v>
      </c>
      <c r="B199" s="261" t="s">
        <v>218</v>
      </c>
      <c r="C199" s="262">
        <v>1</v>
      </c>
    </row>
    <row r="200" spans="1:3">
      <c r="A200" s="260" t="s">
        <v>219</v>
      </c>
      <c r="B200" s="261" t="s">
        <v>220</v>
      </c>
      <c r="C200" s="262">
        <v>1</v>
      </c>
    </row>
    <row r="201" spans="1:3">
      <c r="A201" s="260" t="s">
        <v>221</v>
      </c>
      <c r="B201" s="261" t="s">
        <v>222</v>
      </c>
      <c r="C201" s="262">
        <v>5</v>
      </c>
    </row>
    <row r="202" spans="1:3">
      <c r="A202" s="260" t="s">
        <v>223</v>
      </c>
      <c r="B202" s="261" t="s">
        <v>224</v>
      </c>
      <c r="C202" s="262">
        <v>3</v>
      </c>
    </row>
    <row r="203" spans="1:3">
      <c r="A203" s="260" t="s">
        <v>225</v>
      </c>
      <c r="B203" s="261" t="s">
        <v>226</v>
      </c>
      <c r="C203" s="262">
        <v>2</v>
      </c>
    </row>
    <row r="204" spans="1:3">
      <c r="A204" s="260" t="s">
        <v>227</v>
      </c>
      <c r="B204" s="261" t="s">
        <v>228</v>
      </c>
      <c r="C204" s="262">
        <v>1</v>
      </c>
    </row>
    <row r="205" spans="1:3">
      <c r="A205" s="260" t="s">
        <v>229</v>
      </c>
      <c r="B205" s="261" t="s">
        <v>230</v>
      </c>
      <c r="C205" s="262">
        <v>2</v>
      </c>
    </row>
    <row r="206" spans="1:3">
      <c r="A206" s="260" t="s">
        <v>231</v>
      </c>
      <c r="B206" s="261" t="s">
        <v>232</v>
      </c>
      <c r="C206" s="262">
        <v>1</v>
      </c>
    </row>
    <row r="207" spans="1:3">
      <c r="A207" s="260" t="s">
        <v>233</v>
      </c>
      <c r="B207" s="261" t="s">
        <v>234</v>
      </c>
      <c r="C207" s="262">
        <v>1</v>
      </c>
    </row>
    <row r="208" spans="1:3">
      <c r="A208" s="272" t="s">
        <v>235</v>
      </c>
      <c r="B208" s="273" t="s">
        <v>236</v>
      </c>
      <c r="C208" s="274">
        <v>2</v>
      </c>
    </row>
  </sheetData>
  <mergeCells count="46">
    <mergeCell ref="A159:N159"/>
    <mergeCell ref="A150:A151"/>
    <mergeCell ref="A152:A153"/>
    <mergeCell ref="A154:A155"/>
    <mergeCell ref="A107:N107"/>
    <mergeCell ref="A122:V122"/>
    <mergeCell ref="A124:N124"/>
    <mergeCell ref="A130:N130"/>
    <mergeCell ref="A136:N136"/>
    <mergeCell ref="A33:V33"/>
    <mergeCell ref="A36:E36"/>
    <mergeCell ref="A88:V88"/>
    <mergeCell ref="A90:N90"/>
    <mergeCell ref="A105:V105"/>
    <mergeCell ref="H29:I29"/>
    <mergeCell ref="N29:O29"/>
    <mergeCell ref="H30:I30"/>
    <mergeCell ref="N30:O30"/>
    <mergeCell ref="H31:I31"/>
    <mergeCell ref="A27:E27"/>
    <mergeCell ref="H27:L27"/>
    <mergeCell ref="N27:R27"/>
    <mergeCell ref="H28:I28"/>
    <mergeCell ref="N28:O28"/>
    <mergeCell ref="N12:O12"/>
    <mergeCell ref="A16:V16"/>
    <mergeCell ref="A18:F18"/>
    <mergeCell ref="I18:V18"/>
    <mergeCell ref="A25:V25"/>
    <mergeCell ref="G9:H9"/>
    <mergeCell ref="N9:O9"/>
    <mergeCell ref="G10:H10"/>
    <mergeCell ref="N10:O10"/>
    <mergeCell ref="F11:G11"/>
    <mergeCell ref="N11:O11"/>
    <mergeCell ref="A3:D3"/>
    <mergeCell ref="A4:V4"/>
    <mergeCell ref="A6:V6"/>
    <mergeCell ref="A8:D8"/>
    <mergeCell ref="G8:K8"/>
    <mergeCell ref="N8:R8"/>
    <mergeCell ref="A1:D1"/>
    <mergeCell ref="A2:D2"/>
    <mergeCell ref="E2:H2"/>
    <mergeCell ref="I2:L2"/>
    <mergeCell ref="M2:P2"/>
  </mergeCells>
  <pageMargins left="0.25" right="0.25" top="0.5" bottom="0.25" header="0.3" footer="0.3"/>
  <pageSetup scale="65" fitToWidth="0" fitToHeight="0"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S48"/>
  <sheetViews>
    <sheetView showGridLines="0" topLeftCell="A16" zoomScale="90" zoomScaleNormal="90" workbookViewId="0">
      <pane xSplit="1" topLeftCell="BD1" activePane="topRight" state="frozen"/>
      <selection pane="topRight" activeCell="BP42" sqref="BP42:BS42"/>
    </sheetView>
  </sheetViews>
  <sheetFormatPr defaultColWidth="9.33203125" defaultRowHeight="15.6"/>
  <cols>
    <col min="1" max="1" width="71.33203125" style="62" customWidth="1"/>
    <col min="2" max="43" width="9.33203125" style="62"/>
    <col min="44" max="51" width="8.6640625" style="62" customWidth="1"/>
    <col min="52" max="16384" width="9.33203125" style="62"/>
  </cols>
  <sheetData>
    <row r="1" spans="1:71">
      <c r="A1" s="63" t="s">
        <v>237</v>
      </c>
    </row>
    <row r="2" spans="1:71">
      <c r="A2" s="63"/>
    </row>
    <row r="3" spans="1:71">
      <c r="A3" s="63"/>
    </row>
    <row r="4" spans="1:71">
      <c r="A4" s="415" t="s">
        <v>238</v>
      </c>
      <c r="B4" s="96">
        <v>2023</v>
      </c>
      <c r="C4" s="97"/>
      <c r="D4" s="97"/>
      <c r="E4" s="97"/>
      <c r="F4" s="97"/>
      <c r="G4" s="97"/>
      <c r="H4" s="97"/>
      <c r="I4" s="97"/>
      <c r="J4" s="97"/>
      <c r="K4" s="97"/>
      <c r="L4" s="97"/>
      <c r="M4" s="97"/>
      <c r="N4" s="97"/>
      <c r="O4" s="97"/>
      <c r="P4" s="97"/>
      <c r="Q4" s="97"/>
      <c r="R4" s="97"/>
      <c r="S4" s="97"/>
      <c r="T4" s="97"/>
      <c r="U4" s="97"/>
      <c r="V4" s="97"/>
      <c r="W4" s="97"/>
      <c r="X4" s="97"/>
      <c r="Y4" s="110"/>
      <c r="Z4" s="111">
        <v>2024</v>
      </c>
      <c r="AA4" s="111"/>
      <c r="AB4" s="111"/>
      <c r="AC4" s="111"/>
      <c r="AD4" s="111"/>
      <c r="AE4" s="111"/>
      <c r="AF4" s="111"/>
      <c r="AG4" s="111"/>
      <c r="AH4" s="111"/>
      <c r="AI4" s="111"/>
      <c r="AJ4" s="111"/>
      <c r="AK4" s="111"/>
      <c r="AL4" s="111"/>
      <c r="AM4" s="111"/>
      <c r="AN4" s="111"/>
      <c r="AO4" s="111"/>
      <c r="AP4" s="111"/>
      <c r="AQ4" s="111"/>
      <c r="AR4" s="111"/>
      <c r="AS4" s="111"/>
      <c r="AT4" s="111"/>
      <c r="AU4" s="111"/>
      <c r="AV4" s="111"/>
      <c r="AW4" s="113"/>
      <c r="AX4" s="114">
        <v>2025</v>
      </c>
      <c r="AY4" s="114"/>
      <c r="AZ4" s="114"/>
      <c r="BA4" s="114"/>
      <c r="BB4" s="114"/>
      <c r="BC4" s="114"/>
      <c r="BD4" s="114"/>
      <c r="BE4" s="114"/>
      <c r="BF4" s="114"/>
      <c r="BG4" s="114"/>
      <c r="BH4" s="114"/>
      <c r="BI4" s="114"/>
      <c r="BJ4" s="114"/>
      <c r="BK4" s="114"/>
      <c r="BL4" s="114"/>
      <c r="BM4" s="114"/>
      <c r="BN4" s="114"/>
      <c r="BO4" s="114"/>
      <c r="BP4" s="114"/>
      <c r="BQ4" s="114"/>
      <c r="BR4" s="114"/>
      <c r="BS4" s="116"/>
    </row>
    <row r="5" spans="1:71">
      <c r="A5" s="415"/>
      <c r="B5" s="409" t="s">
        <v>239</v>
      </c>
      <c r="C5" s="410"/>
      <c r="D5" s="409" t="s">
        <v>240</v>
      </c>
      <c r="E5" s="410"/>
      <c r="F5" s="409" t="s">
        <v>241</v>
      </c>
      <c r="G5" s="410"/>
      <c r="H5" s="409" t="s">
        <v>242</v>
      </c>
      <c r="I5" s="410"/>
      <c r="J5" s="409" t="s">
        <v>94</v>
      </c>
      <c r="K5" s="410"/>
      <c r="L5" s="409" t="s">
        <v>243</v>
      </c>
      <c r="M5" s="410"/>
      <c r="N5" s="409" t="s">
        <v>244</v>
      </c>
      <c r="O5" s="410"/>
      <c r="P5" s="409" t="s">
        <v>245</v>
      </c>
      <c r="Q5" s="410"/>
      <c r="R5" s="409" t="s">
        <v>246</v>
      </c>
      <c r="S5" s="410"/>
      <c r="T5" s="409" t="s">
        <v>247</v>
      </c>
      <c r="U5" s="410"/>
      <c r="V5" s="409" t="s">
        <v>248</v>
      </c>
      <c r="W5" s="410"/>
      <c r="X5" s="409" t="s">
        <v>249</v>
      </c>
      <c r="Y5" s="410"/>
      <c r="Z5" s="411" t="s">
        <v>239</v>
      </c>
      <c r="AA5" s="412"/>
      <c r="AB5" s="411" t="s">
        <v>240</v>
      </c>
      <c r="AC5" s="412"/>
      <c r="AD5" s="411" t="s">
        <v>241</v>
      </c>
      <c r="AE5" s="412"/>
      <c r="AF5" s="411" t="s">
        <v>242</v>
      </c>
      <c r="AG5" s="412"/>
      <c r="AH5" s="411" t="s">
        <v>94</v>
      </c>
      <c r="AI5" s="412"/>
      <c r="AJ5" s="411" t="s">
        <v>243</v>
      </c>
      <c r="AK5" s="412"/>
      <c r="AL5" s="411" t="s">
        <v>244</v>
      </c>
      <c r="AM5" s="412"/>
      <c r="AN5" s="411" t="s">
        <v>245</v>
      </c>
      <c r="AO5" s="412"/>
      <c r="AP5" s="411" t="s">
        <v>246</v>
      </c>
      <c r="AQ5" s="412"/>
      <c r="AR5" s="411" t="s">
        <v>247</v>
      </c>
      <c r="AS5" s="412"/>
      <c r="AT5" s="411" t="s">
        <v>248</v>
      </c>
      <c r="AU5" s="412"/>
      <c r="AV5" s="411" t="s">
        <v>249</v>
      </c>
      <c r="AW5" s="412"/>
      <c r="AX5" s="413" t="s">
        <v>239</v>
      </c>
      <c r="AY5" s="414"/>
      <c r="AZ5" s="413" t="s">
        <v>240</v>
      </c>
      <c r="BA5" s="414"/>
      <c r="BB5" s="413" t="s">
        <v>241</v>
      </c>
      <c r="BC5" s="414"/>
      <c r="BD5" s="413" t="s">
        <v>242</v>
      </c>
      <c r="BE5" s="414"/>
      <c r="BF5" s="413" t="s">
        <v>94</v>
      </c>
      <c r="BG5" s="414"/>
      <c r="BH5" s="413" t="s">
        <v>243</v>
      </c>
      <c r="BI5" s="414"/>
      <c r="BJ5" s="413" t="s">
        <v>244</v>
      </c>
      <c r="BK5" s="414"/>
      <c r="BL5" s="413" t="s">
        <v>245</v>
      </c>
      <c r="BM5" s="414"/>
      <c r="BN5" s="413" t="s">
        <v>246</v>
      </c>
      <c r="BO5" s="414"/>
      <c r="BP5" s="413" t="s">
        <v>247</v>
      </c>
      <c r="BQ5" s="414"/>
      <c r="BR5" s="413" t="s">
        <v>248</v>
      </c>
      <c r="BS5" s="414"/>
    </row>
    <row r="6" spans="1:71">
      <c r="A6" s="415"/>
      <c r="B6" s="98" t="s">
        <v>250</v>
      </c>
      <c r="C6" s="98" t="s">
        <v>251</v>
      </c>
      <c r="D6" s="98" t="s">
        <v>250</v>
      </c>
      <c r="E6" s="98" t="s">
        <v>251</v>
      </c>
      <c r="F6" s="98" t="s">
        <v>250</v>
      </c>
      <c r="G6" s="98" t="s">
        <v>251</v>
      </c>
      <c r="H6" s="98" t="s">
        <v>250</v>
      </c>
      <c r="I6" s="98" t="s">
        <v>251</v>
      </c>
      <c r="J6" s="98" t="s">
        <v>250</v>
      </c>
      <c r="K6" s="98" t="s">
        <v>251</v>
      </c>
      <c r="L6" s="98" t="s">
        <v>250</v>
      </c>
      <c r="M6" s="98" t="s">
        <v>251</v>
      </c>
      <c r="N6" s="98" t="s">
        <v>250</v>
      </c>
      <c r="O6" s="98" t="s">
        <v>251</v>
      </c>
      <c r="P6" s="98" t="s">
        <v>250</v>
      </c>
      <c r="Q6" s="98" t="s">
        <v>251</v>
      </c>
      <c r="R6" s="98" t="s">
        <v>250</v>
      </c>
      <c r="S6" s="98" t="s">
        <v>251</v>
      </c>
      <c r="T6" s="98" t="s">
        <v>250</v>
      </c>
      <c r="U6" s="98" t="s">
        <v>251</v>
      </c>
      <c r="V6" s="98" t="s">
        <v>250</v>
      </c>
      <c r="W6" s="98" t="s">
        <v>251</v>
      </c>
      <c r="X6" s="98" t="s">
        <v>250</v>
      </c>
      <c r="Y6" s="98" t="s">
        <v>251</v>
      </c>
      <c r="Z6" s="112" t="s">
        <v>250</v>
      </c>
      <c r="AA6" s="112" t="s">
        <v>251</v>
      </c>
      <c r="AB6" s="112" t="s">
        <v>250</v>
      </c>
      <c r="AC6" s="112" t="s">
        <v>251</v>
      </c>
      <c r="AD6" s="112" t="s">
        <v>250</v>
      </c>
      <c r="AE6" s="112" t="s">
        <v>251</v>
      </c>
      <c r="AF6" s="112" t="s">
        <v>250</v>
      </c>
      <c r="AG6" s="112" t="s">
        <v>251</v>
      </c>
      <c r="AH6" s="112" t="s">
        <v>250</v>
      </c>
      <c r="AI6" s="112" t="s">
        <v>251</v>
      </c>
      <c r="AJ6" s="112" t="s">
        <v>250</v>
      </c>
      <c r="AK6" s="112" t="s">
        <v>251</v>
      </c>
      <c r="AL6" s="112" t="s">
        <v>250</v>
      </c>
      <c r="AM6" s="112" t="s">
        <v>251</v>
      </c>
      <c r="AN6" s="112" t="s">
        <v>250</v>
      </c>
      <c r="AO6" s="112" t="s">
        <v>251</v>
      </c>
      <c r="AP6" s="112" t="s">
        <v>250</v>
      </c>
      <c r="AQ6" s="112" t="s">
        <v>251</v>
      </c>
      <c r="AR6" s="112" t="s">
        <v>250</v>
      </c>
      <c r="AS6" s="112" t="s">
        <v>251</v>
      </c>
      <c r="AT6" s="112" t="s">
        <v>250</v>
      </c>
      <c r="AU6" s="112" t="s">
        <v>251</v>
      </c>
      <c r="AV6" s="112" t="s">
        <v>250</v>
      </c>
      <c r="AW6" s="112" t="s">
        <v>251</v>
      </c>
      <c r="AX6" s="115" t="s">
        <v>250</v>
      </c>
      <c r="AY6" s="115" t="s">
        <v>251</v>
      </c>
      <c r="AZ6" s="115" t="s">
        <v>250</v>
      </c>
      <c r="BA6" s="115" t="s">
        <v>251</v>
      </c>
      <c r="BB6" s="115" t="s">
        <v>250</v>
      </c>
      <c r="BC6" s="115" t="s">
        <v>251</v>
      </c>
      <c r="BD6" s="115" t="s">
        <v>250</v>
      </c>
      <c r="BE6" s="115" t="s">
        <v>251</v>
      </c>
      <c r="BF6" s="115" t="s">
        <v>250</v>
      </c>
      <c r="BG6" s="115" t="s">
        <v>251</v>
      </c>
      <c r="BH6" s="115" t="s">
        <v>250</v>
      </c>
      <c r="BI6" s="115" t="s">
        <v>251</v>
      </c>
      <c r="BJ6" s="115" t="s">
        <v>250</v>
      </c>
      <c r="BK6" s="115" t="s">
        <v>251</v>
      </c>
      <c r="BL6" s="115" t="s">
        <v>250</v>
      </c>
      <c r="BM6" s="115" t="s">
        <v>251</v>
      </c>
      <c r="BN6" s="115" t="s">
        <v>250</v>
      </c>
      <c r="BO6" s="115" t="s">
        <v>251</v>
      </c>
      <c r="BP6" s="115" t="s">
        <v>250</v>
      </c>
      <c r="BQ6" s="115" t="s">
        <v>251</v>
      </c>
      <c r="BR6" s="115" t="s">
        <v>250</v>
      </c>
      <c r="BS6" s="115" t="s">
        <v>251</v>
      </c>
    </row>
    <row r="7" spans="1:71">
      <c r="A7" s="99" t="s">
        <v>252</v>
      </c>
      <c r="B7" s="100">
        <v>50.077658426273302</v>
      </c>
      <c r="C7" s="100">
        <v>43.682359565160901</v>
      </c>
      <c r="D7" s="100">
        <v>42.8849597689292</v>
      </c>
      <c r="E7" s="100">
        <v>42.793431428339098</v>
      </c>
      <c r="F7" s="100">
        <v>43.019862114248198</v>
      </c>
      <c r="G7" s="100">
        <v>45.321667390360403</v>
      </c>
      <c r="H7" s="100">
        <v>48.512544145301099</v>
      </c>
      <c r="I7" s="100">
        <v>50.272072432594697</v>
      </c>
      <c r="J7" s="100">
        <v>43.268614947011102</v>
      </c>
      <c r="K7" s="100">
        <v>35.515960701047199</v>
      </c>
      <c r="L7" s="100">
        <v>38.078070847470002</v>
      </c>
      <c r="M7" s="100">
        <v>39.270787586005</v>
      </c>
      <c r="N7" s="100">
        <v>42.1362040288302</v>
      </c>
      <c r="O7" s="100">
        <v>42.786277168932997</v>
      </c>
      <c r="P7" s="100">
        <v>39.808013122535201</v>
      </c>
      <c r="Q7" s="100">
        <v>38.775142406590902</v>
      </c>
      <c r="R7" s="100">
        <v>39.5924269346241</v>
      </c>
      <c r="S7" s="100">
        <v>41.875955231963403</v>
      </c>
      <c r="T7" s="100">
        <v>42.9138738536613</v>
      </c>
      <c r="U7" s="100">
        <v>43.546961036236802</v>
      </c>
      <c r="V7" s="100">
        <v>45.120786661849003</v>
      </c>
      <c r="W7" s="100">
        <v>49.731165088513798</v>
      </c>
      <c r="X7" s="100">
        <v>47.522367040371101</v>
      </c>
      <c r="Y7" s="100">
        <v>51.771931276026599</v>
      </c>
      <c r="Z7" s="100">
        <v>52.979935818612603</v>
      </c>
      <c r="AA7" s="100">
        <v>50.791533546325901</v>
      </c>
      <c r="AB7" s="100">
        <v>49.791127167630002</v>
      </c>
      <c r="AC7" s="100">
        <v>49.976735015772903</v>
      </c>
      <c r="AD7" s="100">
        <v>52.243794608027301</v>
      </c>
      <c r="AE7" s="100">
        <v>57.474983343380202</v>
      </c>
      <c r="AF7" s="100">
        <v>57.4653049351992</v>
      </c>
      <c r="AG7" s="100">
        <v>53.038229128129203</v>
      </c>
      <c r="AH7" s="100">
        <v>51.096821369944799</v>
      </c>
      <c r="AI7" s="100">
        <v>48.689999422932701</v>
      </c>
      <c r="AJ7" s="100">
        <v>48.943587243317701</v>
      </c>
      <c r="AK7" s="100">
        <v>51.507137204326298</v>
      </c>
      <c r="AL7" s="100">
        <v>53.008566818248497</v>
      </c>
      <c r="AM7" s="100">
        <v>53.8983598707051</v>
      </c>
      <c r="AN7" s="100">
        <v>54.131327732104701</v>
      </c>
      <c r="AO7" s="100">
        <v>53.920766255958299</v>
      </c>
      <c r="AP7" s="100">
        <v>54.472243985955103</v>
      </c>
      <c r="AQ7" s="100">
        <v>56.155186841725602</v>
      </c>
      <c r="AR7" s="100">
        <v>0</v>
      </c>
      <c r="AS7" s="100">
        <v>0</v>
      </c>
      <c r="AT7" s="100">
        <v>0</v>
      </c>
      <c r="AU7" s="100">
        <v>0</v>
      </c>
      <c r="AV7" s="100">
        <v>0</v>
      </c>
      <c r="AW7" s="100">
        <v>0</v>
      </c>
      <c r="AX7" s="100">
        <v>0</v>
      </c>
      <c r="AY7" s="100">
        <v>0</v>
      </c>
      <c r="AZ7" s="100">
        <v>0</v>
      </c>
      <c r="BA7" s="100">
        <v>0</v>
      </c>
      <c r="BB7" s="100">
        <v>0</v>
      </c>
      <c r="BC7" s="100">
        <v>0</v>
      </c>
      <c r="BD7" s="100">
        <v>0</v>
      </c>
      <c r="BE7" s="100">
        <v>0</v>
      </c>
      <c r="BF7" s="100">
        <v>0</v>
      </c>
      <c r="BG7" s="100">
        <v>0</v>
      </c>
      <c r="BH7" s="100">
        <v>0</v>
      </c>
      <c r="BI7" s="100">
        <v>0</v>
      </c>
      <c r="BJ7" s="100">
        <v>0</v>
      </c>
      <c r="BK7" s="100">
        <v>0</v>
      </c>
      <c r="BL7" s="100">
        <v>0</v>
      </c>
      <c r="BM7" s="100">
        <v>0</v>
      </c>
      <c r="BN7" s="100">
        <v>0</v>
      </c>
      <c r="BO7" s="100">
        <v>0</v>
      </c>
      <c r="BP7" s="100">
        <v>68.037905683496106</v>
      </c>
      <c r="BQ7" s="100">
        <v>66.516308276111303</v>
      </c>
      <c r="BR7" s="100">
        <v>66.879156541033296</v>
      </c>
      <c r="BS7" s="100">
        <v>68.685432420554903</v>
      </c>
    </row>
    <row r="8" spans="1:71">
      <c r="A8" s="99" t="s">
        <v>253</v>
      </c>
      <c r="B8" s="100">
        <v>0</v>
      </c>
      <c r="C8" s="100">
        <v>0</v>
      </c>
      <c r="D8" s="100">
        <v>0</v>
      </c>
      <c r="E8" s="100">
        <v>0</v>
      </c>
      <c r="F8" s="100">
        <v>0</v>
      </c>
      <c r="G8" s="100">
        <v>0</v>
      </c>
      <c r="H8" s="100">
        <v>0</v>
      </c>
      <c r="I8" s="100">
        <v>0</v>
      </c>
      <c r="J8" s="100">
        <v>0</v>
      </c>
      <c r="K8" s="100">
        <v>0</v>
      </c>
      <c r="L8" s="100">
        <v>0</v>
      </c>
      <c r="M8" s="100">
        <v>0</v>
      </c>
      <c r="N8" s="100">
        <v>0</v>
      </c>
      <c r="O8" s="100">
        <v>0</v>
      </c>
      <c r="P8" s="100">
        <v>0</v>
      </c>
      <c r="Q8" s="100">
        <v>0</v>
      </c>
      <c r="R8" s="100">
        <v>0</v>
      </c>
      <c r="S8" s="100">
        <v>0</v>
      </c>
      <c r="T8" s="100">
        <v>0</v>
      </c>
      <c r="U8" s="100">
        <v>0</v>
      </c>
      <c r="V8" s="100">
        <v>0</v>
      </c>
      <c r="W8" s="100">
        <v>0</v>
      </c>
      <c r="X8" s="100">
        <v>0</v>
      </c>
      <c r="Y8" s="100">
        <v>0</v>
      </c>
      <c r="Z8" s="100">
        <v>0</v>
      </c>
      <c r="AA8" s="100">
        <v>0</v>
      </c>
      <c r="AB8" s="100">
        <v>0</v>
      </c>
      <c r="AC8" s="100">
        <v>0</v>
      </c>
      <c r="AD8" s="100">
        <v>0</v>
      </c>
      <c r="AE8" s="100">
        <v>0</v>
      </c>
      <c r="AF8" s="100">
        <v>0</v>
      </c>
      <c r="AG8" s="100">
        <v>0</v>
      </c>
      <c r="AH8" s="100">
        <v>0</v>
      </c>
      <c r="AI8" s="100">
        <v>0</v>
      </c>
      <c r="AJ8" s="100">
        <v>0</v>
      </c>
      <c r="AK8" s="100">
        <v>0</v>
      </c>
      <c r="AL8" s="100">
        <v>0</v>
      </c>
      <c r="AM8" s="100">
        <v>0</v>
      </c>
      <c r="AN8" s="100">
        <v>0</v>
      </c>
      <c r="AO8" s="100">
        <v>0</v>
      </c>
      <c r="AP8" s="100">
        <v>0</v>
      </c>
      <c r="AQ8" s="100">
        <v>0</v>
      </c>
      <c r="AR8" s="100">
        <v>0</v>
      </c>
      <c r="AS8" s="100">
        <v>0</v>
      </c>
      <c r="AT8" s="100">
        <v>0</v>
      </c>
      <c r="AU8" s="100">
        <v>0</v>
      </c>
      <c r="AV8" s="100">
        <v>0</v>
      </c>
      <c r="AW8" s="100">
        <v>0</v>
      </c>
      <c r="AX8" s="100">
        <v>0</v>
      </c>
      <c r="AY8" s="100">
        <v>0</v>
      </c>
      <c r="AZ8" s="100">
        <v>0</v>
      </c>
      <c r="BA8" s="100">
        <v>0</v>
      </c>
      <c r="BB8" s="100">
        <v>0</v>
      </c>
      <c r="BC8" s="100">
        <v>0</v>
      </c>
      <c r="BD8" s="100">
        <v>0</v>
      </c>
      <c r="BE8" s="100">
        <v>0</v>
      </c>
      <c r="BF8" s="100">
        <v>0</v>
      </c>
      <c r="BG8" s="100">
        <v>0</v>
      </c>
      <c r="BH8" s="100">
        <v>0</v>
      </c>
      <c r="BI8" s="100">
        <v>0</v>
      </c>
      <c r="BJ8" s="100">
        <v>0</v>
      </c>
      <c r="BK8" s="100">
        <v>0</v>
      </c>
      <c r="BL8" s="100">
        <v>0</v>
      </c>
      <c r="BM8" s="100">
        <v>0</v>
      </c>
      <c r="BN8" s="100">
        <v>0</v>
      </c>
      <c r="BO8" s="100">
        <v>0</v>
      </c>
      <c r="BP8" s="100">
        <v>15.880102040816301</v>
      </c>
      <c r="BQ8" s="100">
        <v>12.4433734939759</v>
      </c>
      <c r="BR8" s="100">
        <v>13.9154704944178</v>
      </c>
      <c r="BS8" s="100">
        <v>20.285189718482201</v>
      </c>
    </row>
    <row r="9" spans="1:71">
      <c r="A9" s="99" t="s">
        <v>254</v>
      </c>
      <c r="B9" s="100">
        <v>71.904302019315196</v>
      </c>
      <c r="C9" s="100">
        <v>59.022913256955803</v>
      </c>
      <c r="D9" s="100">
        <v>58.804856115107903</v>
      </c>
      <c r="E9" s="100">
        <v>56.031290074377999</v>
      </c>
      <c r="F9" s="100">
        <v>52.507682593138298</v>
      </c>
      <c r="G9" s="100">
        <v>53.2716579959285</v>
      </c>
      <c r="H9" s="100">
        <v>55.766170368562399</v>
      </c>
      <c r="I9" s="100">
        <v>61.291329479768798</v>
      </c>
      <c r="J9" s="100">
        <v>62.604145077720197</v>
      </c>
      <c r="K9" s="100">
        <v>53.525115473441097</v>
      </c>
      <c r="L9" s="100">
        <v>51.425330341560702</v>
      </c>
      <c r="M9" s="100">
        <v>55.124661912957897</v>
      </c>
      <c r="N9" s="100">
        <v>56.2574047954866</v>
      </c>
      <c r="O9" s="100">
        <v>59.815751093826002</v>
      </c>
      <c r="P9" s="100">
        <v>62.833025586916399</v>
      </c>
      <c r="Q9" s="100">
        <v>64.755285412262197</v>
      </c>
      <c r="R9" s="100">
        <v>68.187044534412905</v>
      </c>
      <c r="S9" s="100">
        <v>68.341557440246703</v>
      </c>
      <c r="T9" s="100">
        <v>74.314603536794095</v>
      </c>
      <c r="U9" s="100">
        <v>92.067290392227406</v>
      </c>
      <c r="V9" s="100">
        <v>97.720650910499799</v>
      </c>
      <c r="W9" s="100">
        <v>113.121052631579</v>
      </c>
      <c r="X9" s="100">
        <v>129.61562306261601</v>
      </c>
      <c r="Y9" s="100">
        <v>146.55374351371401</v>
      </c>
      <c r="Z9" s="100">
        <v>77.981526404179903</v>
      </c>
      <c r="AA9" s="100">
        <v>75.938209331651905</v>
      </c>
      <c r="AB9" s="100">
        <v>76.470211291998595</v>
      </c>
      <c r="AC9" s="100">
        <v>81.219173135945098</v>
      </c>
      <c r="AD9" s="100">
        <v>84.981841763942896</v>
      </c>
      <c r="AE9" s="100">
        <v>85.947713679336303</v>
      </c>
      <c r="AF9" s="100">
        <v>87.7138511458122</v>
      </c>
      <c r="AG9" s="100">
        <v>86.285536159600994</v>
      </c>
      <c r="AH9" s="100">
        <v>83.976139294926895</v>
      </c>
      <c r="AI9" s="100">
        <v>83.456290941947103</v>
      </c>
      <c r="AJ9" s="100">
        <v>83.823098724610304</v>
      </c>
      <c r="AK9" s="100">
        <v>83.342960288808698</v>
      </c>
      <c r="AL9" s="100">
        <v>81.917795422699697</v>
      </c>
      <c r="AM9" s="100">
        <v>80.867273151387906</v>
      </c>
      <c r="AN9" s="100">
        <v>79.539192949907203</v>
      </c>
      <c r="AO9" s="100">
        <v>80.371352785145902</v>
      </c>
      <c r="AP9" s="100">
        <v>80.3619439071567</v>
      </c>
      <c r="AQ9" s="100">
        <v>79.239981785063705</v>
      </c>
      <c r="AR9" s="100">
        <v>0</v>
      </c>
      <c r="AS9" s="100">
        <v>0</v>
      </c>
      <c r="AT9" s="100">
        <v>0</v>
      </c>
      <c r="AU9" s="100">
        <v>0</v>
      </c>
      <c r="AV9" s="100">
        <v>0</v>
      </c>
      <c r="AW9" s="100">
        <v>0</v>
      </c>
      <c r="AX9" s="100">
        <v>0</v>
      </c>
      <c r="AY9" s="100">
        <v>0</v>
      </c>
      <c r="AZ9" s="100">
        <v>0</v>
      </c>
      <c r="BA9" s="100">
        <v>0</v>
      </c>
      <c r="BB9" s="100">
        <v>0</v>
      </c>
      <c r="BC9" s="100">
        <v>0</v>
      </c>
      <c r="BD9" s="100">
        <v>0</v>
      </c>
      <c r="BE9" s="100">
        <v>0</v>
      </c>
      <c r="BF9" s="100">
        <v>0</v>
      </c>
      <c r="BG9" s="100">
        <v>0</v>
      </c>
      <c r="BH9" s="100">
        <v>0</v>
      </c>
      <c r="BI9" s="100">
        <v>0</v>
      </c>
      <c r="BJ9" s="100">
        <v>0</v>
      </c>
      <c r="BK9" s="100">
        <v>0</v>
      </c>
      <c r="BL9" s="100">
        <v>0</v>
      </c>
      <c r="BM9" s="100">
        <v>0</v>
      </c>
      <c r="BN9" s="100">
        <v>0</v>
      </c>
      <c r="BO9" s="100">
        <v>0</v>
      </c>
      <c r="BP9" s="100">
        <v>145.93632075471601</v>
      </c>
      <c r="BQ9" s="100">
        <v>148.921269095182</v>
      </c>
      <c r="BR9" s="100">
        <v>157.367346938775</v>
      </c>
      <c r="BS9" s="100">
        <v>163.159705159705</v>
      </c>
    </row>
    <row r="10" spans="1:71">
      <c r="A10" s="101" t="s">
        <v>255</v>
      </c>
      <c r="B10" s="102">
        <v>0</v>
      </c>
      <c r="C10" s="102">
        <v>0</v>
      </c>
      <c r="D10" s="102">
        <v>0</v>
      </c>
      <c r="E10" s="102">
        <v>0</v>
      </c>
      <c r="F10" s="102">
        <v>0</v>
      </c>
      <c r="G10" s="102">
        <v>0</v>
      </c>
      <c r="H10" s="102">
        <v>0</v>
      </c>
      <c r="I10" s="102">
        <v>0</v>
      </c>
      <c r="J10" s="102">
        <v>0</v>
      </c>
      <c r="K10" s="102">
        <v>0</v>
      </c>
      <c r="L10" s="102">
        <v>0</v>
      </c>
      <c r="M10" s="102">
        <v>0</v>
      </c>
      <c r="N10" s="102">
        <v>0</v>
      </c>
      <c r="O10" s="102">
        <v>0</v>
      </c>
      <c r="P10" s="102">
        <v>0</v>
      </c>
      <c r="Q10" s="102">
        <v>0</v>
      </c>
      <c r="R10" s="102">
        <v>0</v>
      </c>
      <c r="S10" s="102">
        <v>0</v>
      </c>
      <c r="T10" s="102">
        <v>0</v>
      </c>
      <c r="U10" s="102">
        <v>0</v>
      </c>
      <c r="V10" s="102">
        <v>0</v>
      </c>
      <c r="W10" s="102">
        <v>0</v>
      </c>
      <c r="X10" s="102">
        <v>0</v>
      </c>
      <c r="Y10" s="102">
        <v>0</v>
      </c>
      <c r="Z10" s="102">
        <v>0</v>
      </c>
      <c r="AA10" s="102">
        <v>0</v>
      </c>
      <c r="AB10" s="102">
        <v>0</v>
      </c>
      <c r="AC10" s="102">
        <v>0</v>
      </c>
      <c r="AD10" s="102">
        <v>0</v>
      </c>
      <c r="AE10" s="102">
        <v>0</v>
      </c>
      <c r="AF10" s="102">
        <v>0</v>
      </c>
      <c r="AG10" s="102">
        <v>0</v>
      </c>
      <c r="AH10" s="102">
        <v>0</v>
      </c>
      <c r="AI10" s="102">
        <v>0</v>
      </c>
      <c r="AJ10" s="102">
        <v>0</v>
      </c>
      <c r="AK10" s="102">
        <v>0</v>
      </c>
      <c r="AL10" s="102">
        <v>0</v>
      </c>
      <c r="AM10" s="102">
        <v>0</v>
      </c>
      <c r="AN10" s="102">
        <v>0</v>
      </c>
      <c r="AO10" s="102">
        <v>0</v>
      </c>
      <c r="AP10" s="102">
        <v>0</v>
      </c>
      <c r="AQ10" s="102">
        <v>0</v>
      </c>
      <c r="AR10" s="102">
        <v>0</v>
      </c>
      <c r="AS10" s="102">
        <v>0</v>
      </c>
      <c r="AT10" s="102">
        <v>0</v>
      </c>
      <c r="AU10" s="102">
        <v>0</v>
      </c>
      <c r="AV10" s="102">
        <v>0</v>
      </c>
      <c r="AW10" s="102">
        <v>0</v>
      </c>
      <c r="AX10" s="102">
        <v>0</v>
      </c>
      <c r="AY10" s="102">
        <v>0</v>
      </c>
      <c r="AZ10" s="102">
        <v>0</v>
      </c>
      <c r="BA10" s="102">
        <v>0</v>
      </c>
      <c r="BB10" s="102">
        <v>0</v>
      </c>
      <c r="BC10" s="102">
        <v>0</v>
      </c>
      <c r="BD10" s="102">
        <v>0</v>
      </c>
      <c r="BE10" s="102">
        <v>0</v>
      </c>
      <c r="BF10" s="102">
        <v>0</v>
      </c>
      <c r="BG10" s="102">
        <v>0</v>
      </c>
      <c r="BH10" s="102">
        <v>0</v>
      </c>
      <c r="BI10" s="102">
        <v>0</v>
      </c>
      <c r="BJ10" s="102">
        <v>0</v>
      </c>
      <c r="BK10" s="102">
        <v>0</v>
      </c>
      <c r="BL10" s="102">
        <v>0</v>
      </c>
      <c r="BM10" s="102">
        <v>0</v>
      </c>
      <c r="BN10" s="102">
        <v>0</v>
      </c>
      <c r="BO10" s="102">
        <v>0</v>
      </c>
      <c r="BP10" s="102">
        <v>11.6</v>
      </c>
      <c r="BQ10" s="102">
        <v>20.467532467532401</v>
      </c>
      <c r="BR10" s="102">
        <v>31.030612244897899</v>
      </c>
      <c r="BS10" s="102">
        <v>40.9652173913043</v>
      </c>
    </row>
    <row r="11" spans="1:71">
      <c r="A11" s="103" t="s">
        <v>19</v>
      </c>
      <c r="B11" s="102">
        <v>52.365263400045997</v>
      </c>
      <c r="C11" s="102">
        <v>45.474946450428398</v>
      </c>
      <c r="D11" s="102">
        <v>44.8112146820935</v>
      </c>
      <c r="E11" s="102">
        <v>44.604399845619398</v>
      </c>
      <c r="F11" s="102">
        <v>44.567876644115501</v>
      </c>
      <c r="G11" s="102">
        <v>46.602018141415599</v>
      </c>
      <c r="H11" s="102">
        <v>49.659961389961403</v>
      </c>
      <c r="I11" s="102">
        <v>51.897872158969797</v>
      </c>
      <c r="J11" s="102">
        <v>45.535598574437103</v>
      </c>
      <c r="K11" s="102">
        <v>37.512175610380503</v>
      </c>
      <c r="L11" s="102">
        <v>39.781840748520104</v>
      </c>
      <c r="M11" s="102">
        <v>41.324806473192901</v>
      </c>
      <c r="N11" s="102">
        <v>44.054872400907101</v>
      </c>
      <c r="O11" s="102">
        <v>45.017676848106497</v>
      </c>
      <c r="P11" s="102">
        <v>42.498428060658398</v>
      </c>
      <c r="Q11" s="102">
        <v>41.5954901454514</v>
      </c>
      <c r="R11" s="102">
        <v>42.507194541502699</v>
      </c>
      <c r="S11" s="102">
        <v>44.649465377467699</v>
      </c>
      <c r="T11" s="102">
        <v>45.724969997191202</v>
      </c>
      <c r="U11" s="102">
        <v>46.842363809663503</v>
      </c>
      <c r="V11" s="102">
        <v>48.4058121808987</v>
      </c>
      <c r="W11" s="102">
        <v>53.170097339389997</v>
      </c>
      <c r="X11" s="102">
        <v>51.022946572553998</v>
      </c>
      <c r="Y11" s="102">
        <v>55.171576708322199</v>
      </c>
      <c r="Z11" s="102">
        <v>56.4418634695881</v>
      </c>
      <c r="AA11" s="102">
        <v>54.338457629272</v>
      </c>
      <c r="AB11" s="102">
        <v>53.606578491108102</v>
      </c>
      <c r="AC11" s="102">
        <v>54.193090173720201</v>
      </c>
      <c r="AD11" s="102">
        <v>56.660533946605298</v>
      </c>
      <c r="AE11" s="102">
        <v>61.495858536319503</v>
      </c>
      <c r="AF11" s="102">
        <v>61.623299509366603</v>
      </c>
      <c r="AG11" s="102">
        <v>57.333387027491398</v>
      </c>
      <c r="AH11" s="102">
        <v>55.105380402023201</v>
      </c>
      <c r="AI11" s="102">
        <v>52.627836766022803</v>
      </c>
      <c r="AJ11" s="102">
        <v>52.720372359470097</v>
      </c>
      <c r="AK11" s="102">
        <v>54.963393603678902</v>
      </c>
      <c r="AL11" s="102">
        <v>56.235019678369397</v>
      </c>
      <c r="AM11" s="102">
        <v>56.9651714899599</v>
      </c>
      <c r="AN11" s="102">
        <v>57.0514139502652</v>
      </c>
      <c r="AO11" s="102">
        <v>56.845536476109203</v>
      </c>
      <c r="AP11" s="102">
        <v>57.246547659144497</v>
      </c>
      <c r="AQ11" s="102">
        <v>58.751760698645199</v>
      </c>
      <c r="AR11" s="102">
        <v>0</v>
      </c>
      <c r="AS11" s="102">
        <v>0</v>
      </c>
      <c r="AT11" s="102">
        <v>0</v>
      </c>
      <c r="AU11" s="102">
        <v>0</v>
      </c>
      <c r="AV11" s="102">
        <v>0</v>
      </c>
      <c r="AW11" s="102">
        <v>0</v>
      </c>
      <c r="AX11" s="102">
        <v>0</v>
      </c>
      <c r="AY11" s="102">
        <v>0</v>
      </c>
      <c r="AZ11" s="102">
        <v>0</v>
      </c>
      <c r="BA11" s="102">
        <v>0</v>
      </c>
      <c r="BB11" s="102">
        <v>0</v>
      </c>
      <c r="BC11" s="102">
        <v>0</v>
      </c>
      <c r="BD11" s="102">
        <v>0</v>
      </c>
      <c r="BE11" s="102">
        <v>0</v>
      </c>
      <c r="BF11" s="102">
        <v>0</v>
      </c>
      <c r="BG11" s="102">
        <v>0</v>
      </c>
      <c r="BH11" s="102">
        <v>0</v>
      </c>
      <c r="BI11" s="102">
        <v>0</v>
      </c>
      <c r="BJ11" s="102">
        <v>0</v>
      </c>
      <c r="BK11" s="102">
        <v>0</v>
      </c>
      <c r="BL11" s="102">
        <v>0</v>
      </c>
      <c r="BM11" s="102">
        <v>0</v>
      </c>
      <c r="BN11" s="102">
        <v>0</v>
      </c>
      <c r="BO11" s="102">
        <v>0</v>
      </c>
      <c r="BP11" s="102">
        <v>68.687952215277505</v>
      </c>
      <c r="BQ11" s="102">
        <v>67.167820401174893</v>
      </c>
      <c r="BR11" s="102">
        <v>67.449217655473404</v>
      </c>
      <c r="BS11" s="102">
        <v>69.189916586698104</v>
      </c>
    </row>
    <row r="13" spans="1:71">
      <c r="A13" s="63" t="s">
        <v>256</v>
      </c>
    </row>
    <row r="14" spans="1:71">
      <c r="A14" s="104"/>
    </row>
    <row r="15" spans="1:71">
      <c r="A15" s="104"/>
    </row>
    <row r="16" spans="1:71">
      <c r="A16" s="416" t="s">
        <v>238</v>
      </c>
      <c r="B16" s="96">
        <v>2023</v>
      </c>
      <c r="C16" s="97"/>
      <c r="D16" s="97"/>
      <c r="E16" s="97"/>
      <c r="F16" s="97"/>
      <c r="G16" s="97"/>
      <c r="H16" s="97"/>
      <c r="I16" s="97"/>
      <c r="J16" s="97"/>
      <c r="K16" s="97"/>
      <c r="L16" s="97"/>
      <c r="M16" s="97"/>
      <c r="N16" s="97"/>
      <c r="O16" s="97"/>
      <c r="P16" s="97"/>
      <c r="Q16" s="97"/>
      <c r="R16" s="97"/>
      <c r="S16" s="97"/>
      <c r="T16" s="97"/>
      <c r="U16" s="97"/>
      <c r="V16" s="97"/>
      <c r="W16" s="97"/>
      <c r="X16" s="97"/>
      <c r="Y16" s="110"/>
      <c r="Z16" s="111">
        <v>2024</v>
      </c>
      <c r="AA16" s="111"/>
      <c r="AB16" s="111"/>
      <c r="AC16" s="111"/>
      <c r="AD16" s="111"/>
      <c r="AE16" s="111"/>
      <c r="AF16" s="111"/>
      <c r="AG16" s="111"/>
      <c r="AH16" s="111"/>
      <c r="AI16" s="111"/>
      <c r="AJ16" s="111"/>
      <c r="AK16" s="111"/>
      <c r="AL16" s="111"/>
      <c r="AM16" s="111"/>
      <c r="AN16" s="111"/>
      <c r="AO16" s="111"/>
      <c r="AP16" s="111"/>
      <c r="AQ16" s="111"/>
      <c r="AR16" s="111"/>
      <c r="AS16" s="111"/>
      <c r="AT16" s="111"/>
      <c r="AU16" s="111"/>
      <c r="AV16" s="111"/>
      <c r="AW16" s="113"/>
      <c r="AX16" s="114">
        <v>2025</v>
      </c>
      <c r="AY16" s="114"/>
      <c r="AZ16" s="114"/>
      <c r="BA16" s="114"/>
      <c r="BB16" s="114"/>
      <c r="BC16" s="114"/>
      <c r="BD16" s="114"/>
      <c r="BE16" s="114"/>
      <c r="BF16" s="114"/>
      <c r="BG16" s="114"/>
      <c r="BH16" s="114"/>
      <c r="BI16" s="114"/>
      <c r="BJ16" s="114"/>
      <c r="BK16" s="114"/>
      <c r="BL16" s="114"/>
      <c r="BM16" s="114"/>
      <c r="BN16" s="114"/>
      <c r="BO16" s="114"/>
      <c r="BP16" s="114"/>
      <c r="BQ16" s="114"/>
      <c r="BR16" s="114"/>
      <c r="BS16" s="116"/>
    </row>
    <row r="17" spans="1:71">
      <c r="A17" s="416"/>
      <c r="B17" s="409" t="s">
        <v>239</v>
      </c>
      <c r="C17" s="410"/>
      <c r="D17" s="409" t="s">
        <v>240</v>
      </c>
      <c r="E17" s="410"/>
      <c r="F17" s="409" t="s">
        <v>241</v>
      </c>
      <c r="G17" s="410"/>
      <c r="H17" s="409" t="s">
        <v>242</v>
      </c>
      <c r="I17" s="410"/>
      <c r="J17" s="409" t="s">
        <v>94</v>
      </c>
      <c r="K17" s="410"/>
      <c r="L17" s="409" t="s">
        <v>243</v>
      </c>
      <c r="M17" s="410"/>
      <c r="N17" s="409" t="s">
        <v>244</v>
      </c>
      <c r="O17" s="410"/>
      <c r="P17" s="409" t="s">
        <v>245</v>
      </c>
      <c r="Q17" s="410"/>
      <c r="R17" s="409" t="s">
        <v>246</v>
      </c>
      <c r="S17" s="410"/>
      <c r="T17" s="409" t="s">
        <v>247</v>
      </c>
      <c r="U17" s="410"/>
      <c r="V17" s="409" t="s">
        <v>248</v>
      </c>
      <c r="W17" s="410"/>
      <c r="X17" s="409" t="s">
        <v>249</v>
      </c>
      <c r="Y17" s="410"/>
      <c r="Z17" s="411" t="s">
        <v>239</v>
      </c>
      <c r="AA17" s="412"/>
      <c r="AB17" s="411" t="s">
        <v>240</v>
      </c>
      <c r="AC17" s="412"/>
      <c r="AD17" s="411" t="s">
        <v>241</v>
      </c>
      <c r="AE17" s="412"/>
      <c r="AF17" s="411" t="s">
        <v>242</v>
      </c>
      <c r="AG17" s="412"/>
      <c r="AH17" s="411" t="s">
        <v>94</v>
      </c>
      <c r="AI17" s="412"/>
      <c r="AJ17" s="411" t="s">
        <v>243</v>
      </c>
      <c r="AK17" s="412"/>
      <c r="AL17" s="411" t="s">
        <v>244</v>
      </c>
      <c r="AM17" s="412"/>
      <c r="AN17" s="411" t="s">
        <v>245</v>
      </c>
      <c r="AO17" s="412"/>
      <c r="AP17" s="411" t="s">
        <v>246</v>
      </c>
      <c r="AQ17" s="412"/>
      <c r="AR17" s="411" t="s">
        <v>247</v>
      </c>
      <c r="AS17" s="412"/>
      <c r="AT17" s="411" t="s">
        <v>248</v>
      </c>
      <c r="AU17" s="412"/>
      <c r="AV17" s="411" t="s">
        <v>249</v>
      </c>
      <c r="AW17" s="412"/>
      <c r="AX17" s="413" t="s">
        <v>239</v>
      </c>
      <c r="AY17" s="414"/>
      <c r="AZ17" s="413" t="s">
        <v>240</v>
      </c>
      <c r="BA17" s="414"/>
      <c r="BB17" s="413" t="s">
        <v>241</v>
      </c>
      <c r="BC17" s="414"/>
      <c r="BD17" s="413" t="s">
        <v>242</v>
      </c>
      <c r="BE17" s="414"/>
      <c r="BF17" s="413" t="s">
        <v>94</v>
      </c>
      <c r="BG17" s="414"/>
      <c r="BH17" s="413" t="s">
        <v>243</v>
      </c>
      <c r="BI17" s="414"/>
      <c r="BJ17" s="413" t="s">
        <v>244</v>
      </c>
      <c r="BK17" s="414"/>
      <c r="BL17" s="413" t="s">
        <v>245</v>
      </c>
      <c r="BM17" s="414"/>
      <c r="BN17" s="413" t="s">
        <v>246</v>
      </c>
      <c r="BO17" s="414"/>
      <c r="BP17" s="413" t="s">
        <v>247</v>
      </c>
      <c r="BQ17" s="414"/>
      <c r="BR17" s="413" t="s">
        <v>248</v>
      </c>
      <c r="BS17" s="414"/>
    </row>
    <row r="18" spans="1:71">
      <c r="A18" s="416"/>
      <c r="B18" s="98" t="s">
        <v>250</v>
      </c>
      <c r="C18" s="98" t="s">
        <v>251</v>
      </c>
      <c r="D18" s="98" t="s">
        <v>250</v>
      </c>
      <c r="E18" s="98" t="s">
        <v>251</v>
      </c>
      <c r="F18" s="98" t="s">
        <v>250</v>
      </c>
      <c r="G18" s="98" t="s">
        <v>251</v>
      </c>
      <c r="H18" s="98" t="s">
        <v>250</v>
      </c>
      <c r="I18" s="98" t="s">
        <v>251</v>
      </c>
      <c r="J18" s="98" t="s">
        <v>250</v>
      </c>
      <c r="K18" s="98" t="s">
        <v>251</v>
      </c>
      <c r="L18" s="98" t="s">
        <v>250</v>
      </c>
      <c r="M18" s="98" t="s">
        <v>251</v>
      </c>
      <c r="N18" s="98" t="s">
        <v>250</v>
      </c>
      <c r="O18" s="98" t="s">
        <v>251</v>
      </c>
      <c r="P18" s="98" t="s">
        <v>250</v>
      </c>
      <c r="Q18" s="98" t="s">
        <v>251</v>
      </c>
      <c r="R18" s="98" t="s">
        <v>250</v>
      </c>
      <c r="S18" s="98" t="s">
        <v>251</v>
      </c>
      <c r="T18" s="98" t="s">
        <v>250</v>
      </c>
      <c r="U18" s="98" t="s">
        <v>251</v>
      </c>
      <c r="V18" s="98" t="s">
        <v>250</v>
      </c>
      <c r="W18" s="98" t="s">
        <v>251</v>
      </c>
      <c r="X18" s="98" t="s">
        <v>250</v>
      </c>
      <c r="Y18" s="98" t="s">
        <v>251</v>
      </c>
      <c r="Z18" s="112" t="s">
        <v>250</v>
      </c>
      <c r="AA18" s="112" t="s">
        <v>251</v>
      </c>
      <c r="AB18" s="112" t="s">
        <v>250</v>
      </c>
      <c r="AC18" s="112" t="s">
        <v>251</v>
      </c>
      <c r="AD18" s="112" t="s">
        <v>250</v>
      </c>
      <c r="AE18" s="112" t="s">
        <v>251</v>
      </c>
      <c r="AF18" s="112" t="s">
        <v>250</v>
      </c>
      <c r="AG18" s="112" t="s">
        <v>251</v>
      </c>
      <c r="AH18" s="112" t="s">
        <v>250</v>
      </c>
      <c r="AI18" s="112" t="s">
        <v>251</v>
      </c>
      <c r="AJ18" s="112" t="s">
        <v>250</v>
      </c>
      <c r="AK18" s="112" t="s">
        <v>251</v>
      </c>
      <c r="AL18" s="112" t="s">
        <v>250</v>
      </c>
      <c r="AM18" s="112" t="s">
        <v>251</v>
      </c>
      <c r="AN18" s="112" t="s">
        <v>250</v>
      </c>
      <c r="AO18" s="112" t="s">
        <v>251</v>
      </c>
      <c r="AP18" s="112" t="s">
        <v>250</v>
      </c>
      <c r="AQ18" s="112" t="s">
        <v>251</v>
      </c>
      <c r="AR18" s="112" t="s">
        <v>250</v>
      </c>
      <c r="AS18" s="112" t="s">
        <v>251</v>
      </c>
      <c r="AT18" s="112" t="s">
        <v>250</v>
      </c>
      <c r="AU18" s="112" t="s">
        <v>251</v>
      </c>
      <c r="AV18" s="112" t="s">
        <v>250</v>
      </c>
      <c r="AW18" s="112" t="s">
        <v>251</v>
      </c>
      <c r="AX18" s="115" t="s">
        <v>250</v>
      </c>
      <c r="AY18" s="115" t="s">
        <v>251</v>
      </c>
      <c r="AZ18" s="115" t="s">
        <v>250</v>
      </c>
      <c r="BA18" s="115" t="s">
        <v>251</v>
      </c>
      <c r="BB18" s="115" t="s">
        <v>250</v>
      </c>
      <c r="BC18" s="115" t="s">
        <v>251</v>
      </c>
      <c r="BD18" s="115" t="s">
        <v>250</v>
      </c>
      <c r="BE18" s="115" t="s">
        <v>251</v>
      </c>
      <c r="BF18" s="115" t="s">
        <v>250</v>
      </c>
      <c r="BG18" s="115" t="s">
        <v>251</v>
      </c>
      <c r="BH18" s="115" t="s">
        <v>250</v>
      </c>
      <c r="BI18" s="115" t="s">
        <v>251</v>
      </c>
      <c r="BJ18" s="115" t="s">
        <v>250</v>
      </c>
      <c r="BK18" s="115" t="s">
        <v>251</v>
      </c>
      <c r="BL18" s="115" t="s">
        <v>250</v>
      </c>
      <c r="BM18" s="115" t="s">
        <v>251</v>
      </c>
      <c r="BN18" s="115" t="s">
        <v>250</v>
      </c>
      <c r="BO18" s="115" t="s">
        <v>251</v>
      </c>
      <c r="BP18" s="115" t="s">
        <v>250</v>
      </c>
      <c r="BQ18" s="115" t="s">
        <v>251</v>
      </c>
      <c r="BR18" s="115" t="s">
        <v>250</v>
      </c>
      <c r="BS18" s="115" t="s">
        <v>251</v>
      </c>
    </row>
    <row r="19" spans="1:71">
      <c r="A19" s="105" t="s">
        <v>252</v>
      </c>
      <c r="B19" s="106"/>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06"/>
      <c r="AO19" s="106"/>
      <c r="AP19" s="106"/>
      <c r="AQ19" s="106"/>
      <c r="AR19" s="106"/>
      <c r="AS19" s="106"/>
      <c r="AT19" s="106"/>
      <c r="AU19" s="106"/>
      <c r="AV19" s="106"/>
      <c r="AW19" s="106"/>
      <c r="AX19" s="106"/>
      <c r="AY19" s="106"/>
      <c r="AZ19" s="106"/>
      <c r="BA19" s="106"/>
      <c r="BB19" s="106"/>
      <c r="BC19" s="106"/>
      <c r="BD19" s="106"/>
      <c r="BE19" s="106"/>
      <c r="BF19" s="106"/>
      <c r="BG19" s="106"/>
      <c r="BH19" s="106"/>
      <c r="BI19" s="106"/>
      <c r="BJ19" s="106"/>
      <c r="BK19" s="106"/>
      <c r="BL19" s="106"/>
      <c r="BM19" s="106"/>
      <c r="BN19" s="106"/>
      <c r="BO19" s="106"/>
      <c r="BP19" s="106"/>
      <c r="BQ19" s="106"/>
      <c r="BR19" s="106"/>
      <c r="BS19" s="106"/>
    </row>
    <row r="20" spans="1:71">
      <c r="A20" s="107" t="s">
        <v>257</v>
      </c>
      <c r="B20" s="107">
        <v>18356</v>
      </c>
      <c r="C20" s="107">
        <v>22026</v>
      </c>
      <c r="D20" s="107">
        <v>23176</v>
      </c>
      <c r="E20" s="107">
        <v>23562</v>
      </c>
      <c r="F20" s="107">
        <v>23326</v>
      </c>
      <c r="G20" s="107">
        <v>21987</v>
      </c>
      <c r="H20" s="107">
        <v>20755</v>
      </c>
      <c r="I20" s="107">
        <v>18911</v>
      </c>
      <c r="J20" s="107">
        <v>20705</v>
      </c>
      <c r="K20" s="107">
        <v>26752</v>
      </c>
      <c r="L20" s="107">
        <v>26400</v>
      </c>
      <c r="M20" s="107">
        <v>26307</v>
      </c>
      <c r="N20" s="107">
        <v>25999</v>
      </c>
      <c r="O20" s="107">
        <v>26225</v>
      </c>
      <c r="P20" s="107">
        <v>27603</v>
      </c>
      <c r="Q20" s="107">
        <v>29998</v>
      </c>
      <c r="R20" s="107">
        <v>31502</v>
      </c>
      <c r="S20" s="107">
        <v>32067</v>
      </c>
      <c r="T20" s="107">
        <v>34446</v>
      </c>
      <c r="U20" s="107">
        <v>36891</v>
      </c>
      <c r="V20" s="107">
        <v>37429</v>
      </c>
      <c r="W20" s="107">
        <v>35089</v>
      </c>
      <c r="X20" s="107">
        <v>34834</v>
      </c>
      <c r="Y20" s="107">
        <v>34821</v>
      </c>
      <c r="Z20" s="107">
        <v>31681</v>
      </c>
      <c r="AA20" s="107">
        <v>32131</v>
      </c>
      <c r="AB20" s="107">
        <v>32888</v>
      </c>
      <c r="AC20" s="107">
        <v>33774</v>
      </c>
      <c r="AD20" s="107">
        <v>32724</v>
      </c>
      <c r="AE20" s="107">
        <v>29535</v>
      </c>
      <c r="AF20" s="107">
        <v>28840</v>
      </c>
      <c r="AG20" s="107">
        <v>30296</v>
      </c>
      <c r="AH20" s="107">
        <v>31358</v>
      </c>
      <c r="AI20" s="107">
        <v>32608</v>
      </c>
      <c r="AJ20" s="107">
        <v>32753</v>
      </c>
      <c r="AK20" s="107">
        <v>31971</v>
      </c>
      <c r="AL20" s="107">
        <v>31833</v>
      </c>
      <c r="AM20" s="107">
        <v>31076</v>
      </c>
      <c r="AN20" s="107">
        <v>30828</v>
      </c>
      <c r="AO20" s="107">
        <v>31066</v>
      </c>
      <c r="AP20" s="107">
        <v>32121</v>
      </c>
      <c r="AQ20" s="107">
        <v>32277</v>
      </c>
      <c r="AR20" s="107">
        <v>0</v>
      </c>
      <c r="AS20" s="107">
        <v>0</v>
      </c>
      <c r="AT20" s="107">
        <v>0</v>
      </c>
      <c r="AU20" s="107">
        <v>0</v>
      </c>
      <c r="AV20" s="107">
        <v>0</v>
      </c>
      <c r="AW20" s="107">
        <v>0</v>
      </c>
      <c r="AX20" s="107">
        <v>0</v>
      </c>
      <c r="AY20" s="107">
        <v>0</v>
      </c>
      <c r="AZ20" s="107">
        <v>0</v>
      </c>
      <c r="BA20" s="107">
        <v>0</v>
      </c>
      <c r="BB20" s="107">
        <v>0</v>
      </c>
      <c r="BC20" s="107">
        <v>0</v>
      </c>
      <c r="BD20" s="107">
        <v>0</v>
      </c>
      <c r="BE20" s="107">
        <v>0</v>
      </c>
      <c r="BF20" s="107">
        <v>0</v>
      </c>
      <c r="BG20" s="107">
        <v>0</v>
      </c>
      <c r="BH20" s="107">
        <v>0</v>
      </c>
      <c r="BI20" s="107">
        <v>0</v>
      </c>
      <c r="BJ20" s="107">
        <v>0</v>
      </c>
      <c r="BK20" s="107">
        <v>0</v>
      </c>
      <c r="BL20" s="107">
        <v>0</v>
      </c>
      <c r="BM20" s="107">
        <v>0</v>
      </c>
      <c r="BN20" s="107">
        <v>0</v>
      </c>
      <c r="BO20" s="107">
        <v>0</v>
      </c>
      <c r="BP20" s="107">
        <v>56479</v>
      </c>
      <c r="BQ20" s="107">
        <v>59566</v>
      </c>
      <c r="BR20" s="107">
        <v>59692</v>
      </c>
      <c r="BS20" s="107">
        <v>59540</v>
      </c>
    </row>
    <row r="21" spans="1:71">
      <c r="A21" s="107" t="s">
        <v>258</v>
      </c>
      <c r="B21" s="107">
        <v>801</v>
      </c>
      <c r="C21" s="107">
        <v>769</v>
      </c>
      <c r="D21" s="107">
        <v>773</v>
      </c>
      <c r="E21" s="107">
        <v>766</v>
      </c>
      <c r="F21" s="107">
        <v>782</v>
      </c>
      <c r="G21" s="107">
        <v>794</v>
      </c>
      <c r="H21" s="107">
        <v>791</v>
      </c>
      <c r="I21" s="107">
        <v>820</v>
      </c>
      <c r="J21" s="107">
        <v>822</v>
      </c>
      <c r="K21" s="107">
        <v>779</v>
      </c>
      <c r="L21" s="107">
        <v>753</v>
      </c>
      <c r="M21" s="107">
        <v>757</v>
      </c>
      <c r="N21" s="107">
        <v>795</v>
      </c>
      <c r="O21" s="107">
        <v>803</v>
      </c>
      <c r="P21" s="107">
        <v>804</v>
      </c>
      <c r="Q21" s="107">
        <v>839</v>
      </c>
      <c r="R21" s="107">
        <v>887</v>
      </c>
      <c r="S21" s="107">
        <v>917</v>
      </c>
      <c r="T21" s="107">
        <v>931</v>
      </c>
      <c r="U21" s="107">
        <v>958</v>
      </c>
      <c r="V21" s="107">
        <v>1018</v>
      </c>
      <c r="W21" s="107">
        <v>1053</v>
      </c>
      <c r="X21" s="107">
        <v>1098</v>
      </c>
      <c r="Y21" s="107">
        <v>1161</v>
      </c>
      <c r="Z21" s="107">
        <v>1345</v>
      </c>
      <c r="AA21" s="107">
        <v>1354</v>
      </c>
      <c r="AB21" s="107">
        <v>1384</v>
      </c>
      <c r="AC21" s="107">
        <v>1396</v>
      </c>
      <c r="AD21" s="107">
        <v>1540</v>
      </c>
      <c r="AE21" s="107">
        <v>1611</v>
      </c>
      <c r="AF21" s="107">
        <v>1718</v>
      </c>
      <c r="AG21" s="107">
        <v>1763</v>
      </c>
      <c r="AH21" s="107">
        <v>1750</v>
      </c>
      <c r="AI21" s="107">
        <v>1639</v>
      </c>
      <c r="AJ21" s="107">
        <v>1683</v>
      </c>
      <c r="AK21" s="107">
        <v>1712</v>
      </c>
      <c r="AL21" s="107">
        <v>1787</v>
      </c>
      <c r="AM21" s="107">
        <v>1879</v>
      </c>
      <c r="AN21" s="107">
        <v>1912</v>
      </c>
      <c r="AO21" s="107">
        <v>1827</v>
      </c>
      <c r="AP21" s="107">
        <v>1859</v>
      </c>
      <c r="AQ21" s="107">
        <v>1886</v>
      </c>
      <c r="AR21" s="107">
        <v>0</v>
      </c>
      <c r="AS21" s="107">
        <v>0</v>
      </c>
      <c r="AT21" s="107">
        <v>0</v>
      </c>
      <c r="AU21" s="107">
        <v>0</v>
      </c>
      <c r="AV21" s="107">
        <v>0</v>
      </c>
      <c r="AW21" s="107">
        <v>0</v>
      </c>
      <c r="AX21" s="107">
        <v>0</v>
      </c>
      <c r="AY21" s="107">
        <v>0</v>
      </c>
      <c r="AZ21" s="107">
        <v>0</v>
      </c>
      <c r="BA21" s="107">
        <v>0</v>
      </c>
      <c r="BB21" s="107">
        <v>0</v>
      </c>
      <c r="BC21" s="107">
        <v>0</v>
      </c>
      <c r="BD21" s="107">
        <v>0</v>
      </c>
      <c r="BE21" s="107">
        <v>0</v>
      </c>
      <c r="BF21" s="107">
        <v>0</v>
      </c>
      <c r="BG21" s="107">
        <v>0</v>
      </c>
      <c r="BH21" s="107">
        <v>0</v>
      </c>
      <c r="BI21" s="107">
        <v>0</v>
      </c>
      <c r="BJ21" s="107">
        <v>0</v>
      </c>
      <c r="BK21" s="107">
        <v>0</v>
      </c>
      <c r="BL21" s="107">
        <v>0</v>
      </c>
      <c r="BM21" s="107">
        <v>0</v>
      </c>
      <c r="BN21" s="107">
        <v>0</v>
      </c>
      <c r="BO21" s="107">
        <v>0</v>
      </c>
      <c r="BP21" s="107">
        <v>6202</v>
      </c>
      <c r="BQ21" s="107">
        <v>5837</v>
      </c>
      <c r="BR21" s="107">
        <v>5474</v>
      </c>
      <c r="BS21" s="107">
        <v>5292</v>
      </c>
    </row>
    <row r="22" spans="1:71">
      <c r="A22" s="107" t="s">
        <v>259</v>
      </c>
      <c r="B22" s="107">
        <v>227</v>
      </c>
      <c r="C22" s="107">
        <v>219</v>
      </c>
      <c r="D22" s="107">
        <v>217</v>
      </c>
      <c r="E22" s="107">
        <v>207</v>
      </c>
      <c r="F22" s="107">
        <v>198</v>
      </c>
      <c r="G22" s="107">
        <v>189</v>
      </c>
      <c r="H22" s="107">
        <v>200</v>
      </c>
      <c r="I22" s="107">
        <v>204</v>
      </c>
      <c r="J22" s="107">
        <v>213</v>
      </c>
      <c r="K22" s="107">
        <v>202</v>
      </c>
      <c r="L22" s="107">
        <v>202</v>
      </c>
      <c r="M22" s="107">
        <v>209</v>
      </c>
      <c r="N22" s="107">
        <v>207</v>
      </c>
      <c r="O22" s="107">
        <v>200</v>
      </c>
      <c r="P22" s="107">
        <v>191</v>
      </c>
      <c r="Q22" s="107">
        <v>185</v>
      </c>
      <c r="R22" s="107">
        <v>201</v>
      </c>
      <c r="S22" s="107">
        <v>201</v>
      </c>
      <c r="T22" s="107">
        <v>217</v>
      </c>
      <c r="U22" s="107">
        <v>230</v>
      </c>
      <c r="V22" s="107">
        <v>244</v>
      </c>
      <c r="W22" s="107">
        <v>238</v>
      </c>
      <c r="X22" s="107">
        <v>229</v>
      </c>
      <c r="Y22" s="107">
        <v>226</v>
      </c>
      <c r="Z22" s="107">
        <v>256</v>
      </c>
      <c r="AA22" s="107">
        <v>262</v>
      </c>
      <c r="AB22" s="107">
        <v>272</v>
      </c>
      <c r="AC22" s="107">
        <v>278</v>
      </c>
      <c r="AD22" s="107">
        <v>287</v>
      </c>
      <c r="AE22" s="107">
        <v>318</v>
      </c>
      <c r="AF22" s="107">
        <v>327</v>
      </c>
      <c r="AG22" s="107">
        <v>322</v>
      </c>
      <c r="AH22" s="107">
        <v>339</v>
      </c>
      <c r="AI22" s="107">
        <v>354</v>
      </c>
      <c r="AJ22" s="107">
        <v>374</v>
      </c>
      <c r="AK22" s="107">
        <v>377</v>
      </c>
      <c r="AL22" s="107">
        <v>409</v>
      </c>
      <c r="AM22" s="107">
        <v>400</v>
      </c>
      <c r="AN22" s="107">
        <v>411</v>
      </c>
      <c r="AO22" s="107">
        <v>404</v>
      </c>
      <c r="AP22" s="107">
        <v>419</v>
      </c>
      <c r="AQ22" s="107">
        <v>433</v>
      </c>
      <c r="AR22" s="107">
        <v>0</v>
      </c>
      <c r="AS22" s="107">
        <v>0</v>
      </c>
      <c r="AT22" s="107">
        <v>0</v>
      </c>
      <c r="AU22" s="107">
        <v>0</v>
      </c>
      <c r="AV22" s="107">
        <v>0</v>
      </c>
      <c r="AW22" s="107">
        <v>0</v>
      </c>
      <c r="AX22" s="107">
        <v>0</v>
      </c>
      <c r="AY22" s="107">
        <v>0</v>
      </c>
      <c r="AZ22" s="107">
        <v>0</v>
      </c>
      <c r="BA22" s="107">
        <v>0</v>
      </c>
      <c r="BB22" s="107">
        <v>0</v>
      </c>
      <c r="BC22" s="107">
        <v>0</v>
      </c>
      <c r="BD22" s="107">
        <v>0</v>
      </c>
      <c r="BE22" s="107">
        <v>0</v>
      </c>
      <c r="BF22" s="107">
        <v>0</v>
      </c>
      <c r="BG22" s="107">
        <v>0</v>
      </c>
      <c r="BH22" s="107">
        <v>0</v>
      </c>
      <c r="BI22" s="107">
        <v>0</v>
      </c>
      <c r="BJ22" s="107">
        <v>0</v>
      </c>
      <c r="BK22" s="107">
        <v>0</v>
      </c>
      <c r="BL22" s="107">
        <v>0</v>
      </c>
      <c r="BM22" s="107">
        <v>0</v>
      </c>
      <c r="BN22" s="107">
        <v>0</v>
      </c>
      <c r="BO22" s="107">
        <v>0</v>
      </c>
      <c r="BP22" s="107">
        <v>911</v>
      </c>
      <c r="BQ22" s="107">
        <v>937</v>
      </c>
      <c r="BR22" s="107">
        <v>1011</v>
      </c>
      <c r="BS22" s="107">
        <v>1084</v>
      </c>
    </row>
    <row r="23" spans="1:71">
      <c r="A23" s="108" t="s">
        <v>260</v>
      </c>
      <c r="B23" s="108">
        <v>73</v>
      </c>
      <c r="C23" s="108">
        <v>75</v>
      </c>
      <c r="D23" s="108">
        <v>69</v>
      </c>
      <c r="E23" s="108">
        <v>67</v>
      </c>
      <c r="F23" s="108">
        <v>62</v>
      </c>
      <c r="G23" s="108">
        <v>60</v>
      </c>
      <c r="H23" s="108">
        <v>57</v>
      </c>
      <c r="I23" s="108">
        <v>56</v>
      </c>
      <c r="J23" s="108">
        <v>57</v>
      </c>
      <c r="K23" s="108">
        <v>54</v>
      </c>
      <c r="L23" s="108">
        <v>56</v>
      </c>
      <c r="M23" s="108">
        <v>51</v>
      </c>
      <c r="N23" s="108">
        <v>54</v>
      </c>
      <c r="O23" s="108">
        <v>55</v>
      </c>
      <c r="P23" s="108">
        <v>55</v>
      </c>
      <c r="Q23" s="108">
        <v>51</v>
      </c>
      <c r="R23" s="108">
        <v>52</v>
      </c>
      <c r="S23" s="108">
        <v>53</v>
      </c>
      <c r="T23" s="108">
        <v>63</v>
      </c>
      <c r="U23" s="108">
        <v>59</v>
      </c>
      <c r="V23" s="108">
        <v>55</v>
      </c>
      <c r="W23" s="108">
        <v>55</v>
      </c>
      <c r="X23" s="108">
        <v>53</v>
      </c>
      <c r="Y23" s="108">
        <v>53</v>
      </c>
      <c r="Z23" s="108">
        <v>61</v>
      </c>
      <c r="AA23" s="108">
        <v>57</v>
      </c>
      <c r="AB23" s="108">
        <v>56</v>
      </c>
      <c r="AC23" s="108">
        <v>56</v>
      </c>
      <c r="AD23" s="108">
        <v>56</v>
      </c>
      <c r="AE23" s="108">
        <v>55</v>
      </c>
      <c r="AF23" s="108">
        <v>56</v>
      </c>
      <c r="AG23" s="108">
        <v>55</v>
      </c>
      <c r="AH23" s="108">
        <v>58</v>
      </c>
      <c r="AI23" s="108">
        <v>57</v>
      </c>
      <c r="AJ23" s="108">
        <v>58</v>
      </c>
      <c r="AK23" s="108">
        <v>57</v>
      </c>
      <c r="AL23" s="108">
        <v>56</v>
      </c>
      <c r="AM23" s="108">
        <v>57</v>
      </c>
      <c r="AN23" s="108">
        <v>56</v>
      </c>
      <c r="AO23" s="108">
        <v>60</v>
      </c>
      <c r="AP23" s="108">
        <v>62</v>
      </c>
      <c r="AQ23" s="108">
        <v>59</v>
      </c>
      <c r="AR23" s="108">
        <v>0</v>
      </c>
      <c r="AS23" s="108">
        <v>0</v>
      </c>
      <c r="AT23" s="108">
        <v>0</v>
      </c>
      <c r="AU23" s="108">
        <v>0</v>
      </c>
      <c r="AV23" s="108">
        <v>0</v>
      </c>
      <c r="AW23" s="108">
        <v>0</v>
      </c>
      <c r="AX23" s="108">
        <v>0</v>
      </c>
      <c r="AY23" s="108">
        <v>0</v>
      </c>
      <c r="AZ23" s="108">
        <v>0</v>
      </c>
      <c r="BA23" s="108">
        <v>0</v>
      </c>
      <c r="BB23" s="108">
        <v>0</v>
      </c>
      <c r="BC23" s="108">
        <v>0</v>
      </c>
      <c r="BD23" s="108">
        <v>0</v>
      </c>
      <c r="BE23" s="108">
        <v>0</v>
      </c>
      <c r="BF23" s="108">
        <v>0</v>
      </c>
      <c r="BG23" s="108">
        <v>0</v>
      </c>
      <c r="BH23" s="108">
        <v>0</v>
      </c>
      <c r="BI23" s="108">
        <v>0</v>
      </c>
      <c r="BJ23" s="108">
        <v>0</v>
      </c>
      <c r="BK23" s="108">
        <v>0</v>
      </c>
      <c r="BL23" s="108">
        <v>0</v>
      </c>
      <c r="BM23" s="108">
        <v>0</v>
      </c>
      <c r="BN23" s="108">
        <v>0</v>
      </c>
      <c r="BO23" s="108">
        <v>0</v>
      </c>
      <c r="BP23" s="108">
        <v>66</v>
      </c>
      <c r="BQ23" s="108">
        <v>68</v>
      </c>
      <c r="BR23" s="108">
        <v>74</v>
      </c>
      <c r="BS23" s="108">
        <v>73</v>
      </c>
    </row>
    <row r="24" spans="1:71">
      <c r="A24" s="109" t="s">
        <v>19</v>
      </c>
      <c r="B24" s="109">
        <v>19457</v>
      </c>
      <c r="C24" s="109">
        <v>23089</v>
      </c>
      <c r="D24" s="109">
        <v>24235</v>
      </c>
      <c r="E24" s="109">
        <v>24602</v>
      </c>
      <c r="F24" s="109">
        <v>24368</v>
      </c>
      <c r="G24" s="109">
        <v>23030</v>
      </c>
      <c r="H24" s="109">
        <v>21803</v>
      </c>
      <c r="I24" s="109">
        <v>19991</v>
      </c>
      <c r="J24" s="109">
        <v>21797</v>
      </c>
      <c r="K24" s="109">
        <v>27787</v>
      </c>
      <c r="L24" s="109">
        <v>27411</v>
      </c>
      <c r="M24" s="109">
        <v>27324</v>
      </c>
      <c r="N24" s="109">
        <v>27055</v>
      </c>
      <c r="O24" s="109">
        <v>27283</v>
      </c>
      <c r="P24" s="109">
        <v>28653</v>
      </c>
      <c r="Q24" s="109">
        <v>31073</v>
      </c>
      <c r="R24" s="109">
        <v>32642</v>
      </c>
      <c r="S24" s="109">
        <v>33238</v>
      </c>
      <c r="T24" s="109">
        <v>35657</v>
      </c>
      <c r="U24" s="109">
        <v>38138</v>
      </c>
      <c r="V24" s="109">
        <v>38746</v>
      </c>
      <c r="W24" s="109">
        <v>36435</v>
      </c>
      <c r="X24" s="109">
        <v>36214</v>
      </c>
      <c r="Y24" s="109">
        <v>36261</v>
      </c>
      <c r="Z24" s="109">
        <v>33343</v>
      </c>
      <c r="AA24" s="109">
        <v>33804</v>
      </c>
      <c r="AB24" s="109">
        <v>34600</v>
      </c>
      <c r="AC24" s="109">
        <v>35504</v>
      </c>
      <c r="AD24" s="109">
        <v>34607</v>
      </c>
      <c r="AE24" s="109">
        <v>31519</v>
      </c>
      <c r="AF24" s="109">
        <v>30941</v>
      </c>
      <c r="AG24" s="109">
        <v>32436</v>
      </c>
      <c r="AH24" s="109">
        <v>33505</v>
      </c>
      <c r="AI24" s="109">
        <v>34658</v>
      </c>
      <c r="AJ24" s="109">
        <v>34868</v>
      </c>
      <c r="AK24" s="109">
        <v>34117</v>
      </c>
      <c r="AL24" s="109">
        <v>34085</v>
      </c>
      <c r="AM24" s="109">
        <v>33412</v>
      </c>
      <c r="AN24" s="109">
        <v>33207</v>
      </c>
      <c r="AO24" s="109">
        <v>33357</v>
      </c>
      <c r="AP24" s="109">
        <v>34461</v>
      </c>
      <c r="AQ24" s="109">
        <v>34655</v>
      </c>
      <c r="AR24" s="109">
        <v>0</v>
      </c>
      <c r="AS24" s="109">
        <v>0</v>
      </c>
      <c r="AT24" s="109">
        <v>0</v>
      </c>
      <c r="AU24" s="109">
        <v>0</v>
      </c>
      <c r="AV24" s="109">
        <v>0</v>
      </c>
      <c r="AW24" s="109">
        <v>0</v>
      </c>
      <c r="AX24" s="109">
        <v>0</v>
      </c>
      <c r="AY24" s="109">
        <v>0</v>
      </c>
      <c r="AZ24" s="109">
        <v>0</v>
      </c>
      <c r="BA24" s="109">
        <v>0</v>
      </c>
      <c r="BB24" s="109">
        <v>0</v>
      </c>
      <c r="BC24" s="109">
        <v>0</v>
      </c>
      <c r="BD24" s="109">
        <v>0</v>
      </c>
      <c r="BE24" s="109">
        <v>0</v>
      </c>
      <c r="BF24" s="109">
        <v>0</v>
      </c>
      <c r="BG24" s="109">
        <v>0</v>
      </c>
      <c r="BH24" s="109">
        <v>0</v>
      </c>
      <c r="BI24" s="109">
        <v>0</v>
      </c>
      <c r="BJ24" s="109">
        <v>0</v>
      </c>
      <c r="BK24" s="109">
        <v>0</v>
      </c>
      <c r="BL24" s="109">
        <v>0</v>
      </c>
      <c r="BM24" s="109">
        <v>0</v>
      </c>
      <c r="BN24" s="109">
        <v>0</v>
      </c>
      <c r="BO24" s="109">
        <v>0</v>
      </c>
      <c r="BP24" s="109">
        <v>63658</v>
      </c>
      <c r="BQ24" s="109">
        <v>66408</v>
      </c>
      <c r="BR24" s="109">
        <v>66251</v>
      </c>
      <c r="BS24" s="109">
        <v>65989</v>
      </c>
    </row>
    <row r="25" spans="1:71">
      <c r="A25" s="105" t="s">
        <v>253</v>
      </c>
      <c r="B25" s="106"/>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06"/>
      <c r="AO25" s="106"/>
      <c r="AP25" s="106"/>
      <c r="AQ25" s="106"/>
      <c r="AR25" s="106"/>
      <c r="AS25" s="106"/>
      <c r="AT25" s="106"/>
      <c r="AU25" s="106"/>
      <c r="AV25" s="106"/>
      <c r="AW25" s="106"/>
      <c r="AX25" s="106"/>
      <c r="AY25" s="106"/>
      <c r="AZ25" s="106"/>
      <c r="BA25" s="106"/>
      <c r="BB25" s="106"/>
      <c r="BC25" s="106"/>
      <c r="BD25" s="106"/>
      <c r="BE25" s="106"/>
      <c r="BF25" s="106"/>
      <c r="BG25" s="106"/>
      <c r="BH25" s="106"/>
      <c r="BI25" s="106"/>
      <c r="BJ25" s="106"/>
      <c r="BK25" s="106"/>
      <c r="BL25" s="106"/>
      <c r="BM25" s="106"/>
      <c r="BN25" s="106"/>
      <c r="BO25" s="106"/>
      <c r="BP25" s="106"/>
      <c r="BQ25" s="106"/>
      <c r="BR25" s="106"/>
      <c r="BS25" s="106"/>
    </row>
    <row r="26" spans="1:71">
      <c r="A26" s="107" t="s">
        <v>257</v>
      </c>
      <c r="B26" s="107">
        <v>0</v>
      </c>
      <c r="C26" s="107">
        <v>0</v>
      </c>
      <c r="D26" s="107">
        <v>0</v>
      </c>
      <c r="E26" s="107">
        <v>0</v>
      </c>
      <c r="F26" s="107">
        <v>0</v>
      </c>
      <c r="G26" s="107">
        <v>0</v>
      </c>
      <c r="H26" s="107">
        <v>0</v>
      </c>
      <c r="I26" s="107">
        <v>0</v>
      </c>
      <c r="J26" s="107">
        <v>0</v>
      </c>
      <c r="K26" s="107">
        <v>0</v>
      </c>
      <c r="L26" s="107">
        <v>0</v>
      </c>
      <c r="M26" s="107">
        <v>0</v>
      </c>
      <c r="N26" s="107">
        <v>0</v>
      </c>
      <c r="O26" s="107">
        <v>0</v>
      </c>
      <c r="P26" s="107">
        <v>0</v>
      </c>
      <c r="Q26" s="107">
        <v>0</v>
      </c>
      <c r="R26" s="107">
        <v>0</v>
      </c>
      <c r="S26" s="107">
        <v>0</v>
      </c>
      <c r="T26" s="107">
        <v>0</v>
      </c>
      <c r="U26" s="107">
        <v>0</v>
      </c>
      <c r="V26" s="107">
        <v>0</v>
      </c>
      <c r="W26" s="107">
        <v>0</v>
      </c>
      <c r="X26" s="107">
        <v>0</v>
      </c>
      <c r="Y26" s="107">
        <v>0</v>
      </c>
      <c r="Z26" s="107">
        <v>0</v>
      </c>
      <c r="AA26" s="107">
        <v>0</v>
      </c>
      <c r="AB26" s="107">
        <v>0</v>
      </c>
      <c r="AC26" s="107">
        <v>0</v>
      </c>
      <c r="AD26" s="107">
        <v>0</v>
      </c>
      <c r="AE26" s="107">
        <v>0</v>
      </c>
      <c r="AF26" s="107">
        <v>0</v>
      </c>
      <c r="AG26" s="107">
        <v>0</v>
      </c>
      <c r="AH26" s="107">
        <v>0</v>
      </c>
      <c r="AI26" s="107">
        <v>0</v>
      </c>
      <c r="AJ26" s="107">
        <v>0</v>
      </c>
      <c r="AK26" s="107">
        <v>0</v>
      </c>
      <c r="AL26" s="107">
        <v>0</v>
      </c>
      <c r="AM26" s="107">
        <v>0</v>
      </c>
      <c r="AN26" s="107">
        <v>0</v>
      </c>
      <c r="AO26" s="107">
        <v>0</v>
      </c>
      <c r="AP26" s="107">
        <v>0</v>
      </c>
      <c r="AQ26" s="107">
        <v>0</v>
      </c>
      <c r="AR26" s="107">
        <v>0</v>
      </c>
      <c r="AS26" s="107">
        <v>0</v>
      </c>
      <c r="AT26" s="107">
        <v>0</v>
      </c>
      <c r="AU26" s="107">
        <v>0</v>
      </c>
      <c r="AV26" s="107">
        <v>0</v>
      </c>
      <c r="AW26" s="107">
        <v>0</v>
      </c>
      <c r="AX26" s="107">
        <v>0</v>
      </c>
      <c r="AY26" s="107">
        <v>0</v>
      </c>
      <c r="AZ26" s="107">
        <v>0</v>
      </c>
      <c r="BA26" s="107">
        <v>0</v>
      </c>
      <c r="BB26" s="107">
        <v>0</v>
      </c>
      <c r="BC26" s="107">
        <v>0</v>
      </c>
      <c r="BD26" s="107">
        <v>0</v>
      </c>
      <c r="BE26" s="107">
        <v>0</v>
      </c>
      <c r="BF26" s="107">
        <v>0</v>
      </c>
      <c r="BG26" s="107">
        <v>0</v>
      </c>
      <c r="BH26" s="107">
        <v>0</v>
      </c>
      <c r="BI26" s="107">
        <v>0</v>
      </c>
      <c r="BJ26" s="107">
        <v>0</v>
      </c>
      <c r="BK26" s="107">
        <v>0</v>
      </c>
      <c r="BL26" s="107">
        <v>0</v>
      </c>
      <c r="BM26" s="107">
        <v>0</v>
      </c>
      <c r="BN26" s="107">
        <v>0</v>
      </c>
      <c r="BO26" s="107">
        <v>0</v>
      </c>
      <c r="BP26" s="107">
        <v>392</v>
      </c>
      <c r="BQ26" s="107">
        <v>415</v>
      </c>
      <c r="BR26" s="107">
        <v>627</v>
      </c>
      <c r="BS26" s="107">
        <v>817</v>
      </c>
    </row>
    <row r="27" spans="1:71">
      <c r="A27" s="107" t="s">
        <v>258</v>
      </c>
      <c r="B27" s="107">
        <v>0</v>
      </c>
      <c r="C27" s="107">
        <v>0</v>
      </c>
      <c r="D27" s="107">
        <v>0</v>
      </c>
      <c r="E27" s="107">
        <v>0</v>
      </c>
      <c r="F27" s="107">
        <v>0</v>
      </c>
      <c r="G27" s="107">
        <v>0</v>
      </c>
      <c r="H27" s="107">
        <v>0</v>
      </c>
      <c r="I27" s="107">
        <v>0</v>
      </c>
      <c r="J27" s="107">
        <v>0</v>
      </c>
      <c r="K27" s="107">
        <v>0</v>
      </c>
      <c r="L27" s="107">
        <v>0</v>
      </c>
      <c r="M27" s="107">
        <v>0</v>
      </c>
      <c r="N27" s="107">
        <v>0</v>
      </c>
      <c r="O27" s="107">
        <v>0</v>
      </c>
      <c r="P27" s="107">
        <v>0</v>
      </c>
      <c r="Q27" s="107">
        <v>0</v>
      </c>
      <c r="R27" s="107">
        <v>0</v>
      </c>
      <c r="S27" s="107">
        <v>0</v>
      </c>
      <c r="T27" s="107">
        <v>0</v>
      </c>
      <c r="U27" s="107">
        <v>0</v>
      </c>
      <c r="V27" s="107">
        <v>0</v>
      </c>
      <c r="W27" s="107">
        <v>0</v>
      </c>
      <c r="X27" s="107">
        <v>0</v>
      </c>
      <c r="Y27" s="107">
        <v>0</v>
      </c>
      <c r="Z27" s="107">
        <v>0</v>
      </c>
      <c r="AA27" s="107">
        <v>0</v>
      </c>
      <c r="AB27" s="107">
        <v>0</v>
      </c>
      <c r="AC27" s="107">
        <v>0</v>
      </c>
      <c r="AD27" s="107">
        <v>0</v>
      </c>
      <c r="AE27" s="107">
        <v>0</v>
      </c>
      <c r="AF27" s="107">
        <v>0</v>
      </c>
      <c r="AG27" s="107">
        <v>0</v>
      </c>
      <c r="AH27" s="107">
        <v>0</v>
      </c>
      <c r="AI27" s="107">
        <v>0</v>
      </c>
      <c r="AJ27" s="107">
        <v>0</v>
      </c>
      <c r="AK27" s="107">
        <v>0</v>
      </c>
      <c r="AL27" s="107">
        <v>0</v>
      </c>
      <c r="AM27" s="107">
        <v>0</v>
      </c>
      <c r="AN27" s="107">
        <v>0</v>
      </c>
      <c r="AO27" s="107">
        <v>0</v>
      </c>
      <c r="AP27" s="107">
        <v>0</v>
      </c>
      <c r="AQ27" s="107">
        <v>0</v>
      </c>
      <c r="AR27" s="107">
        <v>0</v>
      </c>
      <c r="AS27" s="107">
        <v>0</v>
      </c>
      <c r="AT27" s="107">
        <v>0</v>
      </c>
      <c r="AU27" s="107">
        <v>0</v>
      </c>
      <c r="AV27" s="107">
        <v>0</v>
      </c>
      <c r="AW27" s="107">
        <v>0</v>
      </c>
      <c r="AX27" s="107">
        <v>0</v>
      </c>
      <c r="AY27" s="107">
        <v>0</v>
      </c>
      <c r="AZ27" s="107">
        <v>0</v>
      </c>
      <c r="BA27" s="107">
        <v>0</v>
      </c>
      <c r="BB27" s="107">
        <v>0</v>
      </c>
      <c r="BC27" s="107">
        <v>0</v>
      </c>
      <c r="BD27" s="107">
        <v>0</v>
      </c>
      <c r="BE27" s="107">
        <v>0</v>
      </c>
      <c r="BF27" s="107">
        <v>0</v>
      </c>
      <c r="BG27" s="107">
        <v>0</v>
      </c>
      <c r="BH27" s="107">
        <v>0</v>
      </c>
      <c r="BI27" s="107">
        <v>0</v>
      </c>
      <c r="BJ27" s="107">
        <v>0</v>
      </c>
      <c r="BK27" s="107">
        <v>0</v>
      </c>
      <c r="BL27" s="107">
        <v>0</v>
      </c>
      <c r="BM27" s="107">
        <v>0</v>
      </c>
      <c r="BN27" s="107">
        <v>0</v>
      </c>
      <c r="BO27" s="107">
        <v>0</v>
      </c>
      <c r="BP27" s="107">
        <v>0</v>
      </c>
      <c r="BQ27" s="107">
        <v>0</v>
      </c>
      <c r="BR27" s="107">
        <v>0</v>
      </c>
      <c r="BS27" s="107">
        <v>0</v>
      </c>
    </row>
    <row r="28" spans="1:71">
      <c r="A28" s="107" t="s">
        <v>259</v>
      </c>
      <c r="B28" s="107">
        <v>0</v>
      </c>
      <c r="C28" s="107">
        <v>0</v>
      </c>
      <c r="D28" s="107">
        <v>0</v>
      </c>
      <c r="E28" s="107">
        <v>0</v>
      </c>
      <c r="F28" s="107">
        <v>0</v>
      </c>
      <c r="G28" s="107">
        <v>0</v>
      </c>
      <c r="H28" s="107">
        <v>0</v>
      </c>
      <c r="I28" s="107">
        <v>0</v>
      </c>
      <c r="J28" s="107">
        <v>0</v>
      </c>
      <c r="K28" s="107">
        <v>0</v>
      </c>
      <c r="L28" s="107">
        <v>0</v>
      </c>
      <c r="M28" s="107">
        <v>0</v>
      </c>
      <c r="N28" s="107">
        <v>0</v>
      </c>
      <c r="O28" s="107">
        <v>0</v>
      </c>
      <c r="P28" s="107">
        <v>0</v>
      </c>
      <c r="Q28" s="107">
        <v>0</v>
      </c>
      <c r="R28" s="107">
        <v>0</v>
      </c>
      <c r="S28" s="107">
        <v>0</v>
      </c>
      <c r="T28" s="107">
        <v>0</v>
      </c>
      <c r="U28" s="107">
        <v>0</v>
      </c>
      <c r="V28" s="107">
        <v>0</v>
      </c>
      <c r="W28" s="107">
        <v>0</v>
      </c>
      <c r="X28" s="107">
        <v>0</v>
      </c>
      <c r="Y28" s="107">
        <v>0</v>
      </c>
      <c r="Z28" s="107">
        <v>0</v>
      </c>
      <c r="AA28" s="107">
        <v>0</v>
      </c>
      <c r="AB28" s="107">
        <v>0</v>
      </c>
      <c r="AC28" s="107">
        <v>0</v>
      </c>
      <c r="AD28" s="107">
        <v>0</v>
      </c>
      <c r="AE28" s="107">
        <v>0</v>
      </c>
      <c r="AF28" s="107">
        <v>0</v>
      </c>
      <c r="AG28" s="107">
        <v>0</v>
      </c>
      <c r="AH28" s="107">
        <v>0</v>
      </c>
      <c r="AI28" s="107">
        <v>0</v>
      </c>
      <c r="AJ28" s="107">
        <v>0</v>
      </c>
      <c r="AK28" s="107">
        <v>0</v>
      </c>
      <c r="AL28" s="107">
        <v>0</v>
      </c>
      <c r="AM28" s="107">
        <v>0</v>
      </c>
      <c r="AN28" s="107">
        <v>0</v>
      </c>
      <c r="AO28" s="107">
        <v>0</v>
      </c>
      <c r="AP28" s="107">
        <v>0</v>
      </c>
      <c r="AQ28" s="107">
        <v>0</v>
      </c>
      <c r="AR28" s="107">
        <v>0</v>
      </c>
      <c r="AS28" s="107">
        <v>0</v>
      </c>
      <c r="AT28" s="107">
        <v>0</v>
      </c>
      <c r="AU28" s="107">
        <v>0</v>
      </c>
      <c r="AV28" s="107">
        <v>0</v>
      </c>
      <c r="AW28" s="107">
        <v>0</v>
      </c>
      <c r="AX28" s="107">
        <v>0</v>
      </c>
      <c r="AY28" s="107">
        <v>0</v>
      </c>
      <c r="AZ28" s="107">
        <v>0</v>
      </c>
      <c r="BA28" s="107">
        <v>0</v>
      </c>
      <c r="BB28" s="107">
        <v>0</v>
      </c>
      <c r="BC28" s="107">
        <v>0</v>
      </c>
      <c r="BD28" s="107">
        <v>0</v>
      </c>
      <c r="BE28" s="107">
        <v>0</v>
      </c>
      <c r="BF28" s="107">
        <v>0</v>
      </c>
      <c r="BG28" s="107">
        <v>0</v>
      </c>
      <c r="BH28" s="107">
        <v>0</v>
      </c>
      <c r="BI28" s="107">
        <v>0</v>
      </c>
      <c r="BJ28" s="107">
        <v>0</v>
      </c>
      <c r="BK28" s="107">
        <v>0</v>
      </c>
      <c r="BL28" s="107">
        <v>0</v>
      </c>
      <c r="BM28" s="107">
        <v>0</v>
      </c>
      <c r="BN28" s="107">
        <v>0</v>
      </c>
      <c r="BO28" s="107">
        <v>0</v>
      </c>
      <c r="BP28" s="107">
        <v>0</v>
      </c>
      <c r="BQ28" s="107">
        <v>0</v>
      </c>
      <c r="BR28" s="107">
        <v>0</v>
      </c>
      <c r="BS28" s="107">
        <v>0</v>
      </c>
    </row>
    <row r="29" spans="1:71">
      <c r="A29" s="108" t="s">
        <v>260</v>
      </c>
      <c r="B29" s="108">
        <v>0</v>
      </c>
      <c r="C29" s="108">
        <v>0</v>
      </c>
      <c r="D29" s="108">
        <v>0</v>
      </c>
      <c r="E29" s="108">
        <v>0</v>
      </c>
      <c r="F29" s="108">
        <v>0</v>
      </c>
      <c r="G29" s="108">
        <v>0</v>
      </c>
      <c r="H29" s="108">
        <v>0</v>
      </c>
      <c r="I29" s="108">
        <v>0</v>
      </c>
      <c r="J29" s="108">
        <v>0</v>
      </c>
      <c r="K29" s="108">
        <v>0</v>
      </c>
      <c r="L29" s="108">
        <v>0</v>
      </c>
      <c r="M29" s="108">
        <v>0</v>
      </c>
      <c r="N29" s="108">
        <v>0</v>
      </c>
      <c r="O29" s="108">
        <v>0</v>
      </c>
      <c r="P29" s="108">
        <v>0</v>
      </c>
      <c r="Q29" s="108">
        <v>0</v>
      </c>
      <c r="R29" s="108">
        <v>0</v>
      </c>
      <c r="S29" s="108">
        <v>0</v>
      </c>
      <c r="T29" s="108">
        <v>0</v>
      </c>
      <c r="U29" s="108">
        <v>0</v>
      </c>
      <c r="V29" s="108">
        <v>0</v>
      </c>
      <c r="W29" s="108">
        <v>0</v>
      </c>
      <c r="X29" s="108">
        <v>0</v>
      </c>
      <c r="Y29" s="108">
        <v>0</v>
      </c>
      <c r="Z29" s="108">
        <v>0</v>
      </c>
      <c r="AA29" s="108">
        <v>0</v>
      </c>
      <c r="AB29" s="108">
        <v>0</v>
      </c>
      <c r="AC29" s="108">
        <v>0</v>
      </c>
      <c r="AD29" s="108">
        <v>0</v>
      </c>
      <c r="AE29" s="108">
        <v>0</v>
      </c>
      <c r="AF29" s="108">
        <v>0</v>
      </c>
      <c r="AG29" s="108">
        <v>0</v>
      </c>
      <c r="AH29" s="108">
        <v>0</v>
      </c>
      <c r="AI29" s="108">
        <v>0</v>
      </c>
      <c r="AJ29" s="108">
        <v>0</v>
      </c>
      <c r="AK29" s="108">
        <v>0</v>
      </c>
      <c r="AL29" s="108">
        <v>0</v>
      </c>
      <c r="AM29" s="108">
        <v>0</v>
      </c>
      <c r="AN29" s="108">
        <v>0</v>
      </c>
      <c r="AO29" s="108">
        <v>0</v>
      </c>
      <c r="AP29" s="108">
        <v>0</v>
      </c>
      <c r="AQ29" s="108">
        <v>0</v>
      </c>
      <c r="AR29" s="108">
        <v>0</v>
      </c>
      <c r="AS29" s="108">
        <v>0</v>
      </c>
      <c r="AT29" s="108">
        <v>0</v>
      </c>
      <c r="AU29" s="108">
        <v>0</v>
      </c>
      <c r="AV29" s="108">
        <v>0</v>
      </c>
      <c r="AW29" s="108">
        <v>0</v>
      </c>
      <c r="AX29" s="108">
        <v>0</v>
      </c>
      <c r="AY29" s="108">
        <v>0</v>
      </c>
      <c r="AZ29" s="108">
        <v>0</v>
      </c>
      <c r="BA29" s="108">
        <v>0</v>
      </c>
      <c r="BB29" s="108">
        <v>0</v>
      </c>
      <c r="BC29" s="108">
        <v>0</v>
      </c>
      <c r="BD29" s="108">
        <v>0</v>
      </c>
      <c r="BE29" s="108">
        <v>0</v>
      </c>
      <c r="BF29" s="108">
        <v>0</v>
      </c>
      <c r="BG29" s="108">
        <v>0</v>
      </c>
      <c r="BH29" s="108">
        <v>0</v>
      </c>
      <c r="BI29" s="108">
        <v>0</v>
      </c>
      <c r="BJ29" s="108">
        <v>0</v>
      </c>
      <c r="BK29" s="108">
        <v>0</v>
      </c>
      <c r="BL29" s="108">
        <v>0</v>
      </c>
      <c r="BM29" s="108">
        <v>0</v>
      </c>
      <c r="BN29" s="108">
        <v>0</v>
      </c>
      <c r="BO29" s="108">
        <v>0</v>
      </c>
      <c r="BP29" s="108">
        <v>0</v>
      </c>
      <c r="BQ29" s="108">
        <v>0</v>
      </c>
      <c r="BR29" s="108">
        <v>0</v>
      </c>
      <c r="BS29" s="108">
        <v>0</v>
      </c>
    </row>
    <row r="30" spans="1:71">
      <c r="A30" s="109" t="s">
        <v>19</v>
      </c>
      <c r="B30" s="109">
        <v>0</v>
      </c>
      <c r="C30" s="109">
        <v>0</v>
      </c>
      <c r="D30" s="109">
        <v>0</v>
      </c>
      <c r="E30" s="109">
        <v>0</v>
      </c>
      <c r="F30" s="109">
        <v>0</v>
      </c>
      <c r="G30" s="109">
        <v>0</v>
      </c>
      <c r="H30" s="109">
        <v>0</v>
      </c>
      <c r="I30" s="109">
        <v>0</v>
      </c>
      <c r="J30" s="109">
        <v>0</v>
      </c>
      <c r="K30" s="109">
        <v>0</v>
      </c>
      <c r="L30" s="109">
        <v>0</v>
      </c>
      <c r="M30" s="109">
        <v>0</v>
      </c>
      <c r="N30" s="109">
        <v>0</v>
      </c>
      <c r="O30" s="109">
        <v>0</v>
      </c>
      <c r="P30" s="109">
        <v>0</v>
      </c>
      <c r="Q30" s="109">
        <v>0</v>
      </c>
      <c r="R30" s="109">
        <v>0</v>
      </c>
      <c r="S30" s="109">
        <v>0</v>
      </c>
      <c r="T30" s="109">
        <v>0</v>
      </c>
      <c r="U30" s="109">
        <v>0</v>
      </c>
      <c r="V30" s="109">
        <v>0</v>
      </c>
      <c r="W30" s="109">
        <v>0</v>
      </c>
      <c r="X30" s="109">
        <v>0</v>
      </c>
      <c r="Y30" s="109">
        <v>0</v>
      </c>
      <c r="Z30" s="109">
        <v>0</v>
      </c>
      <c r="AA30" s="109">
        <v>0</v>
      </c>
      <c r="AB30" s="109">
        <v>0</v>
      </c>
      <c r="AC30" s="109">
        <v>0</v>
      </c>
      <c r="AD30" s="109">
        <v>0</v>
      </c>
      <c r="AE30" s="109">
        <v>0</v>
      </c>
      <c r="AF30" s="109">
        <v>0</v>
      </c>
      <c r="AG30" s="109">
        <v>0</v>
      </c>
      <c r="AH30" s="109">
        <v>0</v>
      </c>
      <c r="AI30" s="109">
        <v>0</v>
      </c>
      <c r="AJ30" s="109">
        <v>0</v>
      </c>
      <c r="AK30" s="109">
        <v>0</v>
      </c>
      <c r="AL30" s="109">
        <v>0</v>
      </c>
      <c r="AM30" s="109">
        <v>0</v>
      </c>
      <c r="AN30" s="109">
        <v>0</v>
      </c>
      <c r="AO30" s="109">
        <v>0</v>
      </c>
      <c r="AP30" s="109">
        <v>0</v>
      </c>
      <c r="AQ30" s="109">
        <v>0</v>
      </c>
      <c r="AR30" s="109">
        <v>0</v>
      </c>
      <c r="AS30" s="109">
        <v>0</v>
      </c>
      <c r="AT30" s="109">
        <v>0</v>
      </c>
      <c r="AU30" s="109">
        <v>0</v>
      </c>
      <c r="AV30" s="109">
        <v>0</v>
      </c>
      <c r="AW30" s="109">
        <v>0</v>
      </c>
      <c r="AX30" s="109">
        <v>0</v>
      </c>
      <c r="AY30" s="109">
        <v>0</v>
      </c>
      <c r="AZ30" s="109">
        <v>0</v>
      </c>
      <c r="BA30" s="109">
        <v>0</v>
      </c>
      <c r="BB30" s="109">
        <v>0</v>
      </c>
      <c r="BC30" s="109">
        <v>0</v>
      </c>
      <c r="BD30" s="109">
        <v>0</v>
      </c>
      <c r="BE30" s="109">
        <v>0</v>
      </c>
      <c r="BF30" s="109">
        <v>0</v>
      </c>
      <c r="BG30" s="109">
        <v>0</v>
      </c>
      <c r="BH30" s="109">
        <v>0</v>
      </c>
      <c r="BI30" s="109">
        <v>0</v>
      </c>
      <c r="BJ30" s="109">
        <v>0</v>
      </c>
      <c r="BK30" s="109">
        <v>0</v>
      </c>
      <c r="BL30" s="109">
        <v>0</v>
      </c>
      <c r="BM30" s="109">
        <v>0</v>
      </c>
      <c r="BN30" s="109">
        <v>0</v>
      </c>
      <c r="BO30" s="109">
        <v>0</v>
      </c>
      <c r="BP30" s="109">
        <v>392</v>
      </c>
      <c r="BQ30" s="109">
        <v>415</v>
      </c>
      <c r="BR30" s="109">
        <v>627</v>
      </c>
      <c r="BS30" s="109">
        <v>817</v>
      </c>
    </row>
    <row r="31" spans="1:71">
      <c r="A31" s="105" t="s">
        <v>254</v>
      </c>
      <c r="B31" s="106"/>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06"/>
      <c r="AO31" s="106"/>
      <c r="AP31" s="106"/>
      <c r="AQ31" s="106"/>
      <c r="AR31" s="106"/>
      <c r="AS31" s="106"/>
      <c r="AT31" s="106"/>
      <c r="AU31" s="106"/>
      <c r="AV31" s="106"/>
      <c r="AW31" s="106"/>
      <c r="AX31" s="106"/>
      <c r="AY31" s="106"/>
      <c r="AZ31" s="106"/>
      <c r="BA31" s="106"/>
      <c r="BB31" s="106"/>
      <c r="BC31" s="106"/>
      <c r="BD31" s="106"/>
      <c r="BE31" s="106"/>
      <c r="BF31" s="106"/>
      <c r="BG31" s="106"/>
      <c r="BH31" s="106"/>
      <c r="BI31" s="106"/>
      <c r="BJ31" s="106"/>
      <c r="BK31" s="106"/>
      <c r="BL31" s="106"/>
      <c r="BM31" s="106"/>
      <c r="BN31" s="106"/>
      <c r="BO31" s="106"/>
      <c r="BP31" s="106"/>
      <c r="BQ31" s="106"/>
      <c r="BR31" s="106"/>
      <c r="BS31" s="106"/>
    </row>
    <row r="32" spans="1:71">
      <c r="A32" s="107" t="s">
        <v>257</v>
      </c>
      <c r="B32" s="107">
        <v>2089</v>
      </c>
      <c r="C32" s="107">
        <v>2861</v>
      </c>
      <c r="D32" s="107">
        <v>3122</v>
      </c>
      <c r="E32" s="107">
        <v>3678</v>
      </c>
      <c r="F32" s="107">
        <v>4536</v>
      </c>
      <c r="G32" s="107">
        <v>4211</v>
      </c>
      <c r="H32" s="107">
        <v>3888</v>
      </c>
      <c r="I32" s="107">
        <v>3252</v>
      </c>
      <c r="J32" s="107">
        <v>2737</v>
      </c>
      <c r="K32" s="107">
        <v>3312</v>
      </c>
      <c r="L32" s="107">
        <v>3855</v>
      </c>
      <c r="M32" s="107">
        <v>3889</v>
      </c>
      <c r="N32" s="107">
        <v>4048</v>
      </c>
      <c r="O32" s="107">
        <v>3905</v>
      </c>
      <c r="P32" s="107">
        <v>3590</v>
      </c>
      <c r="Q32" s="107">
        <v>3576</v>
      </c>
      <c r="R32" s="107">
        <v>3476</v>
      </c>
      <c r="S32" s="107">
        <v>3669</v>
      </c>
      <c r="T32" s="107">
        <v>3272</v>
      </c>
      <c r="U32" s="107">
        <v>2536</v>
      </c>
      <c r="V32" s="107">
        <v>2338</v>
      </c>
      <c r="W32" s="107">
        <v>1844</v>
      </c>
      <c r="X32" s="107">
        <v>1360</v>
      </c>
      <c r="Y32" s="107">
        <v>1060</v>
      </c>
      <c r="Z32" s="107">
        <v>5065</v>
      </c>
      <c r="AA32" s="107">
        <v>5236</v>
      </c>
      <c r="AB32" s="107">
        <v>5427</v>
      </c>
      <c r="AC32" s="107">
        <v>5166</v>
      </c>
      <c r="AD32" s="107">
        <v>4991</v>
      </c>
      <c r="AE32" s="107">
        <v>4728</v>
      </c>
      <c r="AF32" s="107">
        <v>4397</v>
      </c>
      <c r="AG32" s="107">
        <v>4289</v>
      </c>
      <c r="AH32" s="107">
        <v>4095</v>
      </c>
      <c r="AI32" s="107">
        <v>3882</v>
      </c>
      <c r="AJ32" s="107">
        <v>3648</v>
      </c>
      <c r="AK32" s="107">
        <v>3595</v>
      </c>
      <c r="AL32" s="107">
        <v>3741</v>
      </c>
      <c r="AM32" s="107">
        <v>3782</v>
      </c>
      <c r="AN32" s="107">
        <v>3849</v>
      </c>
      <c r="AO32" s="107">
        <v>3712</v>
      </c>
      <c r="AP32" s="107">
        <v>3730</v>
      </c>
      <c r="AQ32" s="107">
        <v>3995</v>
      </c>
      <c r="AR32" s="107">
        <v>0</v>
      </c>
      <c r="AS32" s="107">
        <v>0</v>
      </c>
      <c r="AT32" s="107">
        <v>0</v>
      </c>
      <c r="AU32" s="107">
        <v>0</v>
      </c>
      <c r="AV32" s="107">
        <v>0</v>
      </c>
      <c r="AW32" s="107">
        <v>0</v>
      </c>
      <c r="AX32" s="107">
        <v>0</v>
      </c>
      <c r="AY32" s="107">
        <v>0</v>
      </c>
      <c r="AZ32" s="107">
        <v>0</v>
      </c>
      <c r="BA32" s="107">
        <v>0</v>
      </c>
      <c r="BB32" s="107">
        <v>0</v>
      </c>
      <c r="BC32" s="107">
        <v>0</v>
      </c>
      <c r="BD32" s="107">
        <v>0</v>
      </c>
      <c r="BE32" s="107">
        <v>0</v>
      </c>
      <c r="BF32" s="107">
        <v>0</v>
      </c>
      <c r="BG32" s="107">
        <v>0</v>
      </c>
      <c r="BH32" s="107">
        <v>0</v>
      </c>
      <c r="BI32" s="107">
        <v>0</v>
      </c>
      <c r="BJ32" s="107">
        <v>0</v>
      </c>
      <c r="BK32" s="107">
        <v>0</v>
      </c>
      <c r="BL32" s="107">
        <v>0</v>
      </c>
      <c r="BM32" s="107">
        <v>0</v>
      </c>
      <c r="BN32" s="107">
        <v>0</v>
      </c>
      <c r="BO32" s="107">
        <v>0</v>
      </c>
      <c r="BP32" s="107">
        <v>654</v>
      </c>
      <c r="BQ32" s="107">
        <v>667</v>
      </c>
      <c r="BR32" s="107">
        <v>650</v>
      </c>
      <c r="BS32" s="107">
        <v>594</v>
      </c>
    </row>
    <row r="33" spans="1:71">
      <c r="A33" s="107" t="s">
        <v>258</v>
      </c>
      <c r="B33" s="107">
        <v>153</v>
      </c>
      <c r="C33" s="107">
        <v>157</v>
      </c>
      <c r="D33" s="107">
        <v>175</v>
      </c>
      <c r="E33" s="107">
        <v>183</v>
      </c>
      <c r="F33" s="107">
        <v>180</v>
      </c>
      <c r="G33" s="107">
        <v>172</v>
      </c>
      <c r="H33" s="107">
        <v>166</v>
      </c>
      <c r="I33" s="107">
        <v>164</v>
      </c>
      <c r="J33" s="107">
        <v>118</v>
      </c>
      <c r="K33" s="107">
        <v>115</v>
      </c>
      <c r="L33" s="107">
        <v>117</v>
      </c>
      <c r="M33" s="107">
        <v>136</v>
      </c>
      <c r="N33" s="107">
        <v>165</v>
      </c>
      <c r="O33" s="107">
        <v>170</v>
      </c>
      <c r="P33" s="107">
        <v>162</v>
      </c>
      <c r="Q33" s="107">
        <v>166</v>
      </c>
      <c r="R33" s="107">
        <v>189</v>
      </c>
      <c r="S33" s="107">
        <v>177</v>
      </c>
      <c r="T33" s="107">
        <v>193</v>
      </c>
      <c r="U33" s="107">
        <v>206</v>
      </c>
      <c r="V33" s="107">
        <v>208</v>
      </c>
      <c r="W33" s="107">
        <v>209</v>
      </c>
      <c r="X33" s="107">
        <v>217</v>
      </c>
      <c r="Y33" s="107">
        <v>249</v>
      </c>
      <c r="Z33" s="107">
        <v>268</v>
      </c>
      <c r="AA33" s="107">
        <v>284</v>
      </c>
      <c r="AB33" s="107">
        <v>314</v>
      </c>
      <c r="AC33" s="107">
        <v>330</v>
      </c>
      <c r="AD33" s="107">
        <v>366</v>
      </c>
      <c r="AE33" s="107">
        <v>416</v>
      </c>
      <c r="AF33" s="107">
        <v>491</v>
      </c>
      <c r="AG33" s="107">
        <v>474</v>
      </c>
      <c r="AH33" s="107">
        <v>508</v>
      </c>
      <c r="AI33" s="107">
        <v>503</v>
      </c>
      <c r="AJ33" s="107">
        <v>542</v>
      </c>
      <c r="AK33" s="107">
        <v>513</v>
      </c>
      <c r="AL33" s="107">
        <v>487</v>
      </c>
      <c r="AM33" s="107">
        <v>443</v>
      </c>
      <c r="AN33" s="107">
        <v>397</v>
      </c>
      <c r="AO33" s="107">
        <v>370</v>
      </c>
      <c r="AP33" s="107">
        <v>340</v>
      </c>
      <c r="AQ33" s="107">
        <v>328</v>
      </c>
      <c r="AR33" s="107">
        <v>0</v>
      </c>
      <c r="AS33" s="107">
        <v>0</v>
      </c>
      <c r="AT33" s="107">
        <v>0</v>
      </c>
      <c r="AU33" s="107">
        <v>0</v>
      </c>
      <c r="AV33" s="107">
        <v>0</v>
      </c>
      <c r="AW33" s="107">
        <v>0</v>
      </c>
      <c r="AX33" s="107">
        <v>0</v>
      </c>
      <c r="AY33" s="107">
        <v>0</v>
      </c>
      <c r="AZ33" s="107">
        <v>0</v>
      </c>
      <c r="BA33" s="107">
        <v>0</v>
      </c>
      <c r="BB33" s="107">
        <v>0</v>
      </c>
      <c r="BC33" s="107">
        <v>0</v>
      </c>
      <c r="BD33" s="107">
        <v>0</v>
      </c>
      <c r="BE33" s="107">
        <v>0</v>
      </c>
      <c r="BF33" s="107">
        <v>0</v>
      </c>
      <c r="BG33" s="107">
        <v>0</v>
      </c>
      <c r="BH33" s="107">
        <v>0</v>
      </c>
      <c r="BI33" s="107">
        <v>0</v>
      </c>
      <c r="BJ33" s="107">
        <v>0</v>
      </c>
      <c r="BK33" s="107">
        <v>0</v>
      </c>
      <c r="BL33" s="107">
        <v>0</v>
      </c>
      <c r="BM33" s="107">
        <v>0</v>
      </c>
      <c r="BN33" s="107">
        <v>0</v>
      </c>
      <c r="BO33" s="107">
        <v>0</v>
      </c>
      <c r="BP33" s="107">
        <v>129</v>
      </c>
      <c r="BQ33" s="107">
        <v>121</v>
      </c>
      <c r="BR33" s="107">
        <v>115</v>
      </c>
      <c r="BS33" s="107">
        <v>157</v>
      </c>
    </row>
    <row r="34" spans="1:71">
      <c r="A34" s="107" t="s">
        <v>259</v>
      </c>
      <c r="B34" s="107">
        <v>30</v>
      </c>
      <c r="C34" s="107">
        <v>31</v>
      </c>
      <c r="D34" s="107">
        <v>33</v>
      </c>
      <c r="E34" s="107">
        <v>32</v>
      </c>
      <c r="F34" s="107">
        <v>29</v>
      </c>
      <c r="G34" s="107">
        <v>32</v>
      </c>
      <c r="H34" s="107">
        <v>38</v>
      </c>
      <c r="I34" s="107">
        <v>39</v>
      </c>
      <c r="J34" s="107">
        <v>35</v>
      </c>
      <c r="K34" s="107">
        <v>32</v>
      </c>
      <c r="L34" s="107">
        <v>34</v>
      </c>
      <c r="M34" s="107">
        <v>37</v>
      </c>
      <c r="N34" s="107">
        <v>35</v>
      </c>
      <c r="O34" s="107">
        <v>32</v>
      </c>
      <c r="P34" s="107">
        <v>32</v>
      </c>
      <c r="Q34" s="107">
        <v>35</v>
      </c>
      <c r="R34" s="107">
        <v>34</v>
      </c>
      <c r="S34" s="107">
        <v>37</v>
      </c>
      <c r="T34" s="107">
        <v>39</v>
      </c>
      <c r="U34" s="107">
        <v>35</v>
      </c>
      <c r="V34" s="107">
        <v>34</v>
      </c>
      <c r="W34" s="107">
        <v>36</v>
      </c>
      <c r="X34" s="107">
        <v>35</v>
      </c>
      <c r="Y34" s="107">
        <v>38</v>
      </c>
      <c r="Z34" s="107">
        <v>26</v>
      </c>
      <c r="AA34" s="107">
        <v>31</v>
      </c>
      <c r="AB34" s="107">
        <v>33</v>
      </c>
      <c r="AC34" s="107">
        <v>43</v>
      </c>
      <c r="AD34" s="107">
        <v>40</v>
      </c>
      <c r="AE34" s="107">
        <v>39</v>
      </c>
      <c r="AF34" s="107">
        <v>43</v>
      </c>
      <c r="AG34" s="107">
        <v>49</v>
      </c>
      <c r="AH34" s="107">
        <v>49</v>
      </c>
      <c r="AI34" s="107">
        <v>42</v>
      </c>
      <c r="AJ34" s="107">
        <v>44</v>
      </c>
      <c r="AK34" s="107">
        <v>47</v>
      </c>
      <c r="AL34" s="107">
        <v>54</v>
      </c>
      <c r="AM34" s="107">
        <v>62</v>
      </c>
      <c r="AN34" s="107">
        <v>66</v>
      </c>
      <c r="AO34" s="107">
        <v>65</v>
      </c>
      <c r="AP34" s="107">
        <v>66</v>
      </c>
      <c r="AQ34" s="107">
        <v>69</v>
      </c>
      <c r="AR34" s="107">
        <v>0</v>
      </c>
      <c r="AS34" s="107">
        <v>0</v>
      </c>
      <c r="AT34" s="107">
        <v>0</v>
      </c>
      <c r="AU34" s="107">
        <v>0</v>
      </c>
      <c r="AV34" s="107">
        <v>0</v>
      </c>
      <c r="AW34" s="107">
        <v>0</v>
      </c>
      <c r="AX34" s="107">
        <v>0</v>
      </c>
      <c r="AY34" s="107">
        <v>0</v>
      </c>
      <c r="AZ34" s="107">
        <v>0</v>
      </c>
      <c r="BA34" s="107">
        <v>0</v>
      </c>
      <c r="BB34" s="107">
        <v>0</v>
      </c>
      <c r="BC34" s="107">
        <v>0</v>
      </c>
      <c r="BD34" s="107">
        <v>0</v>
      </c>
      <c r="BE34" s="107">
        <v>0</v>
      </c>
      <c r="BF34" s="107">
        <v>0</v>
      </c>
      <c r="BG34" s="107">
        <v>0</v>
      </c>
      <c r="BH34" s="107">
        <v>0</v>
      </c>
      <c r="BI34" s="107">
        <v>0</v>
      </c>
      <c r="BJ34" s="107">
        <v>0</v>
      </c>
      <c r="BK34" s="107">
        <v>0</v>
      </c>
      <c r="BL34" s="107">
        <v>0</v>
      </c>
      <c r="BM34" s="107">
        <v>0</v>
      </c>
      <c r="BN34" s="107">
        <v>0</v>
      </c>
      <c r="BO34" s="107">
        <v>0</v>
      </c>
      <c r="BP34" s="107">
        <v>63</v>
      </c>
      <c r="BQ34" s="107">
        <v>59</v>
      </c>
      <c r="BR34" s="107">
        <v>64</v>
      </c>
      <c r="BS34" s="107">
        <v>58</v>
      </c>
    </row>
    <row r="35" spans="1:71">
      <c r="A35" s="108" t="s">
        <v>260</v>
      </c>
      <c r="B35" s="108">
        <v>6</v>
      </c>
      <c r="C35" s="108">
        <v>6</v>
      </c>
      <c r="D35" s="108">
        <v>6</v>
      </c>
      <c r="E35" s="108">
        <v>6</v>
      </c>
      <c r="F35" s="108">
        <v>6</v>
      </c>
      <c r="G35" s="108">
        <v>6</v>
      </c>
      <c r="H35" s="108">
        <v>5</v>
      </c>
      <c r="I35" s="108">
        <v>5</v>
      </c>
      <c r="J35" s="108">
        <v>5</v>
      </c>
      <c r="K35" s="108">
        <v>5</v>
      </c>
      <c r="L35" s="108">
        <v>5</v>
      </c>
      <c r="M35" s="108">
        <v>5</v>
      </c>
      <c r="N35" s="108">
        <v>6</v>
      </c>
      <c r="O35" s="108">
        <v>7</v>
      </c>
      <c r="P35" s="108">
        <v>7</v>
      </c>
      <c r="Q35" s="108">
        <v>7</v>
      </c>
      <c r="R35" s="108">
        <v>6</v>
      </c>
      <c r="S35" s="108">
        <v>8</v>
      </c>
      <c r="T35" s="108">
        <v>2</v>
      </c>
      <c r="U35" s="108">
        <v>2</v>
      </c>
      <c r="V35" s="108">
        <v>1</v>
      </c>
      <c r="W35" s="108">
        <v>1</v>
      </c>
      <c r="X35" s="108">
        <v>1</v>
      </c>
      <c r="Y35" s="108">
        <v>2</v>
      </c>
      <c r="Z35" s="108">
        <v>0</v>
      </c>
      <c r="AA35" s="108">
        <v>0</v>
      </c>
      <c r="AB35" s="108">
        <v>0</v>
      </c>
      <c r="AC35" s="108">
        <v>0</v>
      </c>
      <c r="AD35" s="108">
        <v>0</v>
      </c>
      <c r="AE35" s="108">
        <v>0</v>
      </c>
      <c r="AF35" s="108">
        <v>0</v>
      </c>
      <c r="AG35" s="108">
        <v>0</v>
      </c>
      <c r="AH35" s="108">
        <v>0</v>
      </c>
      <c r="AI35" s="108">
        <v>0</v>
      </c>
      <c r="AJ35" s="108">
        <v>0</v>
      </c>
      <c r="AK35" s="108">
        <v>0</v>
      </c>
      <c r="AL35" s="108">
        <v>0</v>
      </c>
      <c r="AM35" s="108">
        <v>0</v>
      </c>
      <c r="AN35" s="108">
        <v>0</v>
      </c>
      <c r="AO35" s="108">
        <v>0</v>
      </c>
      <c r="AP35" s="108">
        <v>0</v>
      </c>
      <c r="AQ35" s="108">
        <v>0</v>
      </c>
      <c r="AR35" s="108">
        <v>0</v>
      </c>
      <c r="AS35" s="108">
        <v>0</v>
      </c>
      <c r="AT35" s="108">
        <v>0</v>
      </c>
      <c r="AU35" s="108">
        <v>0</v>
      </c>
      <c r="AV35" s="108">
        <v>0</v>
      </c>
      <c r="AW35" s="108">
        <v>0</v>
      </c>
      <c r="AX35" s="108">
        <v>0</v>
      </c>
      <c r="AY35" s="108">
        <v>0</v>
      </c>
      <c r="AZ35" s="108">
        <v>0</v>
      </c>
      <c r="BA35" s="108">
        <v>0</v>
      </c>
      <c r="BB35" s="108">
        <v>0</v>
      </c>
      <c r="BC35" s="108">
        <v>0</v>
      </c>
      <c r="BD35" s="108">
        <v>0</v>
      </c>
      <c r="BE35" s="108">
        <v>0</v>
      </c>
      <c r="BF35" s="108">
        <v>0</v>
      </c>
      <c r="BG35" s="108">
        <v>0</v>
      </c>
      <c r="BH35" s="108">
        <v>0</v>
      </c>
      <c r="BI35" s="108">
        <v>0</v>
      </c>
      <c r="BJ35" s="108">
        <v>0</v>
      </c>
      <c r="BK35" s="108">
        <v>0</v>
      </c>
      <c r="BL35" s="108">
        <v>0</v>
      </c>
      <c r="BM35" s="108">
        <v>0</v>
      </c>
      <c r="BN35" s="108">
        <v>0</v>
      </c>
      <c r="BO35" s="108">
        <v>0</v>
      </c>
      <c r="BP35" s="108">
        <v>2</v>
      </c>
      <c r="BQ35" s="108">
        <v>4</v>
      </c>
      <c r="BR35" s="108">
        <v>4</v>
      </c>
      <c r="BS35" s="108">
        <v>5</v>
      </c>
    </row>
    <row r="36" spans="1:71">
      <c r="A36" s="109" t="s">
        <v>19</v>
      </c>
      <c r="B36" s="109">
        <v>2278</v>
      </c>
      <c r="C36" s="109">
        <v>3055</v>
      </c>
      <c r="D36" s="109">
        <v>3336</v>
      </c>
      <c r="E36" s="109">
        <v>3899</v>
      </c>
      <c r="F36" s="109">
        <v>4751</v>
      </c>
      <c r="G36" s="109">
        <v>4421</v>
      </c>
      <c r="H36" s="109">
        <v>4097</v>
      </c>
      <c r="I36" s="109">
        <v>3460</v>
      </c>
      <c r="J36" s="109">
        <v>2895</v>
      </c>
      <c r="K36" s="109">
        <v>3464</v>
      </c>
      <c r="L36" s="109">
        <v>4011</v>
      </c>
      <c r="M36" s="109">
        <v>4067</v>
      </c>
      <c r="N36" s="109">
        <v>4254</v>
      </c>
      <c r="O36" s="109">
        <v>4114</v>
      </c>
      <c r="P36" s="109">
        <v>3791</v>
      </c>
      <c r="Q36" s="109">
        <v>3784</v>
      </c>
      <c r="R36" s="109">
        <v>3705</v>
      </c>
      <c r="S36" s="109">
        <v>3891</v>
      </c>
      <c r="T36" s="109">
        <v>3506</v>
      </c>
      <c r="U36" s="109">
        <v>2779</v>
      </c>
      <c r="V36" s="109">
        <v>2581</v>
      </c>
      <c r="W36" s="109">
        <v>2090</v>
      </c>
      <c r="X36" s="109">
        <v>1613</v>
      </c>
      <c r="Y36" s="109">
        <v>1349</v>
      </c>
      <c r="Z36" s="109">
        <v>5359</v>
      </c>
      <c r="AA36" s="109">
        <v>5551</v>
      </c>
      <c r="AB36" s="109">
        <v>5774</v>
      </c>
      <c r="AC36" s="109">
        <v>5539</v>
      </c>
      <c r="AD36" s="109">
        <v>5397</v>
      </c>
      <c r="AE36" s="109">
        <v>5183</v>
      </c>
      <c r="AF36" s="109">
        <v>4931</v>
      </c>
      <c r="AG36" s="109">
        <v>4812</v>
      </c>
      <c r="AH36" s="109">
        <v>4652</v>
      </c>
      <c r="AI36" s="109">
        <v>4427</v>
      </c>
      <c r="AJ36" s="109">
        <v>4234</v>
      </c>
      <c r="AK36" s="109">
        <v>4155</v>
      </c>
      <c r="AL36" s="109">
        <v>4282</v>
      </c>
      <c r="AM36" s="109">
        <v>4287</v>
      </c>
      <c r="AN36" s="109">
        <v>4312</v>
      </c>
      <c r="AO36" s="109">
        <v>4147</v>
      </c>
      <c r="AP36" s="109">
        <v>4136</v>
      </c>
      <c r="AQ36" s="109">
        <v>4392</v>
      </c>
      <c r="AR36" s="109">
        <v>0</v>
      </c>
      <c r="AS36" s="109">
        <v>0</v>
      </c>
      <c r="AT36" s="109">
        <v>0</v>
      </c>
      <c r="AU36" s="109">
        <v>0</v>
      </c>
      <c r="AV36" s="109">
        <v>0</v>
      </c>
      <c r="AW36" s="109">
        <v>0</v>
      </c>
      <c r="AX36" s="109">
        <v>0</v>
      </c>
      <c r="AY36" s="109">
        <v>0</v>
      </c>
      <c r="AZ36" s="109">
        <v>0</v>
      </c>
      <c r="BA36" s="109">
        <v>0</v>
      </c>
      <c r="BB36" s="109">
        <v>0</v>
      </c>
      <c r="BC36" s="109">
        <v>0</v>
      </c>
      <c r="BD36" s="109">
        <v>0</v>
      </c>
      <c r="BE36" s="109">
        <v>0</v>
      </c>
      <c r="BF36" s="109">
        <v>0</v>
      </c>
      <c r="BG36" s="109">
        <v>0</v>
      </c>
      <c r="BH36" s="109">
        <v>0</v>
      </c>
      <c r="BI36" s="109">
        <v>0</v>
      </c>
      <c r="BJ36" s="109">
        <v>0</v>
      </c>
      <c r="BK36" s="109">
        <v>0</v>
      </c>
      <c r="BL36" s="109">
        <v>0</v>
      </c>
      <c r="BM36" s="109">
        <v>0</v>
      </c>
      <c r="BN36" s="109">
        <v>0</v>
      </c>
      <c r="BO36" s="109">
        <v>0</v>
      </c>
      <c r="BP36" s="109">
        <v>848</v>
      </c>
      <c r="BQ36" s="109">
        <v>851</v>
      </c>
      <c r="BR36" s="109">
        <v>833</v>
      </c>
      <c r="BS36" s="109">
        <v>814</v>
      </c>
    </row>
    <row r="37" spans="1:71">
      <c r="A37" s="105" t="s">
        <v>255</v>
      </c>
      <c r="B37" s="106"/>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06"/>
      <c r="AO37" s="106"/>
      <c r="AP37" s="106"/>
      <c r="AQ37" s="106"/>
      <c r="AR37" s="106"/>
      <c r="AS37" s="106"/>
      <c r="AT37" s="106"/>
      <c r="AU37" s="106"/>
      <c r="AV37" s="106"/>
      <c r="AW37" s="106"/>
      <c r="AX37" s="106"/>
      <c r="AY37" s="106"/>
      <c r="AZ37" s="106"/>
      <c r="BA37" s="106"/>
      <c r="BB37" s="106"/>
      <c r="BC37" s="106"/>
      <c r="BD37" s="106"/>
      <c r="BE37" s="106"/>
      <c r="BF37" s="106"/>
      <c r="BG37" s="106"/>
      <c r="BH37" s="106"/>
      <c r="BI37" s="106"/>
      <c r="BJ37" s="106"/>
      <c r="BK37" s="106"/>
      <c r="BL37" s="106"/>
      <c r="BM37" s="106"/>
      <c r="BN37" s="106"/>
      <c r="BO37" s="106"/>
      <c r="BP37" s="106"/>
      <c r="BQ37" s="106"/>
      <c r="BR37" s="106"/>
      <c r="BS37" s="106"/>
    </row>
    <row r="38" spans="1:71">
      <c r="A38" s="107" t="s">
        <v>257</v>
      </c>
      <c r="B38" s="107">
        <v>0</v>
      </c>
      <c r="C38" s="107">
        <v>0</v>
      </c>
      <c r="D38" s="107">
        <v>0</v>
      </c>
      <c r="E38" s="107">
        <v>0</v>
      </c>
      <c r="F38" s="107">
        <v>0</v>
      </c>
      <c r="G38" s="107">
        <v>0</v>
      </c>
      <c r="H38" s="107">
        <v>0</v>
      </c>
      <c r="I38" s="107">
        <v>0</v>
      </c>
      <c r="J38" s="107">
        <v>0</v>
      </c>
      <c r="K38" s="107">
        <v>0</v>
      </c>
      <c r="L38" s="107">
        <v>0</v>
      </c>
      <c r="M38" s="107">
        <v>0</v>
      </c>
      <c r="N38" s="107">
        <v>0</v>
      </c>
      <c r="O38" s="107">
        <v>0</v>
      </c>
      <c r="P38" s="107">
        <v>0</v>
      </c>
      <c r="Q38" s="107">
        <v>0</v>
      </c>
      <c r="R38" s="107">
        <v>0</v>
      </c>
      <c r="S38" s="107">
        <v>0</v>
      </c>
      <c r="T38" s="107">
        <v>0</v>
      </c>
      <c r="U38" s="107">
        <v>0</v>
      </c>
      <c r="V38" s="107">
        <v>0</v>
      </c>
      <c r="W38" s="107">
        <v>0</v>
      </c>
      <c r="X38" s="107">
        <v>0</v>
      </c>
      <c r="Y38" s="107">
        <v>0</v>
      </c>
      <c r="Z38" s="107">
        <v>0</v>
      </c>
      <c r="AA38" s="107">
        <v>0</v>
      </c>
      <c r="AB38" s="107">
        <v>0</v>
      </c>
      <c r="AC38" s="107">
        <v>0</v>
      </c>
      <c r="AD38" s="107">
        <v>0</v>
      </c>
      <c r="AE38" s="107">
        <v>0</v>
      </c>
      <c r="AF38" s="107">
        <v>0</v>
      </c>
      <c r="AG38" s="107">
        <v>0</v>
      </c>
      <c r="AH38" s="107">
        <v>0</v>
      </c>
      <c r="AI38" s="107">
        <v>0</v>
      </c>
      <c r="AJ38" s="107">
        <v>0</v>
      </c>
      <c r="AK38" s="107">
        <v>0</v>
      </c>
      <c r="AL38" s="107">
        <v>0</v>
      </c>
      <c r="AM38" s="107">
        <v>0</v>
      </c>
      <c r="AN38" s="107">
        <v>0</v>
      </c>
      <c r="AO38" s="107">
        <v>0</v>
      </c>
      <c r="AP38" s="107">
        <v>0</v>
      </c>
      <c r="AQ38" s="107">
        <v>0</v>
      </c>
      <c r="AR38" s="107">
        <v>0</v>
      </c>
      <c r="AS38" s="107">
        <v>0</v>
      </c>
      <c r="AT38" s="107">
        <v>0</v>
      </c>
      <c r="AU38" s="107">
        <v>0</v>
      </c>
      <c r="AV38" s="107">
        <v>0</v>
      </c>
      <c r="AW38" s="107">
        <v>0</v>
      </c>
      <c r="AX38" s="107">
        <v>0</v>
      </c>
      <c r="AY38" s="107">
        <v>0</v>
      </c>
      <c r="AZ38" s="107">
        <v>0</v>
      </c>
      <c r="BA38" s="107">
        <v>0</v>
      </c>
      <c r="BB38" s="107">
        <v>0</v>
      </c>
      <c r="BC38" s="107">
        <v>0</v>
      </c>
      <c r="BD38" s="107">
        <v>0</v>
      </c>
      <c r="BE38" s="107">
        <v>0</v>
      </c>
      <c r="BF38" s="107">
        <v>0</v>
      </c>
      <c r="BG38" s="107">
        <v>0</v>
      </c>
      <c r="BH38" s="107">
        <v>0</v>
      </c>
      <c r="BI38" s="107">
        <v>0</v>
      </c>
      <c r="BJ38" s="107">
        <v>0</v>
      </c>
      <c r="BK38" s="107">
        <v>0</v>
      </c>
      <c r="BL38" s="107">
        <v>0</v>
      </c>
      <c r="BM38" s="107">
        <v>0</v>
      </c>
      <c r="BN38" s="107">
        <v>0</v>
      </c>
      <c r="BO38" s="107">
        <v>0</v>
      </c>
      <c r="BP38" s="107">
        <v>60</v>
      </c>
      <c r="BQ38" s="107">
        <v>77</v>
      </c>
      <c r="BR38" s="107">
        <v>98</v>
      </c>
      <c r="BS38" s="107">
        <v>115</v>
      </c>
    </row>
    <row r="39" spans="1:71">
      <c r="A39" s="107" t="s">
        <v>258</v>
      </c>
      <c r="B39" s="107">
        <v>0</v>
      </c>
      <c r="C39" s="107">
        <v>0</v>
      </c>
      <c r="D39" s="107">
        <v>0</v>
      </c>
      <c r="E39" s="107">
        <v>0</v>
      </c>
      <c r="F39" s="107">
        <v>0</v>
      </c>
      <c r="G39" s="107">
        <v>0</v>
      </c>
      <c r="H39" s="107">
        <v>0</v>
      </c>
      <c r="I39" s="107">
        <v>0</v>
      </c>
      <c r="J39" s="107">
        <v>0</v>
      </c>
      <c r="K39" s="107">
        <v>0</v>
      </c>
      <c r="L39" s="107">
        <v>0</v>
      </c>
      <c r="M39" s="107">
        <v>0</v>
      </c>
      <c r="N39" s="107">
        <v>0</v>
      </c>
      <c r="O39" s="107">
        <v>0</v>
      </c>
      <c r="P39" s="107">
        <v>0</v>
      </c>
      <c r="Q39" s="107">
        <v>0</v>
      </c>
      <c r="R39" s="107">
        <v>0</v>
      </c>
      <c r="S39" s="107">
        <v>0</v>
      </c>
      <c r="T39" s="107">
        <v>0</v>
      </c>
      <c r="U39" s="107">
        <v>0</v>
      </c>
      <c r="V39" s="107">
        <v>0</v>
      </c>
      <c r="W39" s="107">
        <v>0</v>
      </c>
      <c r="X39" s="107">
        <v>0</v>
      </c>
      <c r="Y39" s="107">
        <v>0</v>
      </c>
      <c r="Z39" s="107">
        <v>0</v>
      </c>
      <c r="AA39" s="107">
        <v>0</v>
      </c>
      <c r="AB39" s="107">
        <v>0</v>
      </c>
      <c r="AC39" s="107">
        <v>0</v>
      </c>
      <c r="AD39" s="107">
        <v>0</v>
      </c>
      <c r="AE39" s="107">
        <v>0</v>
      </c>
      <c r="AF39" s="107">
        <v>0</v>
      </c>
      <c r="AG39" s="107">
        <v>0</v>
      </c>
      <c r="AH39" s="107">
        <v>0</v>
      </c>
      <c r="AI39" s="107">
        <v>0</v>
      </c>
      <c r="AJ39" s="107">
        <v>0</v>
      </c>
      <c r="AK39" s="107">
        <v>0</v>
      </c>
      <c r="AL39" s="107">
        <v>0</v>
      </c>
      <c r="AM39" s="107">
        <v>0</v>
      </c>
      <c r="AN39" s="107">
        <v>0</v>
      </c>
      <c r="AO39" s="107">
        <v>0</v>
      </c>
      <c r="AP39" s="107">
        <v>0</v>
      </c>
      <c r="AQ39" s="107">
        <v>0</v>
      </c>
      <c r="AR39" s="107">
        <v>0</v>
      </c>
      <c r="AS39" s="107">
        <v>0</v>
      </c>
      <c r="AT39" s="107">
        <v>0</v>
      </c>
      <c r="AU39" s="107">
        <v>0</v>
      </c>
      <c r="AV39" s="107">
        <v>0</v>
      </c>
      <c r="AW39" s="107">
        <v>0</v>
      </c>
      <c r="AX39" s="107">
        <v>0</v>
      </c>
      <c r="AY39" s="107">
        <v>0</v>
      </c>
      <c r="AZ39" s="107">
        <v>0</v>
      </c>
      <c r="BA39" s="107">
        <v>0</v>
      </c>
      <c r="BB39" s="107">
        <v>0</v>
      </c>
      <c r="BC39" s="107">
        <v>0</v>
      </c>
      <c r="BD39" s="107">
        <v>0</v>
      </c>
      <c r="BE39" s="107">
        <v>0</v>
      </c>
      <c r="BF39" s="107">
        <v>0</v>
      </c>
      <c r="BG39" s="107">
        <v>0</v>
      </c>
      <c r="BH39" s="107">
        <v>0</v>
      </c>
      <c r="BI39" s="107">
        <v>0</v>
      </c>
      <c r="BJ39" s="107">
        <v>0</v>
      </c>
      <c r="BK39" s="107">
        <v>0</v>
      </c>
      <c r="BL39" s="107">
        <v>0</v>
      </c>
      <c r="BM39" s="107">
        <v>0</v>
      </c>
      <c r="BN39" s="107">
        <v>0</v>
      </c>
      <c r="BO39" s="107">
        <v>0</v>
      </c>
      <c r="BP39" s="107">
        <v>0</v>
      </c>
      <c r="BQ39" s="107">
        <v>0</v>
      </c>
      <c r="BR39" s="107">
        <v>0</v>
      </c>
      <c r="BS39" s="107">
        <v>0</v>
      </c>
    </row>
    <row r="40" spans="1:71">
      <c r="A40" s="107" t="s">
        <v>259</v>
      </c>
      <c r="B40" s="107">
        <v>0</v>
      </c>
      <c r="C40" s="107">
        <v>0</v>
      </c>
      <c r="D40" s="107">
        <v>0</v>
      </c>
      <c r="E40" s="107">
        <v>0</v>
      </c>
      <c r="F40" s="107">
        <v>0</v>
      </c>
      <c r="G40" s="107">
        <v>0</v>
      </c>
      <c r="H40" s="107">
        <v>0</v>
      </c>
      <c r="I40" s="107">
        <v>0</v>
      </c>
      <c r="J40" s="107">
        <v>0</v>
      </c>
      <c r="K40" s="107">
        <v>0</v>
      </c>
      <c r="L40" s="107">
        <v>0</v>
      </c>
      <c r="M40" s="107">
        <v>0</v>
      </c>
      <c r="N40" s="107">
        <v>0</v>
      </c>
      <c r="O40" s="107">
        <v>0</v>
      </c>
      <c r="P40" s="107">
        <v>0</v>
      </c>
      <c r="Q40" s="107">
        <v>0</v>
      </c>
      <c r="R40" s="107">
        <v>0</v>
      </c>
      <c r="S40" s="107">
        <v>0</v>
      </c>
      <c r="T40" s="107">
        <v>0</v>
      </c>
      <c r="U40" s="107">
        <v>0</v>
      </c>
      <c r="V40" s="107">
        <v>0</v>
      </c>
      <c r="W40" s="107">
        <v>0</v>
      </c>
      <c r="X40" s="107">
        <v>0</v>
      </c>
      <c r="Y40" s="107">
        <v>0</v>
      </c>
      <c r="Z40" s="107">
        <v>0</v>
      </c>
      <c r="AA40" s="107">
        <v>0</v>
      </c>
      <c r="AB40" s="107">
        <v>0</v>
      </c>
      <c r="AC40" s="107">
        <v>0</v>
      </c>
      <c r="AD40" s="107">
        <v>0</v>
      </c>
      <c r="AE40" s="107">
        <v>0</v>
      </c>
      <c r="AF40" s="107">
        <v>0</v>
      </c>
      <c r="AG40" s="107">
        <v>0</v>
      </c>
      <c r="AH40" s="107">
        <v>0</v>
      </c>
      <c r="AI40" s="107">
        <v>0</v>
      </c>
      <c r="AJ40" s="107">
        <v>0</v>
      </c>
      <c r="AK40" s="107">
        <v>0</v>
      </c>
      <c r="AL40" s="107">
        <v>0</v>
      </c>
      <c r="AM40" s="107">
        <v>0</v>
      </c>
      <c r="AN40" s="107">
        <v>0</v>
      </c>
      <c r="AO40" s="107">
        <v>0</v>
      </c>
      <c r="AP40" s="107">
        <v>0</v>
      </c>
      <c r="AQ40" s="107">
        <v>0</v>
      </c>
      <c r="AR40" s="107">
        <v>0</v>
      </c>
      <c r="AS40" s="107">
        <v>0</v>
      </c>
      <c r="AT40" s="107">
        <v>0</v>
      </c>
      <c r="AU40" s="107">
        <v>0</v>
      </c>
      <c r="AV40" s="107">
        <v>0</v>
      </c>
      <c r="AW40" s="107">
        <v>0</v>
      </c>
      <c r="AX40" s="107">
        <v>0</v>
      </c>
      <c r="AY40" s="107">
        <v>0</v>
      </c>
      <c r="AZ40" s="107">
        <v>0</v>
      </c>
      <c r="BA40" s="107">
        <v>0</v>
      </c>
      <c r="BB40" s="107">
        <v>0</v>
      </c>
      <c r="BC40" s="107">
        <v>0</v>
      </c>
      <c r="BD40" s="107">
        <v>0</v>
      </c>
      <c r="BE40" s="107">
        <v>0</v>
      </c>
      <c r="BF40" s="107">
        <v>0</v>
      </c>
      <c r="BG40" s="107">
        <v>0</v>
      </c>
      <c r="BH40" s="107">
        <v>0</v>
      </c>
      <c r="BI40" s="107">
        <v>0</v>
      </c>
      <c r="BJ40" s="107">
        <v>0</v>
      </c>
      <c r="BK40" s="107">
        <v>0</v>
      </c>
      <c r="BL40" s="107">
        <v>0</v>
      </c>
      <c r="BM40" s="107">
        <v>0</v>
      </c>
      <c r="BN40" s="107">
        <v>0</v>
      </c>
      <c r="BO40" s="107">
        <v>0</v>
      </c>
      <c r="BP40" s="107">
        <v>0</v>
      </c>
      <c r="BQ40" s="107">
        <v>0</v>
      </c>
      <c r="BR40" s="107">
        <v>0</v>
      </c>
      <c r="BS40" s="107">
        <v>0</v>
      </c>
    </row>
    <row r="41" spans="1:71">
      <c r="A41" s="108" t="s">
        <v>260</v>
      </c>
      <c r="B41" s="108">
        <v>0</v>
      </c>
      <c r="C41" s="108">
        <v>0</v>
      </c>
      <c r="D41" s="108">
        <v>0</v>
      </c>
      <c r="E41" s="108">
        <v>0</v>
      </c>
      <c r="F41" s="108">
        <v>0</v>
      </c>
      <c r="G41" s="108">
        <v>0</v>
      </c>
      <c r="H41" s="108">
        <v>0</v>
      </c>
      <c r="I41" s="108">
        <v>0</v>
      </c>
      <c r="J41" s="108">
        <v>0</v>
      </c>
      <c r="K41" s="108">
        <v>0</v>
      </c>
      <c r="L41" s="108">
        <v>0</v>
      </c>
      <c r="M41" s="108">
        <v>0</v>
      </c>
      <c r="N41" s="108">
        <v>0</v>
      </c>
      <c r="O41" s="108">
        <v>0</v>
      </c>
      <c r="P41" s="108">
        <v>0</v>
      </c>
      <c r="Q41" s="108">
        <v>0</v>
      </c>
      <c r="R41" s="108">
        <v>0</v>
      </c>
      <c r="S41" s="108">
        <v>0</v>
      </c>
      <c r="T41" s="108">
        <v>0</v>
      </c>
      <c r="U41" s="108">
        <v>0</v>
      </c>
      <c r="V41" s="108">
        <v>0</v>
      </c>
      <c r="W41" s="108">
        <v>0</v>
      </c>
      <c r="X41" s="108">
        <v>0</v>
      </c>
      <c r="Y41" s="108">
        <v>0</v>
      </c>
      <c r="Z41" s="108">
        <v>0</v>
      </c>
      <c r="AA41" s="108">
        <v>0</v>
      </c>
      <c r="AB41" s="108">
        <v>0</v>
      </c>
      <c r="AC41" s="108">
        <v>0</v>
      </c>
      <c r="AD41" s="108">
        <v>0</v>
      </c>
      <c r="AE41" s="108">
        <v>0</v>
      </c>
      <c r="AF41" s="108">
        <v>0</v>
      </c>
      <c r="AG41" s="108">
        <v>0</v>
      </c>
      <c r="AH41" s="108">
        <v>0</v>
      </c>
      <c r="AI41" s="108">
        <v>0</v>
      </c>
      <c r="AJ41" s="108">
        <v>0</v>
      </c>
      <c r="AK41" s="108">
        <v>0</v>
      </c>
      <c r="AL41" s="108">
        <v>0</v>
      </c>
      <c r="AM41" s="108">
        <v>0</v>
      </c>
      <c r="AN41" s="108">
        <v>0</v>
      </c>
      <c r="AO41" s="108">
        <v>0</v>
      </c>
      <c r="AP41" s="108">
        <v>0</v>
      </c>
      <c r="AQ41" s="108">
        <v>0</v>
      </c>
      <c r="AR41" s="108">
        <v>0</v>
      </c>
      <c r="AS41" s="108">
        <v>0</v>
      </c>
      <c r="AT41" s="108">
        <v>0</v>
      </c>
      <c r="AU41" s="108">
        <v>0</v>
      </c>
      <c r="AV41" s="108">
        <v>0</v>
      </c>
      <c r="AW41" s="108">
        <v>0</v>
      </c>
      <c r="AX41" s="108">
        <v>0</v>
      </c>
      <c r="AY41" s="108">
        <v>0</v>
      </c>
      <c r="AZ41" s="108">
        <v>0</v>
      </c>
      <c r="BA41" s="108">
        <v>0</v>
      </c>
      <c r="BB41" s="108">
        <v>0</v>
      </c>
      <c r="BC41" s="108">
        <v>0</v>
      </c>
      <c r="BD41" s="108">
        <v>0</v>
      </c>
      <c r="BE41" s="108">
        <v>0</v>
      </c>
      <c r="BF41" s="108">
        <v>0</v>
      </c>
      <c r="BG41" s="108">
        <v>0</v>
      </c>
      <c r="BH41" s="108">
        <v>0</v>
      </c>
      <c r="BI41" s="108">
        <v>0</v>
      </c>
      <c r="BJ41" s="108">
        <v>0</v>
      </c>
      <c r="BK41" s="108">
        <v>0</v>
      </c>
      <c r="BL41" s="108">
        <v>0</v>
      </c>
      <c r="BM41" s="108">
        <v>0</v>
      </c>
      <c r="BN41" s="108">
        <v>0</v>
      </c>
      <c r="BO41" s="108">
        <v>0</v>
      </c>
      <c r="BP41" s="108">
        <v>0</v>
      </c>
      <c r="BQ41" s="108">
        <v>0</v>
      </c>
      <c r="BR41" s="108">
        <v>0</v>
      </c>
      <c r="BS41" s="108">
        <v>0</v>
      </c>
    </row>
    <row r="42" spans="1:71">
      <c r="A42" s="109" t="s">
        <v>19</v>
      </c>
      <c r="B42" s="109">
        <v>0</v>
      </c>
      <c r="C42" s="109">
        <v>0</v>
      </c>
      <c r="D42" s="109">
        <v>0</v>
      </c>
      <c r="E42" s="109">
        <v>0</v>
      </c>
      <c r="F42" s="109">
        <v>0</v>
      </c>
      <c r="G42" s="109">
        <v>0</v>
      </c>
      <c r="H42" s="109">
        <v>0</v>
      </c>
      <c r="I42" s="109">
        <v>0</v>
      </c>
      <c r="J42" s="109">
        <v>0</v>
      </c>
      <c r="K42" s="109">
        <v>0</v>
      </c>
      <c r="L42" s="109">
        <v>0</v>
      </c>
      <c r="M42" s="109">
        <v>0</v>
      </c>
      <c r="N42" s="109">
        <v>0</v>
      </c>
      <c r="O42" s="109">
        <v>0</v>
      </c>
      <c r="P42" s="109">
        <v>0</v>
      </c>
      <c r="Q42" s="109">
        <v>0</v>
      </c>
      <c r="R42" s="109">
        <v>0</v>
      </c>
      <c r="S42" s="109">
        <v>0</v>
      </c>
      <c r="T42" s="109">
        <v>0</v>
      </c>
      <c r="U42" s="109">
        <v>0</v>
      </c>
      <c r="V42" s="109">
        <v>0</v>
      </c>
      <c r="W42" s="109">
        <v>0</v>
      </c>
      <c r="X42" s="109">
        <v>0</v>
      </c>
      <c r="Y42" s="109">
        <v>0</v>
      </c>
      <c r="Z42" s="109">
        <v>0</v>
      </c>
      <c r="AA42" s="109">
        <v>0</v>
      </c>
      <c r="AB42" s="109">
        <v>0</v>
      </c>
      <c r="AC42" s="109">
        <v>0</v>
      </c>
      <c r="AD42" s="109">
        <v>0</v>
      </c>
      <c r="AE42" s="109">
        <v>0</v>
      </c>
      <c r="AF42" s="109">
        <v>0</v>
      </c>
      <c r="AG42" s="109">
        <v>0</v>
      </c>
      <c r="AH42" s="109">
        <v>0</v>
      </c>
      <c r="AI42" s="109">
        <v>0</v>
      </c>
      <c r="AJ42" s="109">
        <v>0</v>
      </c>
      <c r="AK42" s="109">
        <v>0</v>
      </c>
      <c r="AL42" s="109">
        <v>0</v>
      </c>
      <c r="AM42" s="109">
        <v>0</v>
      </c>
      <c r="AN42" s="109">
        <v>0</v>
      </c>
      <c r="AO42" s="109">
        <v>0</v>
      </c>
      <c r="AP42" s="109">
        <v>0</v>
      </c>
      <c r="AQ42" s="109">
        <v>0</v>
      </c>
      <c r="AR42" s="109">
        <v>0</v>
      </c>
      <c r="AS42" s="109">
        <v>0</v>
      </c>
      <c r="AT42" s="109">
        <v>0</v>
      </c>
      <c r="AU42" s="109">
        <v>0</v>
      </c>
      <c r="AV42" s="109">
        <v>0</v>
      </c>
      <c r="AW42" s="109">
        <v>0</v>
      </c>
      <c r="AX42" s="109">
        <v>0</v>
      </c>
      <c r="AY42" s="109">
        <v>0</v>
      </c>
      <c r="AZ42" s="109">
        <v>0</v>
      </c>
      <c r="BA42" s="109">
        <v>0</v>
      </c>
      <c r="BB42" s="109">
        <v>0</v>
      </c>
      <c r="BC42" s="109">
        <v>0</v>
      </c>
      <c r="BD42" s="109">
        <v>0</v>
      </c>
      <c r="BE42" s="109">
        <v>0</v>
      </c>
      <c r="BF42" s="109">
        <v>0</v>
      </c>
      <c r="BG42" s="109">
        <v>0</v>
      </c>
      <c r="BH42" s="109">
        <v>0</v>
      </c>
      <c r="BI42" s="109">
        <v>0</v>
      </c>
      <c r="BJ42" s="109">
        <v>0</v>
      </c>
      <c r="BK42" s="109">
        <v>0</v>
      </c>
      <c r="BL42" s="109">
        <v>0</v>
      </c>
      <c r="BM42" s="109">
        <v>0</v>
      </c>
      <c r="BN42" s="109">
        <v>0</v>
      </c>
      <c r="BO42" s="109">
        <v>0</v>
      </c>
      <c r="BP42" s="109">
        <v>60</v>
      </c>
      <c r="BQ42" s="109">
        <v>77</v>
      </c>
      <c r="BR42" s="109">
        <v>98</v>
      </c>
      <c r="BS42" s="109">
        <v>115</v>
      </c>
    </row>
    <row r="43" spans="1:71">
      <c r="A43" s="105" t="s">
        <v>19</v>
      </c>
      <c r="B43" s="106"/>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06"/>
      <c r="AO43" s="106"/>
      <c r="AP43" s="106"/>
      <c r="AQ43" s="106"/>
      <c r="AR43" s="106"/>
      <c r="AS43" s="106"/>
      <c r="AT43" s="106"/>
      <c r="AU43" s="106"/>
      <c r="AV43" s="106"/>
      <c r="AW43" s="106"/>
      <c r="AX43" s="106"/>
      <c r="AY43" s="106"/>
      <c r="AZ43" s="106"/>
      <c r="BA43" s="106"/>
      <c r="BB43" s="106"/>
      <c r="BC43" s="106"/>
      <c r="BD43" s="106"/>
      <c r="BE43" s="106"/>
      <c r="BF43" s="106"/>
      <c r="BG43" s="106"/>
      <c r="BH43" s="106"/>
      <c r="BI43" s="106"/>
      <c r="BJ43" s="106"/>
      <c r="BK43" s="106"/>
      <c r="BL43" s="106"/>
      <c r="BM43" s="106"/>
      <c r="BN43" s="106"/>
      <c r="BO43" s="106"/>
      <c r="BP43" s="106"/>
      <c r="BQ43" s="106"/>
      <c r="BR43" s="106"/>
      <c r="BS43" s="106"/>
    </row>
    <row r="44" spans="1:71">
      <c r="A44" s="107" t="s">
        <v>257</v>
      </c>
      <c r="B44" s="107">
        <f>SUM(B20,B26,B32,B38)</f>
        <v>20445</v>
      </c>
      <c r="C44" s="107">
        <f t="shared" ref="C44:BN47" si="0">SUM(C20,C26,C32,C38)</f>
        <v>24887</v>
      </c>
      <c r="D44" s="107">
        <f t="shared" si="0"/>
        <v>26298</v>
      </c>
      <c r="E44" s="107">
        <f t="shared" si="0"/>
        <v>27240</v>
      </c>
      <c r="F44" s="107">
        <f t="shared" si="0"/>
        <v>27862</v>
      </c>
      <c r="G44" s="107">
        <f t="shared" si="0"/>
        <v>26198</v>
      </c>
      <c r="H44" s="107">
        <f t="shared" si="0"/>
        <v>24643</v>
      </c>
      <c r="I44" s="107">
        <f t="shared" si="0"/>
        <v>22163</v>
      </c>
      <c r="J44" s="107">
        <f t="shared" si="0"/>
        <v>23442</v>
      </c>
      <c r="K44" s="107">
        <f t="shared" si="0"/>
        <v>30064</v>
      </c>
      <c r="L44" s="107">
        <f t="shared" si="0"/>
        <v>30255</v>
      </c>
      <c r="M44" s="107">
        <f t="shared" si="0"/>
        <v>30196</v>
      </c>
      <c r="N44" s="107">
        <f t="shared" si="0"/>
        <v>30047</v>
      </c>
      <c r="O44" s="107">
        <f t="shared" si="0"/>
        <v>30130</v>
      </c>
      <c r="P44" s="107">
        <f t="shared" si="0"/>
        <v>31193</v>
      </c>
      <c r="Q44" s="107">
        <f t="shared" si="0"/>
        <v>33574</v>
      </c>
      <c r="R44" s="107">
        <f t="shared" si="0"/>
        <v>34978</v>
      </c>
      <c r="S44" s="107">
        <f t="shared" si="0"/>
        <v>35736</v>
      </c>
      <c r="T44" s="107">
        <f t="shared" si="0"/>
        <v>37718</v>
      </c>
      <c r="U44" s="107">
        <f t="shared" si="0"/>
        <v>39427</v>
      </c>
      <c r="V44" s="107">
        <f t="shared" si="0"/>
        <v>39767</v>
      </c>
      <c r="W44" s="107">
        <f t="shared" si="0"/>
        <v>36933</v>
      </c>
      <c r="X44" s="107">
        <f t="shared" si="0"/>
        <v>36194</v>
      </c>
      <c r="Y44" s="107">
        <f t="shared" si="0"/>
        <v>35881</v>
      </c>
      <c r="Z44" s="107">
        <f t="shared" si="0"/>
        <v>36746</v>
      </c>
      <c r="AA44" s="107">
        <f t="shared" si="0"/>
        <v>37367</v>
      </c>
      <c r="AB44" s="107">
        <f t="shared" si="0"/>
        <v>38315</v>
      </c>
      <c r="AC44" s="107">
        <f t="shared" si="0"/>
        <v>38940</v>
      </c>
      <c r="AD44" s="107">
        <f t="shared" si="0"/>
        <v>37715</v>
      </c>
      <c r="AE44" s="107">
        <f t="shared" si="0"/>
        <v>34263</v>
      </c>
      <c r="AF44" s="107">
        <f t="shared" si="0"/>
        <v>33237</v>
      </c>
      <c r="AG44" s="107">
        <f t="shared" si="0"/>
        <v>34585</v>
      </c>
      <c r="AH44" s="107">
        <f t="shared" si="0"/>
        <v>35453</v>
      </c>
      <c r="AI44" s="107">
        <f t="shared" si="0"/>
        <v>36490</v>
      </c>
      <c r="AJ44" s="107">
        <f t="shared" si="0"/>
        <v>36401</v>
      </c>
      <c r="AK44" s="107">
        <f t="shared" si="0"/>
        <v>35566</v>
      </c>
      <c r="AL44" s="107">
        <f t="shared" si="0"/>
        <v>35574</v>
      </c>
      <c r="AM44" s="107">
        <f t="shared" si="0"/>
        <v>34858</v>
      </c>
      <c r="AN44" s="107">
        <f t="shared" si="0"/>
        <v>34677</v>
      </c>
      <c r="AO44" s="107">
        <f t="shared" si="0"/>
        <v>34778</v>
      </c>
      <c r="AP44" s="107">
        <f t="shared" si="0"/>
        <v>35851</v>
      </c>
      <c r="AQ44" s="107">
        <f t="shared" si="0"/>
        <v>36272</v>
      </c>
      <c r="AR44" s="107">
        <f t="shared" si="0"/>
        <v>0</v>
      </c>
      <c r="AS44" s="107">
        <f t="shared" si="0"/>
        <v>0</v>
      </c>
      <c r="AT44" s="107">
        <f t="shared" si="0"/>
        <v>0</v>
      </c>
      <c r="AU44" s="107">
        <f t="shared" si="0"/>
        <v>0</v>
      </c>
      <c r="AV44" s="107">
        <f t="shared" si="0"/>
        <v>0</v>
      </c>
      <c r="AW44" s="107">
        <f t="shared" si="0"/>
        <v>0</v>
      </c>
      <c r="AX44" s="107">
        <f t="shared" si="0"/>
        <v>0</v>
      </c>
      <c r="AY44" s="107">
        <f t="shared" si="0"/>
        <v>0</v>
      </c>
      <c r="AZ44" s="107">
        <f t="shared" si="0"/>
        <v>0</v>
      </c>
      <c r="BA44" s="107">
        <f t="shared" si="0"/>
        <v>0</v>
      </c>
      <c r="BB44" s="107">
        <f t="shared" si="0"/>
        <v>0</v>
      </c>
      <c r="BC44" s="107">
        <f t="shared" si="0"/>
        <v>0</v>
      </c>
      <c r="BD44" s="107">
        <f t="shared" si="0"/>
        <v>0</v>
      </c>
      <c r="BE44" s="107">
        <f t="shared" si="0"/>
        <v>0</v>
      </c>
      <c r="BF44" s="107">
        <f t="shared" si="0"/>
        <v>0</v>
      </c>
      <c r="BG44" s="107">
        <f t="shared" si="0"/>
        <v>0</v>
      </c>
      <c r="BH44" s="107">
        <f t="shared" si="0"/>
        <v>0</v>
      </c>
      <c r="BI44" s="107">
        <f t="shared" si="0"/>
        <v>0</v>
      </c>
      <c r="BJ44" s="107">
        <f t="shared" si="0"/>
        <v>0</v>
      </c>
      <c r="BK44" s="107">
        <f t="shared" si="0"/>
        <v>0</v>
      </c>
      <c r="BL44" s="107">
        <f t="shared" si="0"/>
        <v>0</v>
      </c>
      <c r="BM44" s="107">
        <f t="shared" si="0"/>
        <v>0</v>
      </c>
      <c r="BN44" s="107">
        <f t="shared" si="0"/>
        <v>0</v>
      </c>
      <c r="BO44" s="107">
        <f t="shared" ref="BO44:BS47" si="1">SUM(BO20,BO26,BO32,BO38)</f>
        <v>0</v>
      </c>
      <c r="BP44" s="107">
        <f t="shared" si="1"/>
        <v>57585</v>
      </c>
      <c r="BQ44" s="107">
        <f t="shared" si="1"/>
        <v>60725</v>
      </c>
      <c r="BR44" s="107">
        <f t="shared" si="1"/>
        <v>61067</v>
      </c>
      <c r="BS44" s="107">
        <f t="shared" si="1"/>
        <v>61066</v>
      </c>
    </row>
    <row r="45" spans="1:71">
      <c r="A45" s="107" t="s">
        <v>258</v>
      </c>
      <c r="B45" s="107">
        <f t="shared" ref="B45:Q47" si="2">SUM(B21,B27,B33,B39)</f>
        <v>954</v>
      </c>
      <c r="C45" s="107">
        <f t="shared" si="2"/>
        <v>926</v>
      </c>
      <c r="D45" s="107">
        <f t="shared" si="2"/>
        <v>948</v>
      </c>
      <c r="E45" s="107">
        <f t="shared" si="2"/>
        <v>949</v>
      </c>
      <c r="F45" s="107">
        <f t="shared" si="2"/>
        <v>962</v>
      </c>
      <c r="G45" s="107">
        <f t="shared" si="2"/>
        <v>966</v>
      </c>
      <c r="H45" s="107">
        <f t="shared" si="2"/>
        <v>957</v>
      </c>
      <c r="I45" s="107">
        <f t="shared" si="2"/>
        <v>984</v>
      </c>
      <c r="J45" s="107">
        <f t="shared" si="2"/>
        <v>940</v>
      </c>
      <c r="K45" s="107">
        <f t="shared" si="2"/>
        <v>894</v>
      </c>
      <c r="L45" s="107">
        <f t="shared" si="2"/>
        <v>870</v>
      </c>
      <c r="M45" s="107">
        <f t="shared" si="2"/>
        <v>893</v>
      </c>
      <c r="N45" s="107">
        <f t="shared" si="2"/>
        <v>960</v>
      </c>
      <c r="O45" s="107">
        <f t="shared" si="2"/>
        <v>973</v>
      </c>
      <c r="P45" s="107">
        <f t="shared" si="2"/>
        <v>966</v>
      </c>
      <c r="Q45" s="107">
        <f t="shared" si="2"/>
        <v>1005</v>
      </c>
      <c r="R45" s="107">
        <f t="shared" si="0"/>
        <v>1076</v>
      </c>
      <c r="S45" s="107">
        <f t="shared" si="0"/>
        <v>1094</v>
      </c>
      <c r="T45" s="107">
        <f t="shared" si="0"/>
        <v>1124</v>
      </c>
      <c r="U45" s="107">
        <f t="shared" si="0"/>
        <v>1164</v>
      </c>
      <c r="V45" s="107">
        <f t="shared" si="0"/>
        <v>1226</v>
      </c>
      <c r="W45" s="107">
        <f t="shared" si="0"/>
        <v>1262</v>
      </c>
      <c r="X45" s="107">
        <f t="shared" si="0"/>
        <v>1315</v>
      </c>
      <c r="Y45" s="107">
        <f t="shared" si="0"/>
        <v>1410</v>
      </c>
      <c r="Z45" s="107">
        <f t="shared" si="0"/>
        <v>1613</v>
      </c>
      <c r="AA45" s="107">
        <f t="shared" si="0"/>
        <v>1638</v>
      </c>
      <c r="AB45" s="107">
        <f t="shared" si="0"/>
        <v>1698</v>
      </c>
      <c r="AC45" s="107">
        <f t="shared" si="0"/>
        <v>1726</v>
      </c>
      <c r="AD45" s="107">
        <f t="shared" si="0"/>
        <v>1906</v>
      </c>
      <c r="AE45" s="107">
        <f t="shared" si="0"/>
        <v>2027</v>
      </c>
      <c r="AF45" s="107">
        <f t="shared" si="0"/>
        <v>2209</v>
      </c>
      <c r="AG45" s="107">
        <f t="shared" si="0"/>
        <v>2237</v>
      </c>
      <c r="AH45" s="107">
        <f t="shared" si="0"/>
        <v>2258</v>
      </c>
      <c r="AI45" s="107">
        <f t="shared" si="0"/>
        <v>2142</v>
      </c>
      <c r="AJ45" s="107">
        <f t="shared" si="0"/>
        <v>2225</v>
      </c>
      <c r="AK45" s="107">
        <f t="shared" si="0"/>
        <v>2225</v>
      </c>
      <c r="AL45" s="107">
        <f t="shared" si="0"/>
        <v>2274</v>
      </c>
      <c r="AM45" s="107">
        <f t="shared" si="0"/>
        <v>2322</v>
      </c>
      <c r="AN45" s="107">
        <f t="shared" si="0"/>
        <v>2309</v>
      </c>
      <c r="AO45" s="107">
        <f t="shared" si="0"/>
        <v>2197</v>
      </c>
      <c r="AP45" s="107">
        <f t="shared" si="0"/>
        <v>2199</v>
      </c>
      <c r="AQ45" s="107">
        <f t="shared" si="0"/>
        <v>2214</v>
      </c>
      <c r="AR45" s="107">
        <f t="shared" si="0"/>
        <v>0</v>
      </c>
      <c r="AS45" s="107">
        <f t="shared" si="0"/>
        <v>0</v>
      </c>
      <c r="AT45" s="107">
        <f t="shared" si="0"/>
        <v>0</v>
      </c>
      <c r="AU45" s="107">
        <f t="shared" si="0"/>
        <v>0</v>
      </c>
      <c r="AV45" s="107">
        <f t="shared" si="0"/>
        <v>0</v>
      </c>
      <c r="AW45" s="107">
        <f t="shared" si="0"/>
        <v>0</v>
      </c>
      <c r="AX45" s="107">
        <f t="shared" si="0"/>
        <v>0</v>
      </c>
      <c r="AY45" s="107">
        <f t="shared" si="0"/>
        <v>0</v>
      </c>
      <c r="AZ45" s="107">
        <f t="shared" si="0"/>
        <v>0</v>
      </c>
      <c r="BA45" s="107">
        <f t="shared" si="0"/>
        <v>0</v>
      </c>
      <c r="BB45" s="107">
        <f t="shared" si="0"/>
        <v>0</v>
      </c>
      <c r="BC45" s="107">
        <f t="shared" si="0"/>
        <v>0</v>
      </c>
      <c r="BD45" s="107">
        <f t="shared" si="0"/>
        <v>0</v>
      </c>
      <c r="BE45" s="107">
        <f t="shared" si="0"/>
        <v>0</v>
      </c>
      <c r="BF45" s="107">
        <f t="shared" si="0"/>
        <v>0</v>
      </c>
      <c r="BG45" s="107">
        <f t="shared" si="0"/>
        <v>0</v>
      </c>
      <c r="BH45" s="107">
        <f t="shared" si="0"/>
        <v>0</v>
      </c>
      <c r="BI45" s="107">
        <f t="shared" si="0"/>
        <v>0</v>
      </c>
      <c r="BJ45" s="107">
        <f t="shared" si="0"/>
        <v>0</v>
      </c>
      <c r="BK45" s="107">
        <f t="shared" si="0"/>
        <v>0</v>
      </c>
      <c r="BL45" s="107">
        <f t="shared" si="0"/>
        <v>0</v>
      </c>
      <c r="BM45" s="107">
        <f t="shared" si="0"/>
        <v>0</v>
      </c>
      <c r="BN45" s="107">
        <f t="shared" si="0"/>
        <v>0</v>
      </c>
      <c r="BO45" s="107">
        <f t="shared" si="1"/>
        <v>0</v>
      </c>
      <c r="BP45" s="107">
        <f t="shared" si="1"/>
        <v>6331</v>
      </c>
      <c r="BQ45" s="107">
        <f t="shared" si="1"/>
        <v>5958</v>
      </c>
      <c r="BR45" s="107">
        <f t="shared" si="1"/>
        <v>5589</v>
      </c>
      <c r="BS45" s="107">
        <f t="shared" si="1"/>
        <v>5449</v>
      </c>
    </row>
    <row r="46" spans="1:71">
      <c r="A46" s="107" t="s">
        <v>259</v>
      </c>
      <c r="B46" s="107">
        <f t="shared" si="2"/>
        <v>257</v>
      </c>
      <c r="C46" s="107">
        <f t="shared" si="0"/>
        <v>250</v>
      </c>
      <c r="D46" s="107">
        <f t="shared" si="0"/>
        <v>250</v>
      </c>
      <c r="E46" s="107">
        <f t="shared" si="0"/>
        <v>239</v>
      </c>
      <c r="F46" s="107">
        <f t="shared" si="0"/>
        <v>227</v>
      </c>
      <c r="G46" s="107">
        <f t="shared" si="0"/>
        <v>221</v>
      </c>
      <c r="H46" s="107">
        <f t="shared" si="0"/>
        <v>238</v>
      </c>
      <c r="I46" s="107">
        <f t="shared" si="0"/>
        <v>243</v>
      </c>
      <c r="J46" s="107">
        <f t="shared" si="0"/>
        <v>248</v>
      </c>
      <c r="K46" s="107">
        <f t="shared" si="0"/>
        <v>234</v>
      </c>
      <c r="L46" s="107">
        <f t="shared" si="0"/>
        <v>236</v>
      </c>
      <c r="M46" s="107">
        <f t="shared" si="0"/>
        <v>246</v>
      </c>
      <c r="N46" s="107">
        <f t="shared" si="0"/>
        <v>242</v>
      </c>
      <c r="O46" s="107">
        <f t="shared" si="0"/>
        <v>232</v>
      </c>
      <c r="P46" s="107">
        <f t="shared" si="0"/>
        <v>223</v>
      </c>
      <c r="Q46" s="107">
        <f t="shared" si="0"/>
        <v>220</v>
      </c>
      <c r="R46" s="107">
        <f t="shared" si="0"/>
        <v>235</v>
      </c>
      <c r="S46" s="107">
        <f t="shared" si="0"/>
        <v>238</v>
      </c>
      <c r="T46" s="107">
        <f t="shared" si="0"/>
        <v>256</v>
      </c>
      <c r="U46" s="107">
        <f t="shared" si="0"/>
        <v>265</v>
      </c>
      <c r="V46" s="107">
        <f t="shared" si="0"/>
        <v>278</v>
      </c>
      <c r="W46" s="107">
        <f t="shared" si="0"/>
        <v>274</v>
      </c>
      <c r="X46" s="107">
        <f t="shared" si="0"/>
        <v>264</v>
      </c>
      <c r="Y46" s="107">
        <f t="shared" si="0"/>
        <v>264</v>
      </c>
      <c r="Z46" s="107">
        <f t="shared" si="0"/>
        <v>282</v>
      </c>
      <c r="AA46" s="107">
        <f t="shared" si="0"/>
        <v>293</v>
      </c>
      <c r="AB46" s="107">
        <f t="shared" si="0"/>
        <v>305</v>
      </c>
      <c r="AC46" s="107">
        <f t="shared" si="0"/>
        <v>321</v>
      </c>
      <c r="AD46" s="107">
        <f t="shared" si="0"/>
        <v>327</v>
      </c>
      <c r="AE46" s="107">
        <f t="shared" si="0"/>
        <v>357</v>
      </c>
      <c r="AF46" s="107">
        <f t="shared" si="0"/>
        <v>370</v>
      </c>
      <c r="AG46" s="107">
        <f t="shared" si="0"/>
        <v>371</v>
      </c>
      <c r="AH46" s="107">
        <f t="shared" si="0"/>
        <v>388</v>
      </c>
      <c r="AI46" s="107">
        <f t="shared" si="0"/>
        <v>396</v>
      </c>
      <c r="AJ46" s="107">
        <f t="shared" si="0"/>
        <v>418</v>
      </c>
      <c r="AK46" s="107">
        <f t="shared" si="0"/>
        <v>424</v>
      </c>
      <c r="AL46" s="107">
        <f t="shared" si="0"/>
        <v>463</v>
      </c>
      <c r="AM46" s="107">
        <f t="shared" si="0"/>
        <v>462</v>
      </c>
      <c r="AN46" s="107">
        <f t="shared" si="0"/>
        <v>477</v>
      </c>
      <c r="AO46" s="107">
        <f t="shared" si="0"/>
        <v>469</v>
      </c>
      <c r="AP46" s="107">
        <f t="shared" si="0"/>
        <v>485</v>
      </c>
      <c r="AQ46" s="107">
        <f t="shared" si="0"/>
        <v>502</v>
      </c>
      <c r="AR46" s="107">
        <f t="shared" si="0"/>
        <v>0</v>
      </c>
      <c r="AS46" s="107">
        <f t="shared" si="0"/>
        <v>0</v>
      </c>
      <c r="AT46" s="107">
        <f t="shared" si="0"/>
        <v>0</v>
      </c>
      <c r="AU46" s="107">
        <f t="shared" si="0"/>
        <v>0</v>
      </c>
      <c r="AV46" s="107">
        <f t="shared" si="0"/>
        <v>0</v>
      </c>
      <c r="AW46" s="107">
        <f t="shared" si="0"/>
        <v>0</v>
      </c>
      <c r="AX46" s="107">
        <f t="shared" si="0"/>
        <v>0</v>
      </c>
      <c r="AY46" s="107">
        <f t="shared" si="0"/>
        <v>0</v>
      </c>
      <c r="AZ46" s="107">
        <f t="shared" si="0"/>
        <v>0</v>
      </c>
      <c r="BA46" s="107">
        <f t="shared" si="0"/>
        <v>0</v>
      </c>
      <c r="BB46" s="107">
        <f t="shared" si="0"/>
        <v>0</v>
      </c>
      <c r="BC46" s="107">
        <f t="shared" si="0"/>
        <v>0</v>
      </c>
      <c r="BD46" s="107">
        <f t="shared" si="0"/>
        <v>0</v>
      </c>
      <c r="BE46" s="107">
        <f t="shared" si="0"/>
        <v>0</v>
      </c>
      <c r="BF46" s="107">
        <f t="shared" si="0"/>
        <v>0</v>
      </c>
      <c r="BG46" s="107">
        <f t="shared" si="0"/>
        <v>0</v>
      </c>
      <c r="BH46" s="107">
        <f t="shared" si="0"/>
        <v>0</v>
      </c>
      <c r="BI46" s="107">
        <f t="shared" si="0"/>
        <v>0</v>
      </c>
      <c r="BJ46" s="107">
        <f t="shared" si="0"/>
        <v>0</v>
      </c>
      <c r="BK46" s="107">
        <f t="shared" si="0"/>
        <v>0</v>
      </c>
      <c r="BL46" s="107">
        <f t="shared" si="0"/>
        <v>0</v>
      </c>
      <c r="BM46" s="107">
        <f t="shared" si="0"/>
        <v>0</v>
      </c>
      <c r="BN46" s="107">
        <f t="shared" si="0"/>
        <v>0</v>
      </c>
      <c r="BO46" s="107">
        <f t="shared" si="1"/>
        <v>0</v>
      </c>
      <c r="BP46" s="107">
        <f t="shared" si="1"/>
        <v>974</v>
      </c>
      <c r="BQ46" s="107">
        <f t="shared" si="1"/>
        <v>996</v>
      </c>
      <c r="BR46" s="107">
        <f t="shared" si="1"/>
        <v>1075</v>
      </c>
      <c r="BS46" s="107">
        <f t="shared" si="1"/>
        <v>1142</v>
      </c>
    </row>
    <row r="47" spans="1:71">
      <c r="A47" s="108" t="s">
        <v>260</v>
      </c>
      <c r="B47" s="107">
        <f t="shared" si="2"/>
        <v>79</v>
      </c>
      <c r="C47" s="107">
        <f t="shared" si="0"/>
        <v>81</v>
      </c>
      <c r="D47" s="107">
        <f t="shared" si="0"/>
        <v>75</v>
      </c>
      <c r="E47" s="107">
        <f t="shared" si="0"/>
        <v>73</v>
      </c>
      <c r="F47" s="107">
        <f t="shared" si="0"/>
        <v>68</v>
      </c>
      <c r="G47" s="107">
        <f t="shared" si="0"/>
        <v>66</v>
      </c>
      <c r="H47" s="107">
        <f t="shared" si="0"/>
        <v>62</v>
      </c>
      <c r="I47" s="107">
        <f t="shared" si="0"/>
        <v>61</v>
      </c>
      <c r="J47" s="107">
        <f t="shared" si="0"/>
        <v>62</v>
      </c>
      <c r="K47" s="107">
        <f t="shared" si="0"/>
        <v>59</v>
      </c>
      <c r="L47" s="107">
        <f t="shared" si="0"/>
        <v>61</v>
      </c>
      <c r="M47" s="107">
        <f t="shared" si="0"/>
        <v>56</v>
      </c>
      <c r="N47" s="107">
        <f t="shared" si="0"/>
        <v>60</v>
      </c>
      <c r="O47" s="107">
        <f t="shared" si="0"/>
        <v>62</v>
      </c>
      <c r="P47" s="107">
        <f t="shared" si="0"/>
        <v>62</v>
      </c>
      <c r="Q47" s="107">
        <f t="shared" si="0"/>
        <v>58</v>
      </c>
      <c r="R47" s="107">
        <f t="shared" si="0"/>
        <v>58</v>
      </c>
      <c r="S47" s="107">
        <f t="shared" si="0"/>
        <v>61</v>
      </c>
      <c r="T47" s="107">
        <f t="shared" si="0"/>
        <v>65</v>
      </c>
      <c r="U47" s="107">
        <f t="shared" si="0"/>
        <v>61</v>
      </c>
      <c r="V47" s="107">
        <f t="shared" si="0"/>
        <v>56</v>
      </c>
      <c r="W47" s="107">
        <f t="shared" si="0"/>
        <v>56</v>
      </c>
      <c r="X47" s="107">
        <f t="shared" si="0"/>
        <v>54</v>
      </c>
      <c r="Y47" s="107">
        <f t="shared" si="0"/>
        <v>55</v>
      </c>
      <c r="Z47" s="107">
        <f t="shared" si="0"/>
        <v>61</v>
      </c>
      <c r="AA47" s="107">
        <f t="shared" si="0"/>
        <v>57</v>
      </c>
      <c r="AB47" s="107">
        <f t="shared" si="0"/>
        <v>56</v>
      </c>
      <c r="AC47" s="107">
        <f t="shared" si="0"/>
        <v>56</v>
      </c>
      <c r="AD47" s="107">
        <f t="shared" si="0"/>
        <v>56</v>
      </c>
      <c r="AE47" s="107">
        <f t="shared" si="0"/>
        <v>55</v>
      </c>
      <c r="AF47" s="107">
        <f t="shared" si="0"/>
        <v>56</v>
      </c>
      <c r="AG47" s="107">
        <f t="shared" si="0"/>
        <v>55</v>
      </c>
      <c r="AH47" s="107">
        <f t="shared" si="0"/>
        <v>58</v>
      </c>
      <c r="AI47" s="107">
        <f t="shared" si="0"/>
        <v>57</v>
      </c>
      <c r="AJ47" s="107">
        <f t="shared" si="0"/>
        <v>58</v>
      </c>
      <c r="AK47" s="107">
        <f t="shared" si="0"/>
        <v>57</v>
      </c>
      <c r="AL47" s="107">
        <f t="shared" si="0"/>
        <v>56</v>
      </c>
      <c r="AM47" s="107">
        <f t="shared" si="0"/>
        <v>57</v>
      </c>
      <c r="AN47" s="107">
        <f t="shared" si="0"/>
        <v>56</v>
      </c>
      <c r="AO47" s="107">
        <f t="shared" si="0"/>
        <v>60</v>
      </c>
      <c r="AP47" s="107">
        <f t="shared" si="0"/>
        <v>62</v>
      </c>
      <c r="AQ47" s="107">
        <f t="shared" si="0"/>
        <v>59</v>
      </c>
      <c r="AR47" s="107">
        <f t="shared" si="0"/>
        <v>0</v>
      </c>
      <c r="AS47" s="107">
        <f t="shared" si="0"/>
        <v>0</v>
      </c>
      <c r="AT47" s="107">
        <f t="shared" si="0"/>
        <v>0</v>
      </c>
      <c r="AU47" s="107">
        <f t="shared" si="0"/>
        <v>0</v>
      </c>
      <c r="AV47" s="107">
        <f t="shared" si="0"/>
        <v>0</v>
      </c>
      <c r="AW47" s="107">
        <f t="shared" si="0"/>
        <v>0</v>
      </c>
      <c r="AX47" s="107">
        <f t="shared" si="0"/>
        <v>0</v>
      </c>
      <c r="AY47" s="107">
        <f t="shared" si="0"/>
        <v>0</v>
      </c>
      <c r="AZ47" s="107">
        <f t="shared" si="0"/>
        <v>0</v>
      </c>
      <c r="BA47" s="107">
        <f t="shared" si="0"/>
        <v>0</v>
      </c>
      <c r="BB47" s="107">
        <f t="shared" si="0"/>
        <v>0</v>
      </c>
      <c r="BC47" s="107">
        <f t="shared" si="0"/>
        <v>0</v>
      </c>
      <c r="BD47" s="107">
        <f t="shared" si="0"/>
        <v>0</v>
      </c>
      <c r="BE47" s="107">
        <f t="shared" si="0"/>
        <v>0</v>
      </c>
      <c r="BF47" s="107">
        <f t="shared" si="0"/>
        <v>0</v>
      </c>
      <c r="BG47" s="107">
        <f t="shared" si="0"/>
        <v>0</v>
      </c>
      <c r="BH47" s="107">
        <f t="shared" si="0"/>
        <v>0</v>
      </c>
      <c r="BI47" s="107">
        <f t="shared" si="0"/>
        <v>0</v>
      </c>
      <c r="BJ47" s="107">
        <f t="shared" si="0"/>
        <v>0</v>
      </c>
      <c r="BK47" s="107">
        <f t="shared" si="0"/>
        <v>0</v>
      </c>
      <c r="BL47" s="107">
        <f t="shared" si="0"/>
        <v>0</v>
      </c>
      <c r="BM47" s="107">
        <f t="shared" si="0"/>
        <v>0</v>
      </c>
      <c r="BN47" s="107">
        <f t="shared" si="0"/>
        <v>0</v>
      </c>
      <c r="BO47" s="107">
        <f t="shared" si="1"/>
        <v>0</v>
      </c>
      <c r="BP47" s="107">
        <f t="shared" si="1"/>
        <v>68</v>
      </c>
      <c r="BQ47" s="107">
        <f t="shared" si="1"/>
        <v>72</v>
      </c>
      <c r="BR47" s="107">
        <f t="shared" si="1"/>
        <v>78</v>
      </c>
      <c r="BS47" s="107">
        <f t="shared" si="1"/>
        <v>78</v>
      </c>
    </row>
    <row r="48" spans="1:71">
      <c r="A48" s="109" t="s">
        <v>19</v>
      </c>
      <c r="B48" s="109">
        <f>SUM(B44:B47)</f>
        <v>21735</v>
      </c>
      <c r="C48" s="109">
        <f t="shared" ref="C48:BN48" si="3">SUM(C44:C47)</f>
        <v>26144</v>
      </c>
      <c r="D48" s="109">
        <f t="shared" si="3"/>
        <v>27571</v>
      </c>
      <c r="E48" s="109">
        <f t="shared" si="3"/>
        <v>28501</v>
      </c>
      <c r="F48" s="109">
        <f t="shared" si="3"/>
        <v>29119</v>
      </c>
      <c r="G48" s="109">
        <f t="shared" si="3"/>
        <v>27451</v>
      </c>
      <c r="H48" s="109">
        <f t="shared" si="3"/>
        <v>25900</v>
      </c>
      <c r="I48" s="109">
        <f t="shared" si="3"/>
        <v>23451</v>
      </c>
      <c r="J48" s="109">
        <f t="shared" si="3"/>
        <v>24692</v>
      </c>
      <c r="K48" s="109">
        <f t="shared" si="3"/>
        <v>31251</v>
      </c>
      <c r="L48" s="109">
        <f t="shared" si="3"/>
        <v>31422</v>
      </c>
      <c r="M48" s="109">
        <f t="shared" si="3"/>
        <v>31391</v>
      </c>
      <c r="N48" s="109">
        <f t="shared" si="3"/>
        <v>31309</v>
      </c>
      <c r="O48" s="109">
        <f t="shared" si="3"/>
        <v>31397</v>
      </c>
      <c r="P48" s="109">
        <f t="shared" si="3"/>
        <v>32444</v>
      </c>
      <c r="Q48" s="109">
        <f t="shared" si="3"/>
        <v>34857</v>
      </c>
      <c r="R48" s="109">
        <f t="shared" si="3"/>
        <v>36347</v>
      </c>
      <c r="S48" s="109">
        <f t="shared" si="3"/>
        <v>37129</v>
      </c>
      <c r="T48" s="109">
        <f t="shared" si="3"/>
        <v>39163</v>
      </c>
      <c r="U48" s="109">
        <f t="shared" si="3"/>
        <v>40917</v>
      </c>
      <c r="V48" s="109">
        <f t="shared" si="3"/>
        <v>41327</v>
      </c>
      <c r="W48" s="109">
        <f t="shared" si="3"/>
        <v>38525</v>
      </c>
      <c r="X48" s="109">
        <f t="shared" si="3"/>
        <v>37827</v>
      </c>
      <c r="Y48" s="109">
        <f t="shared" si="3"/>
        <v>37610</v>
      </c>
      <c r="Z48" s="109">
        <f t="shared" si="3"/>
        <v>38702</v>
      </c>
      <c r="AA48" s="109">
        <f t="shared" si="3"/>
        <v>39355</v>
      </c>
      <c r="AB48" s="109">
        <f t="shared" si="3"/>
        <v>40374</v>
      </c>
      <c r="AC48" s="109">
        <f t="shared" si="3"/>
        <v>41043</v>
      </c>
      <c r="AD48" s="109">
        <f t="shared" si="3"/>
        <v>40004</v>
      </c>
      <c r="AE48" s="109">
        <f t="shared" si="3"/>
        <v>36702</v>
      </c>
      <c r="AF48" s="109">
        <f t="shared" si="3"/>
        <v>35872</v>
      </c>
      <c r="AG48" s="109">
        <f t="shared" si="3"/>
        <v>37248</v>
      </c>
      <c r="AH48" s="109">
        <f t="shared" si="3"/>
        <v>38157</v>
      </c>
      <c r="AI48" s="109">
        <f t="shared" si="3"/>
        <v>39085</v>
      </c>
      <c r="AJ48" s="109">
        <f t="shared" si="3"/>
        <v>39102</v>
      </c>
      <c r="AK48" s="109">
        <f t="shared" si="3"/>
        <v>38272</v>
      </c>
      <c r="AL48" s="109">
        <f t="shared" si="3"/>
        <v>38367</v>
      </c>
      <c r="AM48" s="109">
        <f t="shared" si="3"/>
        <v>37699</v>
      </c>
      <c r="AN48" s="109">
        <f t="shared" si="3"/>
        <v>37519</v>
      </c>
      <c r="AO48" s="109">
        <f t="shared" si="3"/>
        <v>37504</v>
      </c>
      <c r="AP48" s="109">
        <f t="shared" si="3"/>
        <v>38597</v>
      </c>
      <c r="AQ48" s="109">
        <f t="shared" si="3"/>
        <v>39047</v>
      </c>
      <c r="AR48" s="109">
        <f t="shared" si="3"/>
        <v>0</v>
      </c>
      <c r="AS48" s="109">
        <f t="shared" si="3"/>
        <v>0</v>
      </c>
      <c r="AT48" s="109">
        <f t="shared" si="3"/>
        <v>0</v>
      </c>
      <c r="AU48" s="109">
        <f t="shared" si="3"/>
        <v>0</v>
      </c>
      <c r="AV48" s="109">
        <f t="shared" si="3"/>
        <v>0</v>
      </c>
      <c r="AW48" s="109">
        <f t="shared" si="3"/>
        <v>0</v>
      </c>
      <c r="AX48" s="109">
        <f t="shared" si="3"/>
        <v>0</v>
      </c>
      <c r="AY48" s="109">
        <f t="shared" si="3"/>
        <v>0</v>
      </c>
      <c r="AZ48" s="109">
        <f t="shared" si="3"/>
        <v>0</v>
      </c>
      <c r="BA48" s="109">
        <f t="shared" si="3"/>
        <v>0</v>
      </c>
      <c r="BB48" s="109">
        <f t="shared" si="3"/>
        <v>0</v>
      </c>
      <c r="BC48" s="109">
        <f t="shared" si="3"/>
        <v>0</v>
      </c>
      <c r="BD48" s="109">
        <f t="shared" si="3"/>
        <v>0</v>
      </c>
      <c r="BE48" s="109">
        <f t="shared" si="3"/>
        <v>0</v>
      </c>
      <c r="BF48" s="109">
        <f t="shared" si="3"/>
        <v>0</v>
      </c>
      <c r="BG48" s="109">
        <f t="shared" si="3"/>
        <v>0</v>
      </c>
      <c r="BH48" s="109">
        <f t="shared" si="3"/>
        <v>0</v>
      </c>
      <c r="BI48" s="109">
        <f t="shared" si="3"/>
        <v>0</v>
      </c>
      <c r="BJ48" s="109">
        <f t="shared" si="3"/>
        <v>0</v>
      </c>
      <c r="BK48" s="109">
        <f t="shared" si="3"/>
        <v>0</v>
      </c>
      <c r="BL48" s="109">
        <f t="shared" si="3"/>
        <v>0</v>
      </c>
      <c r="BM48" s="109">
        <f t="shared" si="3"/>
        <v>0</v>
      </c>
      <c r="BN48" s="109">
        <f t="shared" si="3"/>
        <v>0</v>
      </c>
      <c r="BO48" s="109">
        <f t="shared" ref="BO48:BS48" si="4">SUM(BO44:BO47)</f>
        <v>0</v>
      </c>
      <c r="BP48" s="109">
        <f t="shared" si="4"/>
        <v>64958</v>
      </c>
      <c r="BQ48" s="109">
        <f t="shared" si="4"/>
        <v>67751</v>
      </c>
      <c r="BR48" s="109">
        <f t="shared" si="4"/>
        <v>67809</v>
      </c>
      <c r="BS48" s="109">
        <f t="shared" si="4"/>
        <v>67735</v>
      </c>
    </row>
  </sheetData>
  <mergeCells count="72">
    <mergeCell ref="A4:A6"/>
    <mergeCell ref="A16:A18"/>
    <mergeCell ref="BJ17:BK17"/>
    <mergeCell ref="BL17:BM17"/>
    <mergeCell ref="BN17:BO17"/>
    <mergeCell ref="AP17:AQ17"/>
    <mergeCell ref="AR17:AS17"/>
    <mergeCell ref="AT17:AU17"/>
    <mergeCell ref="AV17:AW17"/>
    <mergeCell ref="AX17:AY17"/>
    <mergeCell ref="AF17:AG17"/>
    <mergeCell ref="AH17:AI17"/>
    <mergeCell ref="AJ17:AK17"/>
    <mergeCell ref="AL17:AM17"/>
    <mergeCell ref="AN17:AO17"/>
    <mergeCell ref="V17:W17"/>
    <mergeCell ref="BP17:BQ17"/>
    <mergeCell ref="BR17:BS17"/>
    <mergeCell ref="AZ17:BA17"/>
    <mergeCell ref="BB17:BC17"/>
    <mergeCell ref="BD17:BE17"/>
    <mergeCell ref="BF17:BG17"/>
    <mergeCell ref="BH17:BI17"/>
    <mergeCell ref="X17:Y17"/>
    <mergeCell ref="Z17:AA17"/>
    <mergeCell ref="AB17:AC17"/>
    <mergeCell ref="AD17:AE17"/>
    <mergeCell ref="L17:M17"/>
    <mergeCell ref="N17:O17"/>
    <mergeCell ref="P17:Q17"/>
    <mergeCell ref="R17:S17"/>
    <mergeCell ref="T17:U17"/>
    <mergeCell ref="B17:C17"/>
    <mergeCell ref="D17:E17"/>
    <mergeCell ref="F17:G17"/>
    <mergeCell ref="H17:I17"/>
    <mergeCell ref="J17:K17"/>
    <mergeCell ref="BJ5:BK5"/>
    <mergeCell ref="BL5:BM5"/>
    <mergeCell ref="BN5:BO5"/>
    <mergeCell ref="BP5:BQ5"/>
    <mergeCell ref="BR5:BS5"/>
    <mergeCell ref="AZ5:BA5"/>
    <mergeCell ref="BB5:BC5"/>
    <mergeCell ref="BD5:BE5"/>
    <mergeCell ref="BF5:BG5"/>
    <mergeCell ref="BH5:BI5"/>
    <mergeCell ref="AP5:AQ5"/>
    <mergeCell ref="AR5:AS5"/>
    <mergeCell ref="AT5:AU5"/>
    <mergeCell ref="AV5:AW5"/>
    <mergeCell ref="AX5:AY5"/>
    <mergeCell ref="AF5:AG5"/>
    <mergeCell ref="AH5:AI5"/>
    <mergeCell ref="AJ5:AK5"/>
    <mergeCell ref="AL5:AM5"/>
    <mergeCell ref="AN5:AO5"/>
    <mergeCell ref="V5:W5"/>
    <mergeCell ref="X5:Y5"/>
    <mergeCell ref="Z5:AA5"/>
    <mergeCell ref="AB5:AC5"/>
    <mergeCell ref="AD5:AE5"/>
    <mergeCell ref="L5:M5"/>
    <mergeCell ref="N5:O5"/>
    <mergeCell ref="P5:Q5"/>
    <mergeCell ref="R5:S5"/>
    <mergeCell ref="T5:U5"/>
    <mergeCell ref="B5:C5"/>
    <mergeCell ref="D5:E5"/>
    <mergeCell ref="F5:G5"/>
    <mergeCell ref="H5:I5"/>
    <mergeCell ref="J5:K5"/>
  </mergeCells>
  <pageMargins left="0.7" right="0.7" top="0.75" bottom="0.75" header="0.3" footer="0.3"/>
  <pageSetup orientation="portrai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L160"/>
  <sheetViews>
    <sheetView showGridLines="0" zoomScale="80" zoomScaleNormal="80" workbookViewId="0">
      <selection activeCell="B56" sqref="B56"/>
    </sheetView>
  </sheetViews>
  <sheetFormatPr defaultColWidth="9" defaultRowHeight="14.4"/>
  <cols>
    <col min="1" max="1" width="35.6640625" customWidth="1"/>
    <col min="2" max="2" width="11.33203125" customWidth="1"/>
    <col min="3" max="3" width="10.6640625" customWidth="1"/>
  </cols>
  <sheetData>
    <row r="1" spans="1:12" ht="71.7" customHeight="1">
      <c r="A1" s="417" t="s">
        <v>261</v>
      </c>
      <c r="B1" s="418"/>
      <c r="C1" s="418"/>
      <c r="D1" s="418"/>
      <c r="E1" s="418"/>
      <c r="F1" s="418"/>
      <c r="G1" s="418"/>
      <c r="H1" s="418"/>
      <c r="I1" s="418"/>
      <c r="J1" s="418"/>
      <c r="K1" s="418"/>
      <c r="L1" s="418"/>
    </row>
    <row r="2" spans="1:12" ht="12.6" customHeight="1"/>
    <row r="3" spans="1:12" ht="15.6">
      <c r="A3" s="63" t="s">
        <v>262</v>
      </c>
      <c r="B3" s="62"/>
      <c r="C3" s="62"/>
    </row>
    <row r="4" spans="1:12" ht="15.6">
      <c r="A4" s="64" t="s">
        <v>133</v>
      </c>
      <c r="B4" s="72" t="s">
        <v>263</v>
      </c>
    </row>
    <row r="5" spans="1:12" ht="15.6">
      <c r="A5" s="66" t="s">
        <v>264</v>
      </c>
      <c r="B5" s="83">
        <v>15</v>
      </c>
    </row>
    <row r="6" spans="1:12" ht="15.6">
      <c r="A6" s="66" t="s">
        <v>265</v>
      </c>
      <c r="B6" s="83">
        <v>9</v>
      </c>
    </row>
    <row r="7" spans="1:12" ht="15.6">
      <c r="A7" s="66" t="s">
        <v>266</v>
      </c>
      <c r="B7" s="83">
        <v>10</v>
      </c>
    </row>
    <row r="8" spans="1:12" ht="15.6">
      <c r="A8" s="66" t="s">
        <v>267</v>
      </c>
      <c r="B8" s="83">
        <v>25</v>
      </c>
    </row>
    <row r="9" spans="1:12" ht="15.6">
      <c r="A9" s="66" t="s">
        <v>268</v>
      </c>
      <c r="B9" s="83">
        <v>17</v>
      </c>
    </row>
    <row r="10" spans="1:12" ht="15.6">
      <c r="A10" s="66" t="s">
        <v>269</v>
      </c>
      <c r="B10" s="83">
        <v>25</v>
      </c>
    </row>
    <row r="11" spans="1:12" ht="15.6">
      <c r="A11" s="66" t="s">
        <v>135</v>
      </c>
      <c r="B11" s="83">
        <v>24</v>
      </c>
    </row>
    <row r="12" spans="1:12" ht="15.6">
      <c r="A12" s="70" t="s">
        <v>134</v>
      </c>
      <c r="B12" s="84">
        <v>0</v>
      </c>
    </row>
    <row r="14" spans="1:12" ht="15.6">
      <c r="A14" s="63" t="s">
        <v>270</v>
      </c>
      <c r="B14" s="62"/>
    </row>
    <row r="15" spans="1:12" ht="15.6">
      <c r="A15" s="85" t="s">
        <v>133</v>
      </c>
      <c r="B15" s="86" t="s">
        <v>271</v>
      </c>
    </row>
    <row r="16" spans="1:12" ht="15.6">
      <c r="A16" s="87" t="s">
        <v>264</v>
      </c>
      <c r="B16" s="88">
        <v>22</v>
      </c>
    </row>
    <row r="17" spans="1:2" ht="15.6">
      <c r="A17" s="87" t="s">
        <v>265</v>
      </c>
      <c r="B17" s="88">
        <v>21</v>
      </c>
    </row>
    <row r="18" spans="1:2" ht="15.6">
      <c r="A18" s="87" t="s">
        <v>266</v>
      </c>
      <c r="B18" s="88">
        <v>19</v>
      </c>
    </row>
    <row r="19" spans="1:2" ht="15.6">
      <c r="A19" s="87" t="s">
        <v>267</v>
      </c>
      <c r="B19" s="88">
        <v>19</v>
      </c>
    </row>
    <row r="20" spans="1:2" ht="15.6">
      <c r="A20" s="87" t="s">
        <v>268</v>
      </c>
      <c r="B20" s="88">
        <v>19</v>
      </c>
    </row>
    <row r="21" spans="1:2" ht="15.6">
      <c r="A21" s="87" t="s">
        <v>269</v>
      </c>
      <c r="B21" s="88">
        <v>20</v>
      </c>
    </row>
    <row r="22" spans="1:2" ht="15.6">
      <c r="A22" s="87" t="s">
        <v>135</v>
      </c>
      <c r="B22" s="88">
        <v>22</v>
      </c>
    </row>
    <row r="23" spans="1:2" ht="15.6">
      <c r="A23" s="89" t="s">
        <v>134</v>
      </c>
      <c r="B23" s="84">
        <v>0</v>
      </c>
    </row>
    <row r="24" spans="1:2" ht="15.6">
      <c r="B24" s="90"/>
    </row>
    <row r="25" spans="1:2" ht="15.6">
      <c r="A25" s="63" t="s">
        <v>272</v>
      </c>
      <c r="B25" s="62"/>
    </row>
    <row r="26" spans="1:2" ht="15.6">
      <c r="A26" s="64" t="s">
        <v>133</v>
      </c>
      <c r="B26" s="72" t="s">
        <v>107</v>
      </c>
    </row>
    <row r="27" spans="1:2" ht="15.6">
      <c r="A27" s="66" t="s">
        <v>264</v>
      </c>
      <c r="B27" s="75">
        <v>12</v>
      </c>
    </row>
    <row r="28" spans="1:2" ht="15.6">
      <c r="A28" s="66" t="s">
        <v>265</v>
      </c>
      <c r="B28" s="75">
        <v>3</v>
      </c>
    </row>
    <row r="29" spans="1:2" ht="15.6">
      <c r="A29" s="66" t="s">
        <v>266</v>
      </c>
      <c r="B29" s="75">
        <v>9</v>
      </c>
    </row>
    <row r="30" spans="1:2" ht="15.6">
      <c r="A30" s="66" t="s">
        <v>267</v>
      </c>
      <c r="B30" s="75">
        <v>11</v>
      </c>
    </row>
    <row r="31" spans="1:2" ht="15.6">
      <c r="A31" s="66" t="s">
        <v>268</v>
      </c>
      <c r="B31" s="75">
        <v>8</v>
      </c>
    </row>
    <row r="32" spans="1:2" ht="15.6">
      <c r="A32" s="66" t="s">
        <v>269</v>
      </c>
      <c r="B32" s="75">
        <v>14</v>
      </c>
    </row>
    <row r="33" spans="1:2" ht="15.6">
      <c r="A33" s="66" t="s">
        <v>135</v>
      </c>
      <c r="B33" s="83">
        <v>11</v>
      </c>
    </row>
    <row r="34" spans="1:2" ht="15.6">
      <c r="A34" s="70" t="s">
        <v>134</v>
      </c>
      <c r="B34" s="84">
        <v>0</v>
      </c>
    </row>
    <row r="35" spans="1:2" ht="15.6">
      <c r="B35" s="90"/>
    </row>
    <row r="36" spans="1:2" ht="15.6">
      <c r="A36" s="63" t="s">
        <v>273</v>
      </c>
      <c r="B36" s="62"/>
    </row>
    <row r="37" spans="1:2" ht="15.6">
      <c r="A37" s="64" t="s">
        <v>133</v>
      </c>
      <c r="B37" s="72" t="s">
        <v>263</v>
      </c>
    </row>
    <row r="38" spans="1:2" ht="15.6">
      <c r="A38" s="66" t="s">
        <v>264</v>
      </c>
      <c r="B38" s="75">
        <v>30</v>
      </c>
    </row>
    <row r="39" spans="1:2" ht="15.6">
      <c r="A39" s="66" t="s">
        <v>265</v>
      </c>
      <c r="B39" s="75">
        <v>12</v>
      </c>
    </row>
    <row r="40" spans="1:2" ht="15.6">
      <c r="A40" s="66" t="s">
        <v>266</v>
      </c>
      <c r="B40" s="75">
        <v>11</v>
      </c>
    </row>
    <row r="41" spans="1:2" ht="15.6">
      <c r="A41" s="66" t="s">
        <v>267</v>
      </c>
      <c r="B41" s="75">
        <v>6</v>
      </c>
    </row>
    <row r="42" spans="1:2" ht="15.6">
      <c r="A42" s="66" t="s">
        <v>274</v>
      </c>
      <c r="B42" s="75">
        <v>1</v>
      </c>
    </row>
    <row r="43" spans="1:2" ht="15.6">
      <c r="A43" s="66" t="s">
        <v>269</v>
      </c>
      <c r="B43" s="75">
        <v>7</v>
      </c>
    </row>
    <row r="44" spans="1:2" ht="15.6">
      <c r="A44" s="66" t="s">
        <v>135</v>
      </c>
      <c r="B44" s="83">
        <v>13</v>
      </c>
    </row>
    <row r="45" spans="1:2" ht="15.6">
      <c r="A45" s="70" t="s">
        <v>134</v>
      </c>
      <c r="B45" s="84">
        <v>0</v>
      </c>
    </row>
    <row r="47" spans="1:2" ht="15.6">
      <c r="A47" s="63" t="s">
        <v>275</v>
      </c>
      <c r="B47" s="62"/>
    </row>
    <row r="48" spans="1:2" ht="15.6">
      <c r="A48" s="64" t="s">
        <v>133</v>
      </c>
      <c r="B48" s="72" t="s">
        <v>271</v>
      </c>
    </row>
    <row r="49" spans="1:2" ht="15.6">
      <c r="A49" s="66" t="s">
        <v>264</v>
      </c>
      <c r="B49" s="75">
        <v>19</v>
      </c>
    </row>
    <row r="50" spans="1:2" ht="15.6">
      <c r="A50" s="66" t="s">
        <v>265</v>
      </c>
      <c r="B50" s="75">
        <v>8</v>
      </c>
    </row>
    <row r="51" spans="1:2" ht="15.6">
      <c r="A51" s="66" t="s">
        <v>266</v>
      </c>
      <c r="B51" s="75">
        <v>9</v>
      </c>
    </row>
    <row r="52" spans="1:2" ht="15.6">
      <c r="A52" s="66" t="s">
        <v>267</v>
      </c>
      <c r="B52" s="75">
        <v>4</v>
      </c>
    </row>
    <row r="53" spans="1:2" ht="15.6">
      <c r="A53" s="66" t="s">
        <v>274</v>
      </c>
      <c r="B53" s="75">
        <v>1</v>
      </c>
    </row>
    <row r="54" spans="1:2" ht="15.6">
      <c r="A54" s="66" t="s">
        <v>269</v>
      </c>
      <c r="B54" s="75">
        <v>4</v>
      </c>
    </row>
    <row r="55" spans="1:2" ht="15.6">
      <c r="A55" s="66" t="s">
        <v>135</v>
      </c>
      <c r="B55" s="83">
        <v>7</v>
      </c>
    </row>
    <row r="56" spans="1:2" ht="15.6">
      <c r="A56" s="70" t="s">
        <v>134</v>
      </c>
      <c r="B56" s="84">
        <v>0</v>
      </c>
    </row>
    <row r="57" spans="1:2" ht="15.6">
      <c r="B57" s="90"/>
    </row>
    <row r="58" spans="1:2" ht="15.6">
      <c r="A58" s="63" t="s">
        <v>276</v>
      </c>
      <c r="B58" s="62"/>
    </row>
    <row r="59" spans="1:2" ht="15.6">
      <c r="A59" s="64" t="s">
        <v>133</v>
      </c>
      <c r="B59" s="72" t="s">
        <v>107</v>
      </c>
    </row>
    <row r="60" spans="1:2" ht="15.6">
      <c r="A60" s="66" t="s">
        <v>264</v>
      </c>
      <c r="B60" s="75">
        <v>2</v>
      </c>
    </row>
    <row r="61" spans="1:2" ht="15.6">
      <c r="A61" s="66" t="s">
        <v>265</v>
      </c>
      <c r="B61" s="75">
        <v>1</v>
      </c>
    </row>
    <row r="62" spans="1:2" ht="15.6">
      <c r="A62" s="66" t="s">
        <v>266</v>
      </c>
      <c r="B62" s="75">
        <v>0</v>
      </c>
    </row>
    <row r="63" spans="1:2" ht="15.6">
      <c r="A63" s="66" t="s">
        <v>267</v>
      </c>
      <c r="B63" s="75">
        <v>0</v>
      </c>
    </row>
    <row r="64" spans="1:2" ht="15.6">
      <c r="A64" s="66" t="s">
        <v>268</v>
      </c>
      <c r="B64" s="75">
        <v>0</v>
      </c>
    </row>
    <row r="65" spans="1:2" ht="15.6">
      <c r="A65" s="66" t="s">
        <v>269</v>
      </c>
      <c r="B65" s="75">
        <v>0</v>
      </c>
    </row>
    <row r="66" spans="1:2" ht="15.6">
      <c r="A66" s="66" t="s">
        <v>135</v>
      </c>
      <c r="B66" s="75">
        <v>0</v>
      </c>
    </row>
    <row r="67" spans="1:2" ht="15.6">
      <c r="A67" s="70" t="s">
        <v>134</v>
      </c>
      <c r="B67" s="84">
        <v>0</v>
      </c>
    </row>
    <row r="68" spans="1:2" ht="15.6">
      <c r="B68" s="90"/>
    </row>
    <row r="69" spans="1:2" ht="15.6">
      <c r="A69" s="63" t="s">
        <v>277</v>
      </c>
      <c r="B69" s="62"/>
    </row>
    <row r="70" spans="1:2" ht="15.6">
      <c r="A70" s="64" t="s">
        <v>133</v>
      </c>
      <c r="B70" s="72" t="s">
        <v>263</v>
      </c>
    </row>
    <row r="71" spans="1:2" ht="15.6">
      <c r="A71" s="66" t="s">
        <v>264</v>
      </c>
      <c r="B71" s="75">
        <v>24545</v>
      </c>
    </row>
    <row r="72" spans="1:2" ht="15.6">
      <c r="A72" s="66" t="s">
        <v>265</v>
      </c>
      <c r="B72" s="75">
        <v>22976</v>
      </c>
    </row>
    <row r="73" spans="1:2" ht="15.6">
      <c r="A73" s="66" t="s">
        <v>266</v>
      </c>
      <c r="B73" s="75">
        <v>16174</v>
      </c>
    </row>
    <row r="74" spans="1:2" ht="15.6">
      <c r="A74" s="66" t="s">
        <v>267</v>
      </c>
      <c r="B74" s="75">
        <v>6941</v>
      </c>
    </row>
    <row r="75" spans="1:2" ht="15.6">
      <c r="A75" s="66" t="s">
        <v>268</v>
      </c>
      <c r="B75" s="75">
        <v>5977</v>
      </c>
    </row>
    <row r="76" spans="1:2" ht="15.6">
      <c r="A76" s="66" t="s">
        <v>269</v>
      </c>
      <c r="B76" s="75">
        <v>9042</v>
      </c>
    </row>
    <row r="77" spans="1:2" ht="15.6">
      <c r="A77" s="66" t="s">
        <v>135</v>
      </c>
      <c r="B77" s="75">
        <v>9739</v>
      </c>
    </row>
    <row r="78" spans="1:2" ht="15.6">
      <c r="A78" s="70" t="s">
        <v>134</v>
      </c>
      <c r="B78" s="84">
        <v>0</v>
      </c>
    </row>
    <row r="80" spans="1:2" ht="15.6">
      <c r="A80" s="63" t="s">
        <v>278</v>
      </c>
      <c r="B80" s="62"/>
    </row>
    <row r="81" spans="1:2" ht="15.6">
      <c r="A81" s="64" t="s">
        <v>133</v>
      </c>
      <c r="B81" s="72" t="s">
        <v>271</v>
      </c>
    </row>
    <row r="82" spans="1:2" ht="15.6">
      <c r="A82" s="66" t="s">
        <v>264</v>
      </c>
      <c r="B82" s="75">
        <v>25793</v>
      </c>
    </row>
    <row r="83" spans="1:2" ht="15.6">
      <c r="A83" s="66" t="s">
        <v>265</v>
      </c>
      <c r="B83" s="75">
        <v>24371</v>
      </c>
    </row>
    <row r="84" spans="1:2" ht="15.6">
      <c r="A84" s="66" t="s">
        <v>266</v>
      </c>
      <c r="B84" s="75">
        <v>17657</v>
      </c>
    </row>
    <row r="85" spans="1:2" ht="15.6">
      <c r="A85" s="66" t="s">
        <v>267</v>
      </c>
      <c r="B85" s="75">
        <v>7422</v>
      </c>
    </row>
    <row r="86" spans="1:2" ht="15.6">
      <c r="A86" s="66" t="s">
        <v>268</v>
      </c>
      <c r="B86" s="75">
        <v>6468</v>
      </c>
    </row>
    <row r="87" spans="1:2" ht="15.6">
      <c r="A87" s="66" t="s">
        <v>269</v>
      </c>
      <c r="B87" s="75">
        <v>9470</v>
      </c>
    </row>
    <row r="88" spans="1:2" ht="15.6">
      <c r="A88" s="66" t="s">
        <v>135</v>
      </c>
      <c r="B88" s="75">
        <v>9977</v>
      </c>
    </row>
    <row r="89" spans="1:2" ht="15.6">
      <c r="A89" s="70" t="s">
        <v>134</v>
      </c>
      <c r="B89" s="84">
        <v>18277</v>
      </c>
    </row>
    <row r="90" spans="1:2" ht="15.6">
      <c r="B90" s="90"/>
    </row>
    <row r="91" spans="1:2" ht="15.6">
      <c r="A91" s="63" t="s">
        <v>279</v>
      </c>
      <c r="B91" s="62"/>
    </row>
    <row r="92" spans="1:2" ht="15.6">
      <c r="A92" s="64" t="s">
        <v>133</v>
      </c>
      <c r="B92" s="72" t="s">
        <v>107</v>
      </c>
    </row>
    <row r="93" spans="1:2" ht="15.6">
      <c r="A93" s="66" t="s">
        <v>264</v>
      </c>
      <c r="B93" s="75">
        <v>13632</v>
      </c>
    </row>
    <row r="94" spans="1:2" ht="15.6">
      <c r="A94" s="66" t="s">
        <v>265</v>
      </c>
      <c r="B94" s="75">
        <v>13203</v>
      </c>
    </row>
    <row r="95" spans="1:2" ht="15.6">
      <c r="A95" s="66" t="s">
        <v>266</v>
      </c>
      <c r="B95" s="75">
        <v>10998</v>
      </c>
    </row>
    <row r="96" spans="1:2" ht="15.6">
      <c r="A96" s="66" t="s">
        <v>267</v>
      </c>
      <c r="B96" s="75">
        <v>64</v>
      </c>
    </row>
    <row r="97" spans="1:9" ht="15.6">
      <c r="A97" s="66" t="s">
        <v>268</v>
      </c>
      <c r="B97" s="75">
        <v>4065</v>
      </c>
    </row>
    <row r="98" spans="1:9" ht="15.6">
      <c r="A98" s="66" t="s">
        <v>269</v>
      </c>
      <c r="B98" s="75">
        <v>5801</v>
      </c>
    </row>
    <row r="99" spans="1:9" ht="15.6">
      <c r="A99" s="66" t="s">
        <v>135</v>
      </c>
      <c r="B99" s="75">
        <v>6458</v>
      </c>
    </row>
    <row r="100" spans="1:9" ht="15.6">
      <c r="A100" s="70" t="s">
        <v>134</v>
      </c>
      <c r="B100" s="84">
        <v>0</v>
      </c>
    </row>
    <row r="101" spans="1:9" ht="15.6">
      <c r="B101" s="90"/>
    </row>
    <row r="102" spans="1:9" ht="15.6">
      <c r="A102" s="63" t="s">
        <v>280</v>
      </c>
      <c r="B102" s="62"/>
    </row>
    <row r="103" spans="1:9" ht="15.6">
      <c r="A103" s="64" t="s">
        <v>281</v>
      </c>
      <c r="B103" s="65" t="s">
        <v>264</v>
      </c>
      <c r="C103" s="65" t="s">
        <v>265</v>
      </c>
      <c r="D103" s="65" t="s">
        <v>266</v>
      </c>
      <c r="E103" s="65" t="s">
        <v>267</v>
      </c>
      <c r="F103" s="65" t="s">
        <v>274</v>
      </c>
      <c r="G103" s="65" t="s">
        <v>269</v>
      </c>
      <c r="H103" s="65" t="s">
        <v>135</v>
      </c>
      <c r="I103" s="72" t="s">
        <v>134</v>
      </c>
    </row>
    <row r="104" spans="1:9" ht="15.6">
      <c r="A104" s="66" t="s">
        <v>282</v>
      </c>
      <c r="B104" s="91"/>
      <c r="C104" s="91"/>
      <c r="D104" s="91"/>
      <c r="E104" s="91"/>
      <c r="F104" s="67">
        <v>23</v>
      </c>
      <c r="G104" s="67">
        <v>123</v>
      </c>
      <c r="H104" s="67">
        <v>70</v>
      </c>
      <c r="I104" s="75">
        <v>0</v>
      </c>
    </row>
    <row r="105" spans="1:9" ht="15.6">
      <c r="A105" s="66" t="s">
        <v>283</v>
      </c>
      <c r="B105" s="91">
        <v>0</v>
      </c>
      <c r="C105" s="91">
        <v>0</v>
      </c>
      <c r="D105" s="91">
        <v>0</v>
      </c>
      <c r="E105" s="67">
        <v>10</v>
      </c>
      <c r="F105" s="67">
        <v>37</v>
      </c>
      <c r="G105" s="67">
        <v>69</v>
      </c>
      <c r="H105" s="67">
        <v>56</v>
      </c>
      <c r="I105" s="75">
        <v>0</v>
      </c>
    </row>
    <row r="106" spans="1:9" ht="15.6">
      <c r="A106" s="66" t="s">
        <v>284</v>
      </c>
      <c r="B106" s="91"/>
      <c r="C106" s="91"/>
      <c r="D106" s="91"/>
      <c r="E106" s="91"/>
      <c r="F106" s="67">
        <v>54</v>
      </c>
      <c r="G106" s="67">
        <v>129</v>
      </c>
      <c r="H106" s="67">
        <v>70</v>
      </c>
      <c r="I106" s="75">
        <v>0</v>
      </c>
    </row>
    <row r="107" spans="1:9" ht="15.6">
      <c r="A107" s="66" t="s">
        <v>285</v>
      </c>
      <c r="B107" s="67">
        <v>10119</v>
      </c>
      <c r="C107" s="67">
        <v>9164</v>
      </c>
      <c r="D107" s="67">
        <v>6123</v>
      </c>
      <c r="E107" s="67">
        <v>5270</v>
      </c>
      <c r="F107" s="67">
        <v>6607</v>
      </c>
      <c r="G107" s="67">
        <v>5089</v>
      </c>
      <c r="H107" s="67">
        <v>4958</v>
      </c>
      <c r="I107" s="75">
        <v>0</v>
      </c>
    </row>
    <row r="108" spans="1:9" ht="15.6">
      <c r="A108" s="66" t="s">
        <v>286</v>
      </c>
      <c r="B108" s="91"/>
      <c r="C108" s="91"/>
      <c r="D108" s="91"/>
      <c r="E108" s="91"/>
      <c r="F108" s="91"/>
      <c r="G108" s="67">
        <v>39</v>
      </c>
      <c r="H108" s="67">
        <v>34</v>
      </c>
      <c r="I108" s="75">
        <v>0</v>
      </c>
    </row>
    <row r="109" spans="1:9" ht="15.6">
      <c r="A109" s="66" t="s">
        <v>287</v>
      </c>
      <c r="B109" s="91">
        <v>0</v>
      </c>
      <c r="C109" s="91">
        <v>0</v>
      </c>
      <c r="D109" s="91">
        <v>0</v>
      </c>
      <c r="E109" s="67">
        <v>1303</v>
      </c>
      <c r="F109" s="67">
        <v>4296</v>
      </c>
      <c r="G109" s="67">
        <v>1008</v>
      </c>
      <c r="H109" s="67">
        <v>551</v>
      </c>
      <c r="I109" s="75">
        <v>0</v>
      </c>
    </row>
    <row r="110" spans="1:9" ht="15.6">
      <c r="A110" s="66" t="s">
        <v>288</v>
      </c>
      <c r="B110" s="67">
        <v>13597</v>
      </c>
      <c r="C110" s="67">
        <v>13716</v>
      </c>
      <c r="D110" s="67">
        <v>9950</v>
      </c>
      <c r="E110" s="67">
        <v>10790</v>
      </c>
      <c r="F110" s="67">
        <v>16487</v>
      </c>
      <c r="G110" s="67">
        <v>11532</v>
      </c>
      <c r="H110" s="67">
        <v>12273</v>
      </c>
      <c r="I110" s="75">
        <v>0</v>
      </c>
    </row>
    <row r="111" spans="1:9" ht="15.6">
      <c r="A111" s="66" t="s">
        <v>289</v>
      </c>
      <c r="B111" s="91"/>
      <c r="C111" s="91"/>
      <c r="D111" s="91"/>
      <c r="E111" s="91"/>
      <c r="F111" s="91"/>
      <c r="G111" s="91"/>
      <c r="H111" s="91"/>
      <c r="I111" s="93">
        <v>0</v>
      </c>
    </row>
    <row r="112" spans="1:9" ht="15.6">
      <c r="A112" s="66" t="s">
        <v>290</v>
      </c>
      <c r="B112" s="67">
        <v>53</v>
      </c>
      <c r="C112" s="67">
        <v>34</v>
      </c>
      <c r="D112" s="67">
        <v>36</v>
      </c>
      <c r="E112" s="67">
        <v>11</v>
      </c>
      <c r="F112" s="67">
        <v>30</v>
      </c>
      <c r="G112" s="67">
        <v>58</v>
      </c>
      <c r="H112" s="67">
        <v>35</v>
      </c>
      <c r="I112" s="75">
        <v>0</v>
      </c>
    </row>
    <row r="113" spans="1:9" ht="15.6">
      <c r="A113" s="66" t="s">
        <v>291</v>
      </c>
      <c r="B113" s="67">
        <v>637</v>
      </c>
      <c r="C113" s="67">
        <v>823</v>
      </c>
      <c r="D113" s="67">
        <v>543</v>
      </c>
      <c r="E113" s="67">
        <v>2222</v>
      </c>
      <c r="F113" s="67">
        <v>10858</v>
      </c>
      <c r="G113" s="67">
        <v>21525</v>
      </c>
      <c r="H113" s="67">
        <v>8651</v>
      </c>
      <c r="I113" s="75">
        <v>0</v>
      </c>
    </row>
    <row r="114" spans="1:9" ht="15.6">
      <c r="A114" s="66" t="s">
        <v>292</v>
      </c>
      <c r="B114" s="67">
        <v>236</v>
      </c>
      <c r="C114" s="67">
        <v>132</v>
      </c>
      <c r="D114" s="67">
        <v>105</v>
      </c>
      <c r="E114" s="67">
        <v>52</v>
      </c>
      <c r="F114" s="67">
        <v>88</v>
      </c>
      <c r="G114" s="67">
        <v>194</v>
      </c>
      <c r="H114" s="67">
        <v>68</v>
      </c>
      <c r="I114" s="75">
        <v>0</v>
      </c>
    </row>
    <row r="115" spans="1:9" ht="15.6">
      <c r="A115" s="66" t="s">
        <v>293</v>
      </c>
      <c r="B115" s="67">
        <v>81</v>
      </c>
      <c r="C115" s="67">
        <v>40</v>
      </c>
      <c r="D115" s="67">
        <v>29</v>
      </c>
      <c r="E115" s="67">
        <v>12</v>
      </c>
      <c r="F115" s="67">
        <v>5</v>
      </c>
      <c r="G115" s="67">
        <v>8</v>
      </c>
      <c r="H115" s="67">
        <v>4</v>
      </c>
      <c r="I115" s="75">
        <v>0</v>
      </c>
    </row>
    <row r="116" spans="1:9" ht="15.6">
      <c r="A116" s="66" t="s">
        <v>294</v>
      </c>
      <c r="B116" s="67">
        <v>134</v>
      </c>
      <c r="C116" s="67">
        <v>82</v>
      </c>
      <c r="D116" s="67">
        <v>72</v>
      </c>
      <c r="E116" s="67">
        <v>29</v>
      </c>
      <c r="F116" s="67">
        <v>26</v>
      </c>
      <c r="G116" s="67">
        <v>38</v>
      </c>
      <c r="H116" s="67">
        <v>58</v>
      </c>
      <c r="I116" s="75">
        <v>0</v>
      </c>
    </row>
    <row r="117" spans="1:9" ht="15.6">
      <c r="A117" s="66" t="s">
        <v>295</v>
      </c>
      <c r="B117" s="67">
        <v>27</v>
      </c>
      <c r="C117" s="67">
        <v>19</v>
      </c>
      <c r="D117" s="67">
        <v>17</v>
      </c>
      <c r="E117" s="67">
        <v>7</v>
      </c>
      <c r="F117" s="67">
        <v>12</v>
      </c>
      <c r="G117" s="67">
        <v>25</v>
      </c>
      <c r="H117" s="67">
        <v>40</v>
      </c>
      <c r="I117" s="75">
        <v>0</v>
      </c>
    </row>
    <row r="118" spans="1:9" ht="15.6">
      <c r="A118" s="66" t="s">
        <v>296</v>
      </c>
      <c r="B118" s="91"/>
      <c r="C118" s="91"/>
      <c r="D118" s="91"/>
      <c r="E118" s="91"/>
      <c r="F118" s="67">
        <v>86</v>
      </c>
      <c r="G118" s="67">
        <v>199</v>
      </c>
      <c r="H118" s="67">
        <v>38</v>
      </c>
      <c r="I118" s="75">
        <v>0</v>
      </c>
    </row>
    <row r="119" spans="1:9" ht="15.6">
      <c r="A119" s="66" t="s">
        <v>297</v>
      </c>
      <c r="B119" s="91">
        <v>0</v>
      </c>
      <c r="C119" s="91">
        <v>0</v>
      </c>
      <c r="D119" s="91">
        <v>0</v>
      </c>
      <c r="E119" s="67">
        <v>2452</v>
      </c>
      <c r="F119" s="67">
        <v>17061</v>
      </c>
      <c r="G119" s="67">
        <v>17048</v>
      </c>
      <c r="H119" s="67">
        <v>4979</v>
      </c>
      <c r="I119" s="75">
        <v>0</v>
      </c>
    </row>
    <row r="120" spans="1:9" ht="15.6">
      <c r="A120" s="70" t="s">
        <v>298</v>
      </c>
      <c r="B120" s="92">
        <v>51</v>
      </c>
      <c r="C120" s="92">
        <v>32</v>
      </c>
      <c r="D120" s="92">
        <v>14</v>
      </c>
      <c r="E120" s="92">
        <v>5</v>
      </c>
      <c r="F120" s="92">
        <v>24</v>
      </c>
      <c r="G120" s="92">
        <v>9</v>
      </c>
      <c r="H120" s="92">
        <v>11</v>
      </c>
      <c r="I120" s="84">
        <v>0</v>
      </c>
    </row>
    <row r="122" spans="1:9" ht="15.6">
      <c r="A122" s="63" t="s">
        <v>299</v>
      </c>
      <c r="B122" s="62"/>
    </row>
    <row r="123" spans="1:9" ht="15.6">
      <c r="A123" s="64" t="s">
        <v>281</v>
      </c>
      <c r="B123" s="65" t="s">
        <v>264</v>
      </c>
      <c r="C123" s="65" t="s">
        <v>265</v>
      </c>
      <c r="D123" s="65" t="s">
        <v>266</v>
      </c>
      <c r="E123" s="65" t="s">
        <v>267</v>
      </c>
      <c r="F123" s="65" t="s">
        <v>274</v>
      </c>
      <c r="G123" s="65" t="s">
        <v>269</v>
      </c>
      <c r="H123" s="65" t="s">
        <v>135</v>
      </c>
      <c r="I123" s="72" t="s">
        <v>134</v>
      </c>
    </row>
    <row r="124" spans="1:9" ht="15.6">
      <c r="A124" s="66" t="s">
        <v>282</v>
      </c>
      <c r="B124" s="91"/>
      <c r="C124" s="91"/>
      <c r="D124" s="91"/>
      <c r="E124" s="91"/>
      <c r="F124" s="67">
        <v>173</v>
      </c>
      <c r="G124" s="67">
        <v>649</v>
      </c>
      <c r="H124" s="67">
        <v>491</v>
      </c>
      <c r="I124" s="75">
        <v>0</v>
      </c>
    </row>
    <row r="125" spans="1:9" ht="15.6">
      <c r="A125" s="66" t="s">
        <v>283</v>
      </c>
      <c r="B125" s="91">
        <v>0</v>
      </c>
      <c r="C125" s="91">
        <v>0</v>
      </c>
      <c r="D125" s="91">
        <v>0</v>
      </c>
      <c r="E125" s="67">
        <v>10</v>
      </c>
      <c r="F125" s="67">
        <v>36</v>
      </c>
      <c r="G125" s="67">
        <v>49</v>
      </c>
      <c r="H125" s="67">
        <v>55</v>
      </c>
      <c r="I125" s="75">
        <v>0</v>
      </c>
    </row>
    <row r="126" spans="1:9" ht="15.6">
      <c r="A126" s="66" t="s">
        <v>284</v>
      </c>
      <c r="B126" s="91"/>
      <c r="C126" s="91"/>
      <c r="D126" s="91"/>
      <c r="E126" s="91"/>
      <c r="F126" s="67">
        <v>108</v>
      </c>
      <c r="G126" s="67">
        <v>689</v>
      </c>
      <c r="H126" s="67">
        <v>551</v>
      </c>
      <c r="I126" s="75">
        <v>0</v>
      </c>
    </row>
    <row r="127" spans="1:9" ht="15.6">
      <c r="A127" s="66" t="s">
        <v>285</v>
      </c>
      <c r="B127" s="67">
        <v>33169</v>
      </c>
      <c r="C127" s="67">
        <v>43408</v>
      </c>
      <c r="D127" s="67">
        <v>11108</v>
      </c>
      <c r="E127" s="67">
        <v>5137</v>
      </c>
      <c r="F127" s="67">
        <v>5367</v>
      </c>
      <c r="G127" s="67">
        <v>8904</v>
      </c>
      <c r="H127" s="67">
        <v>10786</v>
      </c>
      <c r="I127" s="75">
        <v>0</v>
      </c>
    </row>
    <row r="128" spans="1:9" ht="15.6">
      <c r="A128" s="66" t="s">
        <v>286</v>
      </c>
      <c r="B128" s="91"/>
      <c r="C128" s="91"/>
      <c r="D128" s="91"/>
      <c r="E128" s="91"/>
      <c r="F128" s="91"/>
      <c r="G128" s="67">
        <v>200</v>
      </c>
      <c r="H128" s="67">
        <v>282</v>
      </c>
      <c r="I128" s="75">
        <v>0</v>
      </c>
    </row>
    <row r="129" spans="1:9" ht="15.6">
      <c r="A129" s="66" t="s">
        <v>287</v>
      </c>
      <c r="B129" s="91">
        <v>0</v>
      </c>
      <c r="C129" s="91">
        <v>0</v>
      </c>
      <c r="D129" s="91">
        <v>0</v>
      </c>
      <c r="E129" s="67">
        <v>12331</v>
      </c>
      <c r="F129" s="67">
        <v>3926</v>
      </c>
      <c r="G129" s="67">
        <v>1684</v>
      </c>
      <c r="H129" s="67">
        <v>2239</v>
      </c>
      <c r="I129" s="75">
        <v>0</v>
      </c>
    </row>
    <row r="130" spans="1:9" ht="15.6">
      <c r="A130" s="66" t="s">
        <v>288</v>
      </c>
      <c r="B130" s="67">
        <v>62461</v>
      </c>
      <c r="C130" s="67">
        <v>104166</v>
      </c>
      <c r="D130" s="67">
        <v>16860</v>
      </c>
      <c r="E130" s="67">
        <v>13106</v>
      </c>
      <c r="F130" s="67">
        <v>11239</v>
      </c>
      <c r="G130" s="67">
        <v>21610</v>
      </c>
      <c r="H130" s="67">
        <v>27895</v>
      </c>
      <c r="I130" s="75">
        <v>0</v>
      </c>
    </row>
    <row r="131" spans="1:9" ht="15.6">
      <c r="A131" s="66" t="s">
        <v>289</v>
      </c>
      <c r="B131" s="91"/>
      <c r="C131" s="91"/>
      <c r="D131" s="91"/>
      <c r="E131" s="91"/>
      <c r="F131" s="91"/>
      <c r="G131" s="91"/>
      <c r="H131" s="91"/>
      <c r="I131" s="93">
        <v>0</v>
      </c>
    </row>
    <row r="132" spans="1:9" ht="15.6">
      <c r="A132" s="66" t="s">
        <v>290</v>
      </c>
      <c r="B132" s="67">
        <v>777</v>
      </c>
      <c r="C132" s="67">
        <v>371</v>
      </c>
      <c r="D132" s="67">
        <v>152</v>
      </c>
      <c r="E132" s="67">
        <v>384</v>
      </c>
      <c r="F132" s="67">
        <v>962</v>
      </c>
      <c r="G132" s="67">
        <v>835</v>
      </c>
      <c r="H132" s="67">
        <v>693</v>
      </c>
      <c r="I132" s="75">
        <v>0</v>
      </c>
    </row>
    <row r="133" spans="1:9" ht="15.6">
      <c r="A133" s="66" t="s">
        <v>291</v>
      </c>
      <c r="B133" s="67">
        <v>3428</v>
      </c>
      <c r="C133" s="67">
        <v>7893</v>
      </c>
      <c r="D133" s="67">
        <v>1467</v>
      </c>
      <c r="E133" s="67">
        <v>26920</v>
      </c>
      <c r="F133" s="67">
        <v>48045</v>
      </c>
      <c r="G133" s="67">
        <v>4448</v>
      </c>
      <c r="H133" s="67">
        <v>10335</v>
      </c>
      <c r="I133" s="75">
        <v>0</v>
      </c>
    </row>
    <row r="134" spans="1:9" ht="15.6">
      <c r="A134" s="66" t="s">
        <v>292</v>
      </c>
      <c r="B134" s="67">
        <v>290</v>
      </c>
      <c r="C134" s="67">
        <v>155</v>
      </c>
      <c r="D134" s="67">
        <v>129</v>
      </c>
      <c r="E134" s="67">
        <v>106</v>
      </c>
      <c r="F134" s="67">
        <v>502</v>
      </c>
      <c r="G134" s="67">
        <v>496</v>
      </c>
      <c r="H134" s="67">
        <v>191</v>
      </c>
      <c r="I134" s="75">
        <v>0</v>
      </c>
    </row>
    <row r="135" spans="1:9" ht="15.6">
      <c r="A135" s="66" t="s">
        <v>293</v>
      </c>
      <c r="B135" s="67">
        <v>113</v>
      </c>
      <c r="C135" s="67">
        <v>61</v>
      </c>
      <c r="D135" s="67">
        <v>39</v>
      </c>
      <c r="E135" s="67">
        <v>15</v>
      </c>
      <c r="F135" s="67">
        <v>9</v>
      </c>
      <c r="G135" s="67">
        <v>11</v>
      </c>
      <c r="H135" s="67">
        <v>7</v>
      </c>
      <c r="I135" s="75">
        <v>0</v>
      </c>
    </row>
    <row r="136" spans="1:9" ht="15.6">
      <c r="A136" s="66" t="s">
        <v>294</v>
      </c>
      <c r="B136" s="67">
        <v>121</v>
      </c>
      <c r="C136" s="67">
        <v>73</v>
      </c>
      <c r="D136" s="67">
        <v>68</v>
      </c>
      <c r="E136" s="67">
        <v>46</v>
      </c>
      <c r="F136" s="67">
        <v>58</v>
      </c>
      <c r="G136" s="67">
        <v>125</v>
      </c>
      <c r="H136" s="67">
        <v>508</v>
      </c>
      <c r="I136" s="75">
        <v>0</v>
      </c>
    </row>
    <row r="137" spans="1:9" ht="15.6">
      <c r="A137" s="66" t="s">
        <v>295</v>
      </c>
      <c r="B137" s="67">
        <v>41</v>
      </c>
      <c r="C137" s="67">
        <v>31</v>
      </c>
      <c r="D137" s="67">
        <v>21</v>
      </c>
      <c r="E137" s="67">
        <v>19</v>
      </c>
      <c r="F137" s="67">
        <v>107</v>
      </c>
      <c r="G137" s="67">
        <v>192</v>
      </c>
      <c r="H137" s="67">
        <v>269</v>
      </c>
      <c r="I137" s="75">
        <v>0</v>
      </c>
    </row>
    <row r="138" spans="1:9" ht="15.6">
      <c r="A138" s="66" t="s">
        <v>296</v>
      </c>
      <c r="B138" s="91"/>
      <c r="C138" s="91"/>
      <c r="D138" s="91"/>
      <c r="E138" s="91"/>
      <c r="F138" s="67">
        <v>75</v>
      </c>
      <c r="G138" s="67">
        <v>105</v>
      </c>
      <c r="H138" s="67">
        <v>106</v>
      </c>
      <c r="I138" s="75">
        <v>0</v>
      </c>
    </row>
    <row r="139" spans="1:9" ht="15.6">
      <c r="A139" s="66" t="s">
        <v>297</v>
      </c>
      <c r="B139" s="91">
        <v>0</v>
      </c>
      <c r="C139" s="91">
        <v>0</v>
      </c>
      <c r="D139" s="91">
        <v>0</v>
      </c>
      <c r="E139" s="67">
        <v>3823</v>
      </c>
      <c r="F139" s="67">
        <v>36644</v>
      </c>
      <c r="G139" s="67">
        <v>14918</v>
      </c>
      <c r="H139" s="67">
        <v>18343</v>
      </c>
      <c r="I139" s="75">
        <v>0</v>
      </c>
    </row>
    <row r="140" spans="1:9" ht="15.6">
      <c r="A140" s="70" t="s">
        <v>298</v>
      </c>
      <c r="B140" s="92">
        <v>99</v>
      </c>
      <c r="C140" s="92">
        <v>83</v>
      </c>
      <c r="D140" s="92">
        <v>37</v>
      </c>
      <c r="E140" s="92">
        <v>43</v>
      </c>
      <c r="F140" s="92">
        <v>75</v>
      </c>
      <c r="G140" s="92">
        <v>42</v>
      </c>
      <c r="H140" s="92">
        <v>96</v>
      </c>
      <c r="I140" s="84">
        <v>0</v>
      </c>
    </row>
    <row r="141" spans="1:9" ht="15.6">
      <c r="A141" s="94"/>
      <c r="B141" s="95"/>
      <c r="C141" s="95"/>
      <c r="D141" s="95"/>
      <c r="E141" s="95"/>
      <c r="F141" s="95"/>
    </row>
    <row r="142" spans="1:9" ht="15.6">
      <c r="A142" s="63" t="s">
        <v>300</v>
      </c>
      <c r="B142" s="62"/>
    </row>
    <row r="143" spans="1:9" ht="15.6">
      <c r="A143" s="64" t="s">
        <v>281</v>
      </c>
      <c r="B143" s="65" t="s">
        <v>264</v>
      </c>
      <c r="C143" s="65" t="s">
        <v>265</v>
      </c>
      <c r="D143" s="65" t="s">
        <v>266</v>
      </c>
      <c r="E143" s="65" t="s">
        <v>267</v>
      </c>
      <c r="F143" s="65" t="s">
        <v>274</v>
      </c>
      <c r="G143" s="65" t="s">
        <v>269</v>
      </c>
      <c r="H143" s="65" t="s">
        <v>135</v>
      </c>
      <c r="I143" s="72" t="s">
        <v>134</v>
      </c>
    </row>
    <row r="144" spans="1:9" ht="15.6">
      <c r="A144" s="66" t="s">
        <v>282</v>
      </c>
      <c r="B144" s="91"/>
      <c r="C144" s="91"/>
      <c r="D144" s="91"/>
      <c r="E144" s="91"/>
      <c r="F144" s="67">
        <v>8</v>
      </c>
      <c r="G144" s="67">
        <v>47</v>
      </c>
      <c r="H144" s="67">
        <v>122</v>
      </c>
      <c r="I144" s="75">
        <v>0</v>
      </c>
    </row>
    <row r="145" spans="1:9" ht="15.6">
      <c r="A145" s="66" t="s">
        <v>283</v>
      </c>
      <c r="B145" s="91">
        <v>0</v>
      </c>
      <c r="C145" s="91">
        <v>0</v>
      </c>
      <c r="D145" s="91">
        <v>0</v>
      </c>
      <c r="E145" s="67">
        <v>0</v>
      </c>
      <c r="F145" s="67">
        <v>1</v>
      </c>
      <c r="G145" s="67">
        <v>2</v>
      </c>
      <c r="H145" s="67">
        <v>1</v>
      </c>
      <c r="I145" s="75">
        <v>0</v>
      </c>
    </row>
    <row r="146" spans="1:9" ht="15.6">
      <c r="A146" s="66" t="s">
        <v>284</v>
      </c>
      <c r="B146" s="91"/>
      <c r="C146" s="91"/>
      <c r="D146" s="91"/>
      <c r="E146" s="91"/>
      <c r="F146" s="67">
        <v>5</v>
      </c>
      <c r="G146" s="67">
        <v>42</v>
      </c>
      <c r="H146" s="67">
        <v>24</v>
      </c>
      <c r="I146" s="75">
        <v>0</v>
      </c>
    </row>
    <row r="147" spans="1:9" ht="15.6">
      <c r="A147" s="66" t="s">
        <v>285</v>
      </c>
      <c r="B147" s="67">
        <v>15445</v>
      </c>
      <c r="C147" s="67">
        <v>18981</v>
      </c>
      <c r="D147" s="67">
        <v>12590</v>
      </c>
      <c r="E147" s="67">
        <v>2872</v>
      </c>
      <c r="F147" s="67">
        <v>7376</v>
      </c>
      <c r="G147" s="67">
        <v>8600</v>
      </c>
      <c r="H147" s="67">
        <v>15255</v>
      </c>
      <c r="I147" s="75">
        <v>0</v>
      </c>
    </row>
    <row r="148" spans="1:9" ht="15.6">
      <c r="A148" s="66" t="s">
        <v>286</v>
      </c>
      <c r="B148" s="91"/>
      <c r="C148" s="91"/>
      <c r="D148" s="91"/>
      <c r="E148" s="91"/>
      <c r="F148" s="91"/>
      <c r="G148" s="67">
        <v>37</v>
      </c>
      <c r="H148" s="67">
        <v>27</v>
      </c>
      <c r="I148" s="75">
        <v>0</v>
      </c>
    </row>
    <row r="149" spans="1:9" ht="15.6">
      <c r="A149" s="66" t="s">
        <v>287</v>
      </c>
      <c r="B149" s="91">
        <v>0</v>
      </c>
      <c r="C149" s="91">
        <v>0</v>
      </c>
      <c r="D149" s="91">
        <v>0</v>
      </c>
      <c r="E149" s="67">
        <v>16</v>
      </c>
      <c r="F149" s="67">
        <v>1612</v>
      </c>
      <c r="G149" s="67">
        <v>1115</v>
      </c>
      <c r="H149" s="67">
        <v>767</v>
      </c>
      <c r="I149" s="75">
        <v>0</v>
      </c>
    </row>
    <row r="150" spans="1:9" ht="15.6">
      <c r="A150" s="66" t="s">
        <v>288</v>
      </c>
      <c r="B150" s="67">
        <v>28894</v>
      </c>
      <c r="C150" s="67">
        <v>41800</v>
      </c>
      <c r="D150" s="67">
        <v>21139</v>
      </c>
      <c r="E150" s="67">
        <v>4904</v>
      </c>
      <c r="F150" s="67">
        <v>6541</v>
      </c>
      <c r="G150" s="67">
        <v>22631</v>
      </c>
      <c r="H150" s="67">
        <v>45535</v>
      </c>
      <c r="I150" s="75">
        <v>0</v>
      </c>
    </row>
    <row r="151" spans="1:9" ht="15.6">
      <c r="A151" s="66" t="s">
        <v>289</v>
      </c>
      <c r="B151" s="91"/>
      <c r="C151" s="91"/>
      <c r="D151" s="91"/>
      <c r="E151" s="91"/>
      <c r="F151" s="91"/>
      <c r="G151" s="91"/>
      <c r="H151" s="91"/>
      <c r="I151" s="93">
        <v>0</v>
      </c>
    </row>
    <row r="152" spans="1:9" ht="15.6">
      <c r="A152" s="66" t="s">
        <v>290</v>
      </c>
      <c r="B152" s="67">
        <v>45</v>
      </c>
      <c r="C152" s="67">
        <v>162</v>
      </c>
      <c r="D152" s="67">
        <v>97</v>
      </c>
      <c r="E152" s="67">
        <v>23</v>
      </c>
      <c r="F152" s="67">
        <v>32</v>
      </c>
      <c r="G152" s="67">
        <v>26</v>
      </c>
      <c r="H152" s="67">
        <v>57</v>
      </c>
      <c r="I152" s="75">
        <v>0</v>
      </c>
    </row>
    <row r="153" spans="1:9" ht="15.6">
      <c r="A153" s="66" t="s">
        <v>291</v>
      </c>
      <c r="B153" s="67">
        <v>879</v>
      </c>
      <c r="C153" s="67">
        <v>2240</v>
      </c>
      <c r="D153" s="67">
        <v>1416</v>
      </c>
      <c r="E153" s="67">
        <v>964</v>
      </c>
      <c r="F153" s="67">
        <v>2605</v>
      </c>
      <c r="G153" s="67">
        <v>2408</v>
      </c>
      <c r="H153" s="67">
        <v>3857</v>
      </c>
      <c r="I153" s="75">
        <v>0</v>
      </c>
    </row>
    <row r="154" spans="1:9" ht="15.6">
      <c r="A154" s="66" t="s">
        <v>292</v>
      </c>
      <c r="B154" s="67">
        <v>229</v>
      </c>
      <c r="C154" s="67">
        <v>151</v>
      </c>
      <c r="D154" s="67">
        <v>112</v>
      </c>
      <c r="E154" s="67">
        <v>47</v>
      </c>
      <c r="F154" s="67">
        <v>23</v>
      </c>
      <c r="G154" s="67">
        <v>47</v>
      </c>
      <c r="H154" s="67">
        <v>63</v>
      </c>
      <c r="I154" s="75">
        <v>0</v>
      </c>
    </row>
    <row r="155" spans="1:9" ht="15.6">
      <c r="A155" s="66" t="s">
        <v>293</v>
      </c>
      <c r="B155" s="67">
        <v>61</v>
      </c>
      <c r="C155" s="67">
        <v>65</v>
      </c>
      <c r="D155" s="67">
        <v>41</v>
      </c>
      <c r="E155" s="67">
        <v>22</v>
      </c>
      <c r="F155" s="67">
        <v>0</v>
      </c>
      <c r="G155" s="67">
        <v>4</v>
      </c>
      <c r="H155" s="67">
        <v>0</v>
      </c>
      <c r="I155" s="75">
        <v>0</v>
      </c>
    </row>
    <row r="156" spans="1:9" ht="15.6">
      <c r="A156" s="66" t="s">
        <v>294</v>
      </c>
      <c r="B156" s="67">
        <v>42</v>
      </c>
      <c r="C156" s="67">
        <v>18</v>
      </c>
      <c r="D156" s="67">
        <v>17</v>
      </c>
      <c r="E156" s="67">
        <v>4</v>
      </c>
      <c r="F156" s="67">
        <v>9</v>
      </c>
      <c r="G156" s="67">
        <v>15</v>
      </c>
      <c r="H156" s="67">
        <v>5</v>
      </c>
      <c r="I156" s="75">
        <v>0</v>
      </c>
    </row>
    <row r="157" spans="1:9" ht="15.6">
      <c r="A157" s="66" t="s">
        <v>295</v>
      </c>
      <c r="B157" s="67">
        <v>7</v>
      </c>
      <c r="C157" s="67">
        <v>9</v>
      </c>
      <c r="D157" s="67">
        <v>2</v>
      </c>
      <c r="E157" s="67">
        <v>0</v>
      </c>
      <c r="F157" s="67">
        <v>6</v>
      </c>
      <c r="G157" s="67">
        <v>19</v>
      </c>
      <c r="H157" s="67">
        <v>10</v>
      </c>
      <c r="I157" s="75">
        <v>0</v>
      </c>
    </row>
    <row r="158" spans="1:9" ht="15.6">
      <c r="A158" s="66" t="s">
        <v>296</v>
      </c>
      <c r="B158" s="91"/>
      <c r="C158" s="91"/>
      <c r="D158" s="91"/>
      <c r="E158" s="91"/>
      <c r="F158" s="67">
        <v>10</v>
      </c>
      <c r="G158" s="67">
        <v>41</v>
      </c>
      <c r="H158" s="67">
        <v>53</v>
      </c>
      <c r="I158" s="75">
        <v>0</v>
      </c>
    </row>
    <row r="159" spans="1:9" ht="15.6">
      <c r="A159" s="66" t="s">
        <v>297</v>
      </c>
      <c r="B159" s="91">
        <v>0</v>
      </c>
      <c r="C159" s="91">
        <v>0</v>
      </c>
      <c r="D159" s="91">
        <v>0</v>
      </c>
      <c r="E159" s="67">
        <v>18</v>
      </c>
      <c r="F159" s="67">
        <v>197</v>
      </c>
      <c r="G159" s="67">
        <v>894</v>
      </c>
      <c r="H159" s="67">
        <v>3249</v>
      </c>
      <c r="I159" s="75">
        <v>0</v>
      </c>
    </row>
    <row r="160" spans="1:9" ht="15.6">
      <c r="A160" s="70" t="s">
        <v>298</v>
      </c>
      <c r="B160" s="92">
        <v>24</v>
      </c>
      <c r="C160" s="92">
        <v>46</v>
      </c>
      <c r="D160" s="92">
        <v>14</v>
      </c>
      <c r="E160" s="92">
        <v>6</v>
      </c>
      <c r="F160" s="92">
        <v>17</v>
      </c>
      <c r="G160" s="92">
        <v>12</v>
      </c>
      <c r="H160" s="92">
        <v>11</v>
      </c>
      <c r="I160" s="84">
        <v>0</v>
      </c>
    </row>
  </sheetData>
  <mergeCells count="1">
    <mergeCell ref="A1:L1"/>
  </mergeCells>
  <pageMargins left="0.7" right="0.7" top="0.75" bottom="0.75" header="0.3" footer="0.3"/>
  <pageSetup orientation="portrait" horizontalDpi="1200" verticalDpi="12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8"/>
  <sheetViews>
    <sheetView showGridLines="0" zoomScale="80" zoomScaleNormal="80" workbookViewId="0">
      <selection activeCell="M14" sqref="M14"/>
    </sheetView>
  </sheetViews>
  <sheetFormatPr defaultColWidth="8.6640625" defaultRowHeight="15.6"/>
  <cols>
    <col min="1" max="1" width="64" style="62" customWidth="1"/>
    <col min="2" max="3" width="10.33203125" style="62" customWidth="1"/>
    <col min="4" max="4" width="13.5546875" style="62" customWidth="1"/>
    <col min="5" max="5" width="11.6640625" style="62" customWidth="1"/>
    <col min="6" max="6" width="13.6640625" style="62" customWidth="1"/>
    <col min="7" max="7" width="13.5546875" style="62" customWidth="1"/>
    <col min="8" max="8" width="15.33203125" style="62" customWidth="1"/>
    <col min="9" max="9" width="10.44140625" style="62" customWidth="1"/>
    <col min="10" max="11" width="10.33203125" style="62" customWidth="1"/>
    <col min="12" max="13" width="10.6640625" style="62" customWidth="1"/>
    <col min="14" max="14" width="11.33203125" style="62" customWidth="1"/>
    <col min="15" max="15" width="11.5546875" style="62" customWidth="1"/>
    <col min="16" max="16384" width="8.6640625" style="62"/>
  </cols>
  <sheetData>
    <row r="1" spans="1:15">
      <c r="A1" s="63" t="s">
        <v>301</v>
      </c>
    </row>
    <row r="3" spans="1:15">
      <c r="A3" s="64"/>
      <c r="B3" s="65">
        <v>45566</v>
      </c>
      <c r="C3" s="65">
        <v>45597</v>
      </c>
      <c r="D3" s="65">
        <v>45627</v>
      </c>
      <c r="E3" s="65">
        <v>45658</v>
      </c>
      <c r="F3" s="65">
        <v>45689</v>
      </c>
      <c r="G3" s="65">
        <v>45717</v>
      </c>
      <c r="H3" s="65">
        <v>45748</v>
      </c>
      <c r="I3" s="65">
        <v>45778</v>
      </c>
      <c r="J3" s="65">
        <v>45809</v>
      </c>
      <c r="K3" s="65">
        <v>45839</v>
      </c>
      <c r="L3" s="65">
        <v>45870</v>
      </c>
      <c r="M3" s="72">
        <v>45901</v>
      </c>
      <c r="N3" s="73">
        <v>45931</v>
      </c>
      <c r="O3" s="74">
        <v>45962</v>
      </c>
    </row>
    <row r="4" spans="1:15">
      <c r="A4" s="66" t="s">
        <v>302</v>
      </c>
      <c r="B4" s="67">
        <v>0</v>
      </c>
      <c r="C4" s="67">
        <v>0</v>
      </c>
      <c r="D4" s="67">
        <v>0</v>
      </c>
      <c r="E4" s="67">
        <v>0</v>
      </c>
      <c r="F4" s="67">
        <v>0</v>
      </c>
      <c r="G4" s="67">
        <v>0</v>
      </c>
      <c r="H4" s="67">
        <v>0</v>
      </c>
      <c r="I4" s="67">
        <v>0</v>
      </c>
      <c r="J4" s="67">
        <v>0</v>
      </c>
      <c r="K4" s="67">
        <v>0</v>
      </c>
      <c r="L4" s="67">
        <v>0</v>
      </c>
      <c r="M4" s="75">
        <v>0</v>
      </c>
      <c r="N4" s="76">
        <v>37530</v>
      </c>
      <c r="O4" s="75">
        <v>36324</v>
      </c>
    </row>
    <row r="5" spans="1:15">
      <c r="A5" s="66" t="s">
        <v>303</v>
      </c>
      <c r="B5" s="67">
        <v>0</v>
      </c>
      <c r="C5" s="67">
        <v>0</v>
      </c>
      <c r="D5" s="67">
        <v>0</v>
      </c>
      <c r="E5" s="67">
        <v>0</v>
      </c>
      <c r="F5" s="67">
        <v>0</v>
      </c>
      <c r="G5" s="67">
        <v>0</v>
      </c>
      <c r="H5" s="67">
        <v>0</v>
      </c>
      <c r="I5" s="67">
        <v>0</v>
      </c>
      <c r="J5" s="67">
        <v>0</v>
      </c>
      <c r="K5" s="67">
        <v>0</v>
      </c>
      <c r="L5" s="67">
        <v>0</v>
      </c>
      <c r="M5" s="75">
        <v>0</v>
      </c>
      <c r="N5" s="76">
        <v>1118</v>
      </c>
      <c r="O5" s="75">
        <v>1300</v>
      </c>
    </row>
    <row r="6" spans="1:15">
      <c r="A6" s="66" t="s">
        <v>304</v>
      </c>
      <c r="B6" s="68">
        <v>0</v>
      </c>
      <c r="C6" s="68">
        <v>0</v>
      </c>
      <c r="D6" s="68">
        <v>0</v>
      </c>
      <c r="E6" s="68">
        <v>0</v>
      </c>
      <c r="F6" s="68">
        <v>0</v>
      </c>
      <c r="G6" s="68">
        <v>0</v>
      </c>
      <c r="H6" s="68">
        <v>0</v>
      </c>
      <c r="I6" s="68">
        <v>0</v>
      </c>
      <c r="J6" s="68">
        <v>0</v>
      </c>
      <c r="K6" s="68">
        <v>0</v>
      </c>
      <c r="L6" s="68">
        <v>0</v>
      </c>
      <c r="M6" s="77">
        <v>0</v>
      </c>
      <c r="N6" s="78">
        <f t="shared" ref="N6:O6" si="0">IF(ISERROR(N5/N4),0,N5/N4)</f>
        <v>2.97895017319478E-2</v>
      </c>
      <c r="O6" s="77">
        <f t="shared" si="0"/>
        <v>3.5789010020922801E-2</v>
      </c>
    </row>
    <row r="7" spans="1:15">
      <c r="A7" s="66" t="s">
        <v>305</v>
      </c>
      <c r="B7" s="69">
        <v>0</v>
      </c>
      <c r="C7" s="69">
        <v>0</v>
      </c>
      <c r="D7" s="69">
        <v>0</v>
      </c>
      <c r="E7" s="69">
        <v>0</v>
      </c>
      <c r="F7" s="69">
        <v>0</v>
      </c>
      <c r="G7" s="69">
        <v>0</v>
      </c>
      <c r="H7" s="69">
        <v>0</v>
      </c>
      <c r="I7" s="69">
        <v>0</v>
      </c>
      <c r="J7" s="69">
        <v>0</v>
      </c>
      <c r="K7" s="69">
        <v>0</v>
      </c>
      <c r="L7" s="69">
        <v>0</v>
      </c>
      <c r="M7" s="79">
        <v>0</v>
      </c>
      <c r="N7" s="80">
        <v>7354.53677172875</v>
      </c>
      <c r="O7" s="79">
        <v>7546.8135458167299</v>
      </c>
    </row>
    <row r="8" spans="1:15">
      <c r="A8" s="70" t="s">
        <v>306</v>
      </c>
      <c r="B8" s="71">
        <v>0</v>
      </c>
      <c r="C8" s="71">
        <v>0</v>
      </c>
      <c r="D8" s="71">
        <v>0</v>
      </c>
      <c r="E8" s="71">
        <v>0</v>
      </c>
      <c r="F8" s="71">
        <v>0</v>
      </c>
      <c r="G8" s="71">
        <v>0</v>
      </c>
      <c r="H8" s="71">
        <v>0</v>
      </c>
      <c r="I8" s="71">
        <v>0</v>
      </c>
      <c r="J8" s="71">
        <v>0</v>
      </c>
      <c r="K8" s="71">
        <v>0</v>
      </c>
      <c r="L8" s="71">
        <v>0</v>
      </c>
      <c r="M8" s="81">
        <v>0</v>
      </c>
      <c r="N8" s="82">
        <v>51.585867620800002</v>
      </c>
      <c r="O8" s="81">
        <v>53.593846153800001</v>
      </c>
    </row>
  </sheetData>
  <pageMargins left="0.7" right="0.7" top="0.75" bottom="0.75" header="0.3" footer="0.3"/>
  <pageSetup orientation="portrait" horizontalDpi="1200" verticalDpi="12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A229"/>
  <sheetViews>
    <sheetView tabSelected="1" zoomScale="80" zoomScaleNormal="80" workbookViewId="0">
      <pane xSplit="1" topLeftCell="B1" activePane="topRight" state="frozen"/>
      <selection pane="topRight" activeCell="A65" sqref="A65"/>
    </sheetView>
  </sheetViews>
  <sheetFormatPr defaultColWidth="9" defaultRowHeight="14.4"/>
  <cols>
    <col min="1" max="1" width="55.33203125" customWidth="1"/>
    <col min="2" max="2" width="53" customWidth="1"/>
    <col min="3" max="3" width="22.44140625" customWidth="1"/>
    <col min="4" max="4" width="22.6640625" customWidth="1"/>
    <col min="6" max="6" width="5.6640625" customWidth="1"/>
    <col min="7" max="7" width="16.33203125" customWidth="1"/>
    <col min="8" max="8" width="13.33203125" customWidth="1"/>
    <col min="9" max="9" width="14.5546875" style="343" customWidth="1"/>
    <col min="10" max="10" width="14.6640625" customWidth="1"/>
    <col min="11" max="13" width="10.33203125" customWidth="1"/>
    <col min="14" max="14" width="13.44140625" customWidth="1"/>
    <col min="15" max="15" width="18" customWidth="1"/>
    <col min="17" max="17" width="20.33203125" customWidth="1"/>
    <col min="18" max="20" width="21.33203125" customWidth="1"/>
    <col min="21" max="21" width="22.6640625" customWidth="1"/>
    <col min="22" max="22" width="12.6640625" customWidth="1"/>
    <col min="23" max="23" width="24.44140625" customWidth="1"/>
    <col min="24" max="24" width="22.6640625" customWidth="1"/>
    <col min="25" max="25" width="19.5546875" customWidth="1"/>
    <col min="26" max="26" width="28.33203125" customWidth="1"/>
    <col min="27" max="27" width="19.5546875" customWidth="1"/>
  </cols>
  <sheetData>
    <row r="1" spans="1:27" ht="62.4">
      <c r="A1" s="47" t="s">
        <v>307</v>
      </c>
      <c r="B1" s="48"/>
      <c r="C1" s="48"/>
      <c r="D1" s="48"/>
      <c r="E1" s="48"/>
      <c r="F1" s="48"/>
      <c r="G1" s="48"/>
      <c r="H1" s="48"/>
      <c r="I1" s="338"/>
      <c r="J1" s="49"/>
      <c r="K1" s="49"/>
      <c r="L1" s="49"/>
      <c r="M1" s="49"/>
      <c r="N1" s="49"/>
      <c r="O1" s="49"/>
      <c r="P1" s="49"/>
      <c r="Q1" s="49"/>
      <c r="R1" s="49"/>
      <c r="S1" s="49"/>
      <c r="T1" s="49"/>
      <c r="U1" s="49"/>
      <c r="V1" s="49"/>
      <c r="W1" s="49"/>
      <c r="X1" s="49"/>
      <c r="Y1" s="49"/>
      <c r="Z1" s="49"/>
      <c r="AA1" s="49"/>
    </row>
    <row r="2" spans="1:27">
      <c r="A2" s="49"/>
      <c r="B2" s="49"/>
      <c r="C2" s="49"/>
      <c r="D2" s="49"/>
      <c r="E2" s="49"/>
      <c r="F2" s="49"/>
      <c r="G2" s="49"/>
      <c r="H2" s="49"/>
      <c r="I2" s="339"/>
      <c r="J2" s="49"/>
      <c r="K2" s="49"/>
      <c r="L2" s="49"/>
      <c r="M2" s="49"/>
      <c r="N2" s="49"/>
      <c r="O2" s="49"/>
      <c r="P2" s="49"/>
      <c r="Q2" s="49"/>
      <c r="R2" s="49"/>
      <c r="S2" s="49"/>
      <c r="T2" s="49"/>
      <c r="U2" s="49"/>
      <c r="V2" s="49"/>
      <c r="W2" s="49"/>
      <c r="X2" s="49"/>
      <c r="Y2" s="49"/>
      <c r="Z2" s="49"/>
      <c r="AA2" s="49"/>
    </row>
    <row r="3" spans="1:27" ht="15.6">
      <c r="A3" s="48" t="s">
        <v>308</v>
      </c>
      <c r="B3" s="49"/>
      <c r="C3" s="49"/>
      <c r="D3" s="49"/>
      <c r="E3" s="49"/>
      <c r="F3" s="49"/>
      <c r="G3" s="49"/>
      <c r="H3" s="49"/>
      <c r="I3" s="339"/>
      <c r="J3" s="49"/>
      <c r="K3" s="49"/>
      <c r="L3" s="49"/>
      <c r="M3" s="49"/>
      <c r="N3" s="49"/>
      <c r="O3" s="49"/>
      <c r="P3" s="49"/>
      <c r="Q3" s="49"/>
      <c r="R3" s="49"/>
      <c r="S3" s="49"/>
      <c r="T3" s="49"/>
      <c r="U3" s="49"/>
      <c r="V3" s="49"/>
      <c r="W3" s="49"/>
      <c r="X3" s="49"/>
      <c r="Y3" s="49"/>
      <c r="Z3" s="49"/>
      <c r="AA3" s="49"/>
    </row>
    <row r="4" spans="1:27" ht="15.6">
      <c r="A4" s="48" t="s">
        <v>309</v>
      </c>
      <c r="B4" s="49"/>
      <c r="C4" s="49"/>
      <c r="D4" s="49"/>
      <c r="E4" s="49"/>
      <c r="F4" s="49"/>
      <c r="G4" s="49"/>
      <c r="H4" s="49"/>
      <c r="I4" s="339"/>
      <c r="J4" s="49"/>
      <c r="K4" s="49"/>
      <c r="L4" s="49"/>
      <c r="M4" s="49"/>
      <c r="N4" s="49"/>
      <c r="O4" s="49"/>
      <c r="P4" s="49"/>
      <c r="Q4" s="49"/>
      <c r="R4" s="49"/>
      <c r="S4" s="49"/>
      <c r="T4" s="49"/>
      <c r="U4" s="49"/>
      <c r="V4" s="49"/>
      <c r="W4" s="49"/>
      <c r="X4" s="49"/>
      <c r="Y4" s="49"/>
      <c r="Z4" s="49"/>
      <c r="AA4" s="49"/>
    </row>
    <row r="5" spans="1:27" ht="15.6">
      <c r="A5" s="48" t="s">
        <v>310</v>
      </c>
      <c r="B5" s="48"/>
      <c r="C5" s="49"/>
      <c r="D5" s="49"/>
      <c r="E5" s="49"/>
      <c r="F5" s="49"/>
      <c r="G5" s="49"/>
      <c r="H5" s="49"/>
      <c r="I5" s="339"/>
      <c r="J5" s="49"/>
      <c r="K5" s="49"/>
      <c r="L5" s="49"/>
      <c r="M5" s="49"/>
      <c r="N5" s="49"/>
      <c r="O5" s="49"/>
      <c r="P5" s="49"/>
      <c r="Q5" s="49"/>
      <c r="R5" s="49"/>
      <c r="S5" s="49"/>
      <c r="T5" s="49"/>
      <c r="U5" s="49"/>
      <c r="V5" s="49"/>
      <c r="W5" s="49"/>
      <c r="X5" s="49"/>
      <c r="Y5" s="49"/>
      <c r="Z5" s="49"/>
      <c r="AA5" s="49"/>
    </row>
    <row r="6" spans="1:27">
      <c r="A6" s="49"/>
      <c r="B6" s="49"/>
      <c r="C6" s="49"/>
      <c r="D6" s="49"/>
      <c r="E6" s="49"/>
      <c r="F6" s="49"/>
      <c r="G6" s="49"/>
      <c r="H6" s="49"/>
      <c r="I6" s="339"/>
      <c r="J6" s="49"/>
      <c r="K6" s="49"/>
      <c r="L6" s="49"/>
      <c r="M6" s="49"/>
      <c r="N6" s="49"/>
      <c r="O6" s="49"/>
      <c r="P6" s="49"/>
      <c r="Q6" s="49"/>
      <c r="R6" s="49"/>
      <c r="S6" s="49"/>
      <c r="T6" s="49"/>
      <c r="U6" s="49"/>
      <c r="V6" s="49"/>
      <c r="W6" s="49"/>
      <c r="X6" s="49"/>
      <c r="Y6" s="49"/>
      <c r="Z6" s="49"/>
      <c r="AA6" s="49"/>
    </row>
    <row r="7" spans="1:27" ht="15.6">
      <c r="A7" s="48" t="s">
        <v>311</v>
      </c>
      <c r="B7" s="48"/>
      <c r="C7" s="48"/>
      <c r="D7" s="48"/>
      <c r="E7" s="48"/>
      <c r="F7" s="48"/>
      <c r="G7" s="48"/>
      <c r="H7" s="48"/>
      <c r="I7" s="338"/>
      <c r="J7" s="49"/>
      <c r="K7" s="49"/>
      <c r="L7" s="49"/>
      <c r="M7" s="49"/>
      <c r="N7" s="49"/>
      <c r="O7" s="49"/>
      <c r="P7" s="49"/>
      <c r="Q7" s="49"/>
      <c r="R7" s="49"/>
      <c r="S7" s="49"/>
      <c r="T7" s="49"/>
      <c r="U7" s="49"/>
      <c r="V7" s="49"/>
      <c r="W7" s="49"/>
      <c r="X7" s="49"/>
      <c r="Y7" s="49"/>
      <c r="Z7" s="49"/>
      <c r="AA7" s="49"/>
    </row>
    <row r="8" spans="1:27">
      <c r="A8" s="49"/>
      <c r="B8" s="49"/>
      <c r="C8" s="49"/>
      <c r="D8" s="49"/>
      <c r="E8" s="49"/>
      <c r="F8" s="49"/>
      <c r="G8" s="49"/>
      <c r="H8" s="49"/>
      <c r="I8" s="339"/>
      <c r="J8" s="49"/>
      <c r="K8" s="49"/>
      <c r="L8" s="49"/>
      <c r="M8" s="49"/>
      <c r="N8" s="49"/>
      <c r="O8" s="49"/>
      <c r="P8" s="49"/>
      <c r="Q8" s="49"/>
      <c r="R8" s="49"/>
      <c r="S8" s="49"/>
      <c r="T8" s="49"/>
      <c r="U8" s="49"/>
      <c r="V8" s="49"/>
      <c r="W8" s="49"/>
      <c r="X8" s="49"/>
      <c r="Y8" s="49"/>
      <c r="Z8" s="49"/>
      <c r="AA8" s="49"/>
    </row>
    <row r="9" spans="1:27" ht="62.4">
      <c r="A9" s="50" t="s">
        <v>312</v>
      </c>
      <c r="B9" s="50" t="s">
        <v>313</v>
      </c>
      <c r="C9" s="50" t="s">
        <v>313</v>
      </c>
      <c r="D9" s="50" t="s">
        <v>313</v>
      </c>
      <c r="E9" s="50" t="s">
        <v>313</v>
      </c>
      <c r="F9" s="50" t="s">
        <v>313</v>
      </c>
      <c r="G9" s="50" t="s">
        <v>313</v>
      </c>
      <c r="H9" s="50" t="s">
        <v>313</v>
      </c>
      <c r="I9" s="340" t="s">
        <v>314</v>
      </c>
      <c r="J9" s="50" t="s">
        <v>315</v>
      </c>
      <c r="K9" s="50" t="s">
        <v>313</v>
      </c>
      <c r="L9" s="50" t="s">
        <v>313</v>
      </c>
      <c r="M9" s="50" t="s">
        <v>313</v>
      </c>
      <c r="N9" s="50" t="s">
        <v>316</v>
      </c>
      <c r="O9" s="50" t="s">
        <v>313</v>
      </c>
      <c r="P9" s="50" t="s">
        <v>313</v>
      </c>
      <c r="Q9" s="50" t="s">
        <v>313</v>
      </c>
      <c r="R9" s="50" t="s">
        <v>317</v>
      </c>
      <c r="S9" s="50" t="s">
        <v>313</v>
      </c>
      <c r="T9" s="50" t="s">
        <v>313</v>
      </c>
      <c r="U9" s="50" t="s">
        <v>313</v>
      </c>
      <c r="V9" s="50" t="s">
        <v>318</v>
      </c>
      <c r="W9" s="50" t="s">
        <v>319</v>
      </c>
      <c r="X9" s="50" t="s">
        <v>313</v>
      </c>
      <c r="Y9" s="50" t="s">
        <v>313</v>
      </c>
      <c r="Z9" s="50" t="s">
        <v>313</v>
      </c>
      <c r="AA9" s="50" t="s">
        <v>313</v>
      </c>
    </row>
    <row r="10" spans="1:27" ht="31.2">
      <c r="A10" s="51" t="s">
        <v>320</v>
      </c>
      <c r="B10" s="52" t="s">
        <v>321</v>
      </c>
      <c r="C10" s="52" t="s">
        <v>322</v>
      </c>
      <c r="D10" s="52" t="s">
        <v>323</v>
      </c>
      <c r="E10" s="52" t="s">
        <v>324</v>
      </c>
      <c r="F10" s="52" t="s">
        <v>325</v>
      </c>
      <c r="G10" s="52" t="s">
        <v>326</v>
      </c>
      <c r="H10" s="52" t="s">
        <v>327</v>
      </c>
      <c r="I10" s="341" t="s">
        <v>328</v>
      </c>
      <c r="J10" s="52" t="s">
        <v>329</v>
      </c>
      <c r="K10" s="52" t="s">
        <v>330</v>
      </c>
      <c r="L10" s="52" t="s">
        <v>331</v>
      </c>
      <c r="M10" s="52" t="s">
        <v>332</v>
      </c>
      <c r="N10" s="52" t="s">
        <v>333</v>
      </c>
      <c r="O10" s="52" t="s">
        <v>334</v>
      </c>
      <c r="P10" s="52" t="s">
        <v>335</v>
      </c>
      <c r="Q10" s="52" t="s">
        <v>336</v>
      </c>
      <c r="R10" s="52" t="s">
        <v>337</v>
      </c>
      <c r="S10" s="52" t="s">
        <v>338</v>
      </c>
      <c r="T10" s="52" t="s">
        <v>339</v>
      </c>
      <c r="U10" s="52" t="s">
        <v>340</v>
      </c>
      <c r="V10" s="52" t="s">
        <v>341</v>
      </c>
      <c r="W10" s="52" t="s">
        <v>342</v>
      </c>
      <c r="X10" s="52" t="s">
        <v>343</v>
      </c>
      <c r="Y10" s="57" t="s">
        <v>344</v>
      </c>
      <c r="Z10" s="52" t="s">
        <v>345</v>
      </c>
      <c r="AA10" s="52" t="s">
        <v>346</v>
      </c>
    </row>
    <row r="11" spans="1:27" ht="15.6">
      <c r="A11" s="53" t="s">
        <v>143</v>
      </c>
      <c r="B11" s="54" t="s">
        <v>347</v>
      </c>
      <c r="C11" s="54" t="s">
        <v>348</v>
      </c>
      <c r="D11" s="54" t="s">
        <v>349</v>
      </c>
      <c r="E11" s="54">
        <v>39120</v>
      </c>
      <c r="F11" s="54" t="s">
        <v>350</v>
      </c>
      <c r="G11" s="54" t="s">
        <v>351</v>
      </c>
      <c r="H11" s="54" t="s">
        <v>352</v>
      </c>
      <c r="I11" s="342">
        <v>46</v>
      </c>
      <c r="J11" s="55">
        <v>1766</v>
      </c>
      <c r="K11" s="54">
        <v>311</v>
      </c>
      <c r="L11" s="54">
        <v>98</v>
      </c>
      <c r="M11" s="54">
        <v>49</v>
      </c>
      <c r="N11" s="54">
        <v>215</v>
      </c>
      <c r="O11" s="55">
        <v>2009</v>
      </c>
      <c r="P11" s="54">
        <v>0</v>
      </c>
      <c r="Q11" s="54">
        <v>0</v>
      </c>
      <c r="R11" s="54">
        <v>56</v>
      </c>
      <c r="S11" s="54">
        <v>64</v>
      </c>
      <c r="T11" s="54">
        <v>122</v>
      </c>
      <c r="U11" s="55">
        <v>1982</v>
      </c>
      <c r="V11" s="55">
        <v>1327</v>
      </c>
      <c r="W11" s="55">
        <v>1436</v>
      </c>
      <c r="X11" s="56" t="s">
        <v>353</v>
      </c>
      <c r="Y11" s="58">
        <v>45673</v>
      </c>
      <c r="Z11" s="56" t="s">
        <v>354</v>
      </c>
      <c r="AA11" s="56" t="s">
        <v>355</v>
      </c>
    </row>
    <row r="12" spans="1:27" ht="15.6">
      <c r="A12" s="53" t="s">
        <v>145</v>
      </c>
      <c r="B12" s="54" t="s">
        <v>356</v>
      </c>
      <c r="C12" s="54" t="s">
        <v>357</v>
      </c>
      <c r="D12" s="54" t="s">
        <v>358</v>
      </c>
      <c r="E12" s="54">
        <v>92301</v>
      </c>
      <c r="F12" s="54" t="s">
        <v>359</v>
      </c>
      <c r="G12" s="54" t="s">
        <v>360</v>
      </c>
      <c r="H12" s="54" t="s">
        <v>352</v>
      </c>
      <c r="I12" s="342">
        <v>45</v>
      </c>
      <c r="J12" s="54">
        <v>684</v>
      </c>
      <c r="K12" s="54">
        <v>191</v>
      </c>
      <c r="L12" s="54">
        <v>427</v>
      </c>
      <c r="M12" s="54">
        <v>484</v>
      </c>
      <c r="N12" s="54">
        <v>730</v>
      </c>
      <c r="O12" s="54">
        <v>805</v>
      </c>
      <c r="P12" s="54">
        <v>40</v>
      </c>
      <c r="Q12" s="54">
        <v>209</v>
      </c>
      <c r="R12" s="54">
        <v>517</v>
      </c>
      <c r="S12" s="54">
        <v>186</v>
      </c>
      <c r="T12" s="54">
        <v>142</v>
      </c>
      <c r="U12" s="54">
        <v>940</v>
      </c>
      <c r="V12" s="54">
        <v>776</v>
      </c>
      <c r="W12" s="54">
        <v>640</v>
      </c>
      <c r="X12" s="56" t="s">
        <v>353</v>
      </c>
      <c r="Y12" s="58">
        <v>45918</v>
      </c>
      <c r="Z12" s="56" t="s">
        <v>354</v>
      </c>
      <c r="AA12" s="56" t="s">
        <v>355</v>
      </c>
    </row>
    <row r="13" spans="1:27" ht="15.6">
      <c r="A13" s="53" t="s">
        <v>361</v>
      </c>
      <c r="B13" s="54" t="s">
        <v>362</v>
      </c>
      <c r="C13" s="54" t="s">
        <v>363</v>
      </c>
      <c r="D13" s="54" t="s">
        <v>364</v>
      </c>
      <c r="E13" s="54">
        <v>71303</v>
      </c>
      <c r="F13" s="54" t="s">
        <v>350</v>
      </c>
      <c r="G13" s="54" t="s">
        <v>365</v>
      </c>
      <c r="H13" s="54" t="s">
        <v>352</v>
      </c>
      <c r="I13" s="342">
        <v>2</v>
      </c>
      <c r="J13" s="54">
        <v>247</v>
      </c>
      <c r="K13" s="54">
        <v>69</v>
      </c>
      <c r="L13" s="54">
        <v>68</v>
      </c>
      <c r="M13" s="54">
        <v>45</v>
      </c>
      <c r="N13" s="54">
        <v>109</v>
      </c>
      <c r="O13" s="54">
        <v>319</v>
      </c>
      <c r="P13" s="54">
        <v>0</v>
      </c>
      <c r="Q13" s="54">
        <v>0</v>
      </c>
      <c r="R13" s="54">
        <v>57</v>
      </c>
      <c r="S13" s="54">
        <v>28</v>
      </c>
      <c r="T13" s="54">
        <v>41</v>
      </c>
      <c r="U13" s="54">
        <v>304</v>
      </c>
      <c r="V13" s="54">
        <v>302</v>
      </c>
      <c r="W13" s="54" t="s">
        <v>313</v>
      </c>
      <c r="X13" s="56" t="s">
        <v>353</v>
      </c>
      <c r="Y13" s="58">
        <v>45715</v>
      </c>
      <c r="Z13" s="56" t="s">
        <v>354</v>
      </c>
      <c r="AA13" s="56" t="s">
        <v>355</v>
      </c>
    </row>
    <row r="14" spans="1:27" ht="15.6">
      <c r="A14" s="53" t="s">
        <v>366</v>
      </c>
      <c r="B14" s="54" t="s">
        <v>367</v>
      </c>
      <c r="C14" s="54" t="s">
        <v>368</v>
      </c>
      <c r="D14" s="54" t="s">
        <v>369</v>
      </c>
      <c r="E14" s="54">
        <v>14813</v>
      </c>
      <c r="F14" s="54" t="s">
        <v>370</v>
      </c>
      <c r="G14" s="54" t="s">
        <v>371</v>
      </c>
      <c r="H14" s="54" t="s">
        <v>372</v>
      </c>
      <c r="I14" s="342">
        <v>9</v>
      </c>
      <c r="J14" s="54">
        <v>5</v>
      </c>
      <c r="K14" s="54">
        <v>0</v>
      </c>
      <c r="L14" s="54">
        <v>0</v>
      </c>
      <c r="M14" s="54">
        <v>0</v>
      </c>
      <c r="N14" s="54">
        <v>0</v>
      </c>
      <c r="O14" s="54">
        <v>0</v>
      </c>
      <c r="P14" s="54">
        <v>0</v>
      </c>
      <c r="Q14" s="54">
        <v>5</v>
      </c>
      <c r="R14" s="54">
        <v>0</v>
      </c>
      <c r="S14" s="54">
        <v>0</v>
      </c>
      <c r="T14" s="54">
        <v>0</v>
      </c>
      <c r="U14" s="54">
        <v>5</v>
      </c>
      <c r="V14" s="54">
        <v>2</v>
      </c>
      <c r="W14" s="54" t="s">
        <v>313</v>
      </c>
      <c r="X14" s="56" t="s">
        <v>313</v>
      </c>
      <c r="Y14" s="56" t="s">
        <v>313</v>
      </c>
      <c r="Z14" s="56" t="s">
        <v>313</v>
      </c>
      <c r="AA14" s="56" t="s">
        <v>313</v>
      </c>
    </row>
    <row r="15" spans="1:27" ht="15.6">
      <c r="A15" s="53" t="s">
        <v>373</v>
      </c>
      <c r="B15" s="54" t="s">
        <v>374</v>
      </c>
      <c r="C15" s="54" t="s">
        <v>375</v>
      </c>
      <c r="D15" s="54" t="s">
        <v>364</v>
      </c>
      <c r="E15" s="54">
        <v>70655</v>
      </c>
      <c r="F15" s="54" t="s">
        <v>350</v>
      </c>
      <c r="G15" s="54" t="s">
        <v>376</v>
      </c>
      <c r="H15" s="54" t="s">
        <v>352</v>
      </c>
      <c r="I15" s="342">
        <v>69</v>
      </c>
      <c r="J15" s="54">
        <v>81</v>
      </c>
      <c r="K15" s="54">
        <v>12</v>
      </c>
      <c r="L15" s="54">
        <v>40</v>
      </c>
      <c r="M15" s="54">
        <v>12</v>
      </c>
      <c r="N15" s="54">
        <v>52</v>
      </c>
      <c r="O15" s="54">
        <v>94</v>
      </c>
      <c r="P15" s="54">
        <v>0</v>
      </c>
      <c r="Q15" s="54">
        <v>0</v>
      </c>
      <c r="R15" s="54">
        <v>34</v>
      </c>
      <c r="S15" s="54">
        <v>18</v>
      </c>
      <c r="T15" s="54">
        <v>3</v>
      </c>
      <c r="U15" s="54">
        <v>90</v>
      </c>
      <c r="V15" s="54">
        <v>101</v>
      </c>
      <c r="W15" s="54">
        <v>170</v>
      </c>
      <c r="X15" s="56" t="s">
        <v>353</v>
      </c>
      <c r="Y15" s="58">
        <v>45638</v>
      </c>
      <c r="Z15" s="56" t="s">
        <v>354</v>
      </c>
      <c r="AA15" s="56" t="s">
        <v>355</v>
      </c>
    </row>
    <row r="16" spans="1:27" ht="15.6">
      <c r="A16" s="53" t="s">
        <v>377</v>
      </c>
      <c r="B16" s="54" t="s">
        <v>378</v>
      </c>
      <c r="C16" s="54" t="s">
        <v>379</v>
      </c>
      <c r="D16" s="54" t="s">
        <v>380</v>
      </c>
      <c r="E16" s="54">
        <v>99501</v>
      </c>
      <c r="F16" s="54" t="s">
        <v>381</v>
      </c>
      <c r="G16" s="54" t="s">
        <v>371</v>
      </c>
      <c r="H16" s="54" t="s">
        <v>352</v>
      </c>
      <c r="I16" s="342">
        <v>5</v>
      </c>
      <c r="J16" s="54">
        <v>3</v>
      </c>
      <c r="K16" s="54">
        <v>0</v>
      </c>
      <c r="L16" s="54">
        <v>0</v>
      </c>
      <c r="M16" s="54">
        <v>0</v>
      </c>
      <c r="N16" s="54">
        <v>0</v>
      </c>
      <c r="O16" s="54">
        <v>3</v>
      </c>
      <c r="P16" s="54">
        <v>0</v>
      </c>
      <c r="Q16" s="54">
        <v>0</v>
      </c>
      <c r="R16" s="54">
        <v>0</v>
      </c>
      <c r="S16" s="54">
        <v>0</v>
      </c>
      <c r="T16" s="54">
        <v>0</v>
      </c>
      <c r="U16" s="54">
        <v>3</v>
      </c>
      <c r="V16" s="54">
        <v>1</v>
      </c>
      <c r="W16" s="54" t="s">
        <v>313</v>
      </c>
      <c r="X16" s="56" t="s">
        <v>382</v>
      </c>
      <c r="Y16" s="58">
        <v>45380</v>
      </c>
      <c r="Z16" s="56" t="s">
        <v>383</v>
      </c>
      <c r="AA16" s="56" t="s">
        <v>355</v>
      </c>
    </row>
    <row r="17" spans="1:27" ht="15.6">
      <c r="A17" s="53" t="s">
        <v>384</v>
      </c>
      <c r="B17" s="347" t="s">
        <v>385</v>
      </c>
      <c r="C17" s="54" t="s">
        <v>386</v>
      </c>
      <c r="D17" s="54" t="s">
        <v>387</v>
      </c>
      <c r="E17" s="54">
        <v>32087</v>
      </c>
      <c r="F17" s="54" t="s">
        <v>388</v>
      </c>
      <c r="G17" s="54" t="s">
        <v>389</v>
      </c>
      <c r="H17" s="54" t="s">
        <v>313</v>
      </c>
      <c r="I17" s="342">
        <v>13</v>
      </c>
      <c r="J17" s="54">
        <v>384</v>
      </c>
      <c r="K17" s="54">
        <v>147</v>
      </c>
      <c r="L17" s="54">
        <v>135</v>
      </c>
      <c r="M17" s="54">
        <v>91</v>
      </c>
      <c r="N17" s="54">
        <v>189</v>
      </c>
      <c r="O17" s="54">
        <v>569</v>
      </c>
      <c r="P17" s="54">
        <v>0</v>
      </c>
      <c r="Q17" s="54">
        <v>0</v>
      </c>
      <c r="R17" s="54">
        <v>107</v>
      </c>
      <c r="S17" s="54">
        <v>48</v>
      </c>
      <c r="T17" s="54">
        <v>68</v>
      </c>
      <c r="U17" s="54">
        <v>535</v>
      </c>
      <c r="V17" s="54">
        <v>313</v>
      </c>
      <c r="W17" s="54" t="s">
        <v>313</v>
      </c>
      <c r="X17" s="56" t="s">
        <v>313</v>
      </c>
      <c r="Y17" s="56" t="s">
        <v>313</v>
      </c>
      <c r="Z17" s="56" t="s">
        <v>313</v>
      </c>
      <c r="AA17" s="56" t="s">
        <v>313</v>
      </c>
    </row>
    <row r="18" spans="1:27" ht="15.6">
      <c r="A18" s="53" t="s">
        <v>149</v>
      </c>
      <c r="B18" s="54" t="s">
        <v>390</v>
      </c>
      <c r="C18" s="54" t="s">
        <v>391</v>
      </c>
      <c r="D18" s="54" t="s">
        <v>387</v>
      </c>
      <c r="E18" s="54">
        <v>32063</v>
      </c>
      <c r="F18" s="54" t="s">
        <v>388</v>
      </c>
      <c r="G18" s="54" t="s">
        <v>376</v>
      </c>
      <c r="H18" s="54" t="s">
        <v>372</v>
      </c>
      <c r="I18" s="342">
        <v>59</v>
      </c>
      <c r="J18" s="54">
        <v>63</v>
      </c>
      <c r="K18" s="54">
        <v>35</v>
      </c>
      <c r="L18" s="54">
        <v>121</v>
      </c>
      <c r="M18" s="54">
        <v>68</v>
      </c>
      <c r="N18" s="54">
        <v>80</v>
      </c>
      <c r="O18" s="54">
        <v>100</v>
      </c>
      <c r="P18" s="54">
        <v>30</v>
      </c>
      <c r="Q18" s="54">
        <v>77</v>
      </c>
      <c r="R18" s="54">
        <v>59</v>
      </c>
      <c r="S18" s="54">
        <v>23</v>
      </c>
      <c r="T18" s="54">
        <v>35</v>
      </c>
      <c r="U18" s="54">
        <v>170</v>
      </c>
      <c r="V18" s="54">
        <v>131</v>
      </c>
      <c r="W18" s="54">
        <v>250</v>
      </c>
      <c r="X18" s="56" t="s">
        <v>353</v>
      </c>
      <c r="Y18" s="58">
        <v>45589</v>
      </c>
      <c r="Z18" s="56" t="s">
        <v>392</v>
      </c>
      <c r="AA18" s="56" t="s">
        <v>355</v>
      </c>
    </row>
    <row r="19" spans="1:27" ht="15.6">
      <c r="A19" s="53" t="s">
        <v>393</v>
      </c>
      <c r="B19" s="54" t="s">
        <v>394</v>
      </c>
      <c r="C19" s="54" t="s">
        <v>395</v>
      </c>
      <c r="D19" s="54" t="s">
        <v>396</v>
      </c>
      <c r="E19" s="54">
        <v>36507</v>
      </c>
      <c r="F19" s="54" t="s">
        <v>350</v>
      </c>
      <c r="G19" s="54" t="s">
        <v>371</v>
      </c>
      <c r="H19" s="54" t="s">
        <v>372</v>
      </c>
      <c r="I19" s="342">
        <v>3</v>
      </c>
      <c r="J19" s="54">
        <v>11</v>
      </c>
      <c r="K19" s="54">
        <v>3</v>
      </c>
      <c r="L19" s="54">
        <v>1</v>
      </c>
      <c r="M19" s="54">
        <v>1</v>
      </c>
      <c r="N19" s="54">
        <v>2</v>
      </c>
      <c r="O19" s="54">
        <v>12</v>
      </c>
      <c r="P19" s="54">
        <v>0</v>
      </c>
      <c r="Q19" s="54">
        <v>1</v>
      </c>
      <c r="R19" s="54">
        <v>1</v>
      </c>
      <c r="S19" s="54">
        <v>1</v>
      </c>
      <c r="T19" s="54">
        <v>1</v>
      </c>
      <c r="U19" s="54">
        <v>12</v>
      </c>
      <c r="V19" s="54">
        <v>5</v>
      </c>
      <c r="W19" s="54" t="s">
        <v>313</v>
      </c>
      <c r="X19" s="56" t="s">
        <v>353</v>
      </c>
      <c r="Y19" s="58">
        <v>45561</v>
      </c>
      <c r="Z19" s="56" t="s">
        <v>392</v>
      </c>
      <c r="AA19" s="56" t="s">
        <v>397</v>
      </c>
    </row>
    <row r="20" spans="1:27" ht="15.6">
      <c r="A20" s="53" t="s">
        <v>398</v>
      </c>
      <c r="B20" s="54" t="s">
        <v>399</v>
      </c>
      <c r="C20" s="54" t="s">
        <v>400</v>
      </c>
      <c r="D20" s="54" t="s">
        <v>401</v>
      </c>
      <c r="E20" s="54">
        <v>3570</v>
      </c>
      <c r="F20" s="54" t="s">
        <v>402</v>
      </c>
      <c r="G20" s="54" t="s">
        <v>403</v>
      </c>
      <c r="H20" s="54" t="s">
        <v>352</v>
      </c>
      <c r="I20" s="342">
        <v>62</v>
      </c>
      <c r="J20" s="54">
        <v>114</v>
      </c>
      <c r="K20" s="54">
        <v>15</v>
      </c>
      <c r="L20" s="54">
        <v>54</v>
      </c>
      <c r="M20" s="54">
        <v>19</v>
      </c>
      <c r="N20" s="54">
        <v>35</v>
      </c>
      <c r="O20" s="54">
        <v>166</v>
      </c>
      <c r="P20" s="54">
        <v>0</v>
      </c>
      <c r="Q20" s="54">
        <v>0</v>
      </c>
      <c r="R20" s="54">
        <v>17</v>
      </c>
      <c r="S20" s="54">
        <v>7</v>
      </c>
      <c r="T20" s="54">
        <v>14</v>
      </c>
      <c r="U20" s="54">
        <v>164</v>
      </c>
      <c r="V20" s="54">
        <v>90</v>
      </c>
      <c r="W20" s="54" t="s">
        <v>313</v>
      </c>
      <c r="X20" s="56" t="s">
        <v>313</v>
      </c>
      <c r="Y20" s="56" t="s">
        <v>313</v>
      </c>
      <c r="Z20" s="56" t="s">
        <v>313</v>
      </c>
      <c r="AA20" s="56" t="s">
        <v>313</v>
      </c>
    </row>
    <row r="21" spans="1:27" ht="15.6">
      <c r="A21" s="53" t="s">
        <v>404</v>
      </c>
      <c r="B21" s="54" t="s">
        <v>405</v>
      </c>
      <c r="C21" s="54" t="s">
        <v>406</v>
      </c>
      <c r="D21" s="54" t="s">
        <v>407</v>
      </c>
      <c r="E21" s="54">
        <v>79501</v>
      </c>
      <c r="F21" s="54" t="s">
        <v>408</v>
      </c>
      <c r="G21" s="54" t="s">
        <v>351</v>
      </c>
      <c r="H21" s="54" t="s">
        <v>372</v>
      </c>
      <c r="I21" s="342">
        <v>20</v>
      </c>
      <c r="J21" s="54">
        <v>596</v>
      </c>
      <c r="K21" s="54">
        <v>148</v>
      </c>
      <c r="L21" s="54">
        <v>193</v>
      </c>
      <c r="M21" s="54">
        <v>90</v>
      </c>
      <c r="N21" s="54">
        <v>266</v>
      </c>
      <c r="O21" s="54">
        <v>660</v>
      </c>
      <c r="P21" s="54">
        <v>7</v>
      </c>
      <c r="Q21" s="54">
        <v>94</v>
      </c>
      <c r="R21" s="54">
        <v>122</v>
      </c>
      <c r="S21" s="54">
        <v>71</v>
      </c>
      <c r="T21" s="54">
        <v>101</v>
      </c>
      <c r="U21" s="54">
        <v>733</v>
      </c>
      <c r="V21" s="54">
        <v>405</v>
      </c>
      <c r="W21" s="54">
        <v>750</v>
      </c>
      <c r="X21" s="56" t="s">
        <v>353</v>
      </c>
      <c r="Y21" s="58">
        <v>45638</v>
      </c>
      <c r="Z21" s="56" t="s">
        <v>354</v>
      </c>
      <c r="AA21" s="56" t="s">
        <v>355</v>
      </c>
    </row>
    <row r="22" spans="1:27" ht="15.6">
      <c r="A22" s="53" t="s">
        <v>409</v>
      </c>
      <c r="B22" s="54" t="s">
        <v>410</v>
      </c>
      <c r="C22" s="54" t="s">
        <v>411</v>
      </c>
      <c r="D22" s="54" t="s">
        <v>412</v>
      </c>
      <c r="E22" s="54">
        <v>41005</v>
      </c>
      <c r="F22" s="54" t="s">
        <v>413</v>
      </c>
      <c r="G22" s="54" t="s">
        <v>371</v>
      </c>
      <c r="H22" s="54" t="s">
        <v>372</v>
      </c>
      <c r="I22" s="342">
        <v>58</v>
      </c>
      <c r="J22" s="54">
        <v>76</v>
      </c>
      <c r="K22" s="54">
        <v>31</v>
      </c>
      <c r="L22" s="54">
        <v>53</v>
      </c>
      <c r="M22" s="54">
        <v>35</v>
      </c>
      <c r="N22" s="54">
        <v>100</v>
      </c>
      <c r="O22" s="54">
        <v>93</v>
      </c>
      <c r="P22" s="54">
        <v>0</v>
      </c>
      <c r="Q22" s="54">
        <v>3</v>
      </c>
      <c r="R22" s="54">
        <v>38</v>
      </c>
      <c r="S22" s="54">
        <v>40</v>
      </c>
      <c r="T22" s="54">
        <v>32</v>
      </c>
      <c r="U22" s="54">
        <v>86</v>
      </c>
      <c r="V22" s="54">
        <v>104</v>
      </c>
      <c r="W22" s="54" t="s">
        <v>313</v>
      </c>
      <c r="X22" s="56" t="s">
        <v>353</v>
      </c>
      <c r="Y22" s="58">
        <v>45617</v>
      </c>
      <c r="Z22" s="56" t="s">
        <v>392</v>
      </c>
      <c r="AA22" s="56" t="s">
        <v>355</v>
      </c>
    </row>
    <row r="23" spans="1:27" ht="15.6">
      <c r="A23" s="53" t="s">
        <v>414</v>
      </c>
      <c r="B23" s="54" t="s">
        <v>415</v>
      </c>
      <c r="C23" s="54" t="s">
        <v>416</v>
      </c>
      <c r="D23" s="54" t="s">
        <v>412</v>
      </c>
      <c r="E23" s="54">
        <v>40361</v>
      </c>
      <c r="F23" s="54" t="s">
        <v>413</v>
      </c>
      <c r="G23" s="54" t="s">
        <v>371</v>
      </c>
      <c r="H23" s="54" t="s">
        <v>372</v>
      </c>
      <c r="I23" s="342">
        <v>3</v>
      </c>
      <c r="J23" s="54">
        <v>1</v>
      </c>
      <c r="K23" s="54">
        <v>0</v>
      </c>
      <c r="L23" s="54">
        <v>1</v>
      </c>
      <c r="M23" s="54">
        <v>0</v>
      </c>
      <c r="N23" s="54">
        <v>1</v>
      </c>
      <c r="O23" s="54">
        <v>1</v>
      </c>
      <c r="P23" s="54">
        <v>0</v>
      </c>
      <c r="Q23" s="54">
        <v>0</v>
      </c>
      <c r="R23" s="54">
        <v>0</v>
      </c>
      <c r="S23" s="54">
        <v>0</v>
      </c>
      <c r="T23" s="54">
        <v>0</v>
      </c>
      <c r="U23" s="54">
        <v>1</v>
      </c>
      <c r="V23" s="54">
        <v>1</v>
      </c>
      <c r="W23" s="54" t="s">
        <v>313</v>
      </c>
      <c r="X23" s="56" t="s">
        <v>313</v>
      </c>
      <c r="Y23" s="56" t="s">
        <v>313</v>
      </c>
      <c r="Z23" s="56" t="s">
        <v>313</v>
      </c>
      <c r="AA23" s="56" t="s">
        <v>313</v>
      </c>
    </row>
    <row r="24" spans="1:27" ht="15.6">
      <c r="A24" s="53" t="s">
        <v>417</v>
      </c>
      <c r="B24" s="54" t="s">
        <v>418</v>
      </c>
      <c r="C24" s="54" t="s">
        <v>419</v>
      </c>
      <c r="D24" s="54" t="s">
        <v>369</v>
      </c>
      <c r="E24" s="54">
        <v>11232</v>
      </c>
      <c r="F24" s="54" t="s">
        <v>420</v>
      </c>
      <c r="G24" s="54" t="s">
        <v>403</v>
      </c>
      <c r="H24" s="54" t="s">
        <v>372</v>
      </c>
      <c r="I24" s="342">
        <v>48</v>
      </c>
      <c r="J24" s="54">
        <v>91</v>
      </c>
      <c r="K24" s="54">
        <v>18</v>
      </c>
      <c r="L24" s="54">
        <v>1</v>
      </c>
      <c r="M24" s="54">
        <v>1</v>
      </c>
      <c r="N24" s="54">
        <v>30</v>
      </c>
      <c r="O24" s="54">
        <v>81</v>
      </c>
      <c r="P24" s="54">
        <v>0</v>
      </c>
      <c r="Q24" s="54">
        <v>0</v>
      </c>
      <c r="R24" s="54">
        <v>4</v>
      </c>
      <c r="S24" s="54">
        <v>12</v>
      </c>
      <c r="T24" s="54">
        <v>15</v>
      </c>
      <c r="U24" s="54">
        <v>80</v>
      </c>
      <c r="V24" s="54">
        <v>38</v>
      </c>
      <c r="W24" s="54" t="s">
        <v>313</v>
      </c>
      <c r="X24" s="56" t="s">
        <v>313</v>
      </c>
      <c r="Y24" s="56" t="s">
        <v>313</v>
      </c>
      <c r="Z24" s="56" t="s">
        <v>313</v>
      </c>
      <c r="AA24" s="56" t="s">
        <v>313</v>
      </c>
    </row>
    <row r="25" spans="1:27" ht="15.6">
      <c r="A25" s="53" t="s">
        <v>421</v>
      </c>
      <c r="B25" s="54" t="s">
        <v>422</v>
      </c>
      <c r="C25" s="54" t="s">
        <v>423</v>
      </c>
      <c r="D25" s="54" t="s">
        <v>407</v>
      </c>
      <c r="E25" s="54">
        <v>78355</v>
      </c>
      <c r="F25" s="54" t="s">
        <v>424</v>
      </c>
      <c r="G25" s="54" t="s">
        <v>371</v>
      </c>
      <c r="H25" s="54" t="s">
        <v>372</v>
      </c>
      <c r="I25" s="342">
        <v>7</v>
      </c>
      <c r="J25" s="54">
        <v>13</v>
      </c>
      <c r="K25" s="54">
        <v>1</v>
      </c>
      <c r="L25" s="54">
        <v>0</v>
      </c>
      <c r="M25" s="54">
        <v>0</v>
      </c>
      <c r="N25" s="54">
        <v>1</v>
      </c>
      <c r="O25" s="54">
        <v>14</v>
      </c>
      <c r="P25" s="54">
        <v>0</v>
      </c>
      <c r="Q25" s="54">
        <v>0</v>
      </c>
      <c r="R25" s="54">
        <v>0</v>
      </c>
      <c r="S25" s="54">
        <v>0</v>
      </c>
      <c r="T25" s="54">
        <v>1</v>
      </c>
      <c r="U25" s="54">
        <v>14</v>
      </c>
      <c r="V25" s="54">
        <v>13</v>
      </c>
      <c r="W25" s="54" t="s">
        <v>313</v>
      </c>
      <c r="X25" s="56" t="s">
        <v>425</v>
      </c>
      <c r="Y25" s="58">
        <v>45751</v>
      </c>
      <c r="Z25" s="56" t="s">
        <v>426</v>
      </c>
      <c r="AA25" s="56" t="s">
        <v>355</v>
      </c>
    </row>
    <row r="26" spans="1:27" ht="15.6">
      <c r="A26" s="53" t="s">
        <v>427</v>
      </c>
      <c r="B26" s="54" t="s">
        <v>428</v>
      </c>
      <c r="C26" s="54" t="s">
        <v>429</v>
      </c>
      <c r="D26" s="54" t="s">
        <v>369</v>
      </c>
      <c r="E26" s="54">
        <v>13905</v>
      </c>
      <c r="F26" s="54" t="s">
        <v>370</v>
      </c>
      <c r="G26" s="54" t="s">
        <v>371</v>
      </c>
      <c r="H26" s="54" t="s">
        <v>372</v>
      </c>
      <c r="I26" s="342">
        <v>50</v>
      </c>
      <c r="J26" s="54">
        <v>42</v>
      </c>
      <c r="K26" s="54">
        <v>2</v>
      </c>
      <c r="L26" s="54">
        <v>2</v>
      </c>
      <c r="M26" s="54">
        <v>0</v>
      </c>
      <c r="N26" s="54">
        <v>3</v>
      </c>
      <c r="O26" s="54">
        <v>43</v>
      </c>
      <c r="P26" s="54">
        <v>0</v>
      </c>
      <c r="Q26" s="54">
        <v>0</v>
      </c>
      <c r="R26" s="54">
        <v>1</v>
      </c>
      <c r="S26" s="54">
        <v>0</v>
      </c>
      <c r="T26" s="54">
        <v>3</v>
      </c>
      <c r="U26" s="54">
        <v>42</v>
      </c>
      <c r="V26" s="54">
        <v>17</v>
      </c>
      <c r="W26" s="54" t="s">
        <v>313</v>
      </c>
      <c r="X26" s="56" t="s">
        <v>313</v>
      </c>
      <c r="Y26" s="56" t="s">
        <v>313</v>
      </c>
      <c r="Z26" s="56" t="s">
        <v>313</v>
      </c>
      <c r="AA26" s="56" t="s">
        <v>313</v>
      </c>
    </row>
    <row r="27" spans="1:27" ht="15.6">
      <c r="A27" s="53" t="s">
        <v>430</v>
      </c>
      <c r="B27" s="54" t="s">
        <v>431</v>
      </c>
      <c r="C27" s="54" t="s">
        <v>432</v>
      </c>
      <c r="D27" s="54" t="s">
        <v>387</v>
      </c>
      <c r="E27" s="54">
        <v>33301</v>
      </c>
      <c r="F27" s="54" t="s">
        <v>388</v>
      </c>
      <c r="G27" s="54" t="s">
        <v>376</v>
      </c>
      <c r="H27" s="54" t="s">
        <v>372</v>
      </c>
      <c r="I27" s="342">
        <v>1</v>
      </c>
      <c r="J27" s="54">
        <v>1</v>
      </c>
      <c r="K27" s="54">
        <v>1</v>
      </c>
      <c r="L27" s="54">
        <v>1</v>
      </c>
      <c r="M27" s="54">
        <v>0</v>
      </c>
      <c r="N27" s="54">
        <v>0</v>
      </c>
      <c r="O27" s="54">
        <v>2</v>
      </c>
      <c r="P27" s="54">
        <v>0</v>
      </c>
      <c r="Q27" s="54">
        <v>0</v>
      </c>
      <c r="R27" s="54">
        <v>0</v>
      </c>
      <c r="S27" s="54">
        <v>0</v>
      </c>
      <c r="T27" s="54">
        <v>0</v>
      </c>
      <c r="U27" s="54">
        <v>2</v>
      </c>
      <c r="V27" s="54">
        <v>1</v>
      </c>
      <c r="W27" s="54" t="s">
        <v>313</v>
      </c>
      <c r="X27" s="56" t="s">
        <v>313</v>
      </c>
      <c r="Y27" s="56" t="s">
        <v>313</v>
      </c>
      <c r="Z27" s="56" t="s">
        <v>313</v>
      </c>
      <c r="AA27" s="56" t="s">
        <v>313</v>
      </c>
    </row>
    <row r="28" spans="1:27" ht="15.6">
      <c r="A28" s="53" t="s">
        <v>433</v>
      </c>
      <c r="B28" s="54" t="s">
        <v>434</v>
      </c>
      <c r="C28" s="54" t="s">
        <v>435</v>
      </c>
      <c r="D28" s="54" t="s">
        <v>313</v>
      </c>
      <c r="E28" s="54">
        <v>33073</v>
      </c>
      <c r="F28" s="54" t="s">
        <v>388</v>
      </c>
      <c r="G28" s="54" t="s">
        <v>360</v>
      </c>
      <c r="H28" s="54" t="s">
        <v>372</v>
      </c>
      <c r="I28" s="342">
        <v>21</v>
      </c>
      <c r="J28" s="54">
        <v>494</v>
      </c>
      <c r="K28" s="54">
        <v>165</v>
      </c>
      <c r="L28" s="54">
        <v>13</v>
      </c>
      <c r="M28" s="54">
        <v>2</v>
      </c>
      <c r="N28" s="54">
        <v>70</v>
      </c>
      <c r="O28" s="54">
        <v>502</v>
      </c>
      <c r="P28" s="54">
        <v>9</v>
      </c>
      <c r="Q28" s="54">
        <v>94</v>
      </c>
      <c r="R28" s="54">
        <v>12</v>
      </c>
      <c r="S28" s="54">
        <v>22</v>
      </c>
      <c r="T28" s="54">
        <v>57</v>
      </c>
      <c r="U28" s="54">
        <v>584</v>
      </c>
      <c r="V28" s="54">
        <v>321</v>
      </c>
      <c r="W28" s="54">
        <v>700</v>
      </c>
      <c r="X28" s="56" t="s">
        <v>353</v>
      </c>
      <c r="Y28" s="58">
        <v>45645</v>
      </c>
      <c r="Z28" s="56" t="s">
        <v>354</v>
      </c>
      <c r="AA28" s="56" t="s">
        <v>355</v>
      </c>
    </row>
    <row r="29" spans="1:27" ht="15.6">
      <c r="A29" s="53" t="s">
        <v>436</v>
      </c>
      <c r="B29" s="54" t="s">
        <v>437</v>
      </c>
      <c r="C29" s="54" t="s">
        <v>438</v>
      </c>
      <c r="D29" s="54" t="s">
        <v>369</v>
      </c>
      <c r="E29" s="54">
        <v>14020</v>
      </c>
      <c r="F29" s="54" t="s">
        <v>370</v>
      </c>
      <c r="G29" s="54" t="s">
        <v>439</v>
      </c>
      <c r="H29" s="54" t="s">
        <v>352</v>
      </c>
      <c r="I29" s="342">
        <v>36</v>
      </c>
      <c r="J29" s="54">
        <v>523</v>
      </c>
      <c r="K29" s="54">
        <v>45</v>
      </c>
      <c r="L29" s="54">
        <v>63</v>
      </c>
      <c r="M29" s="54">
        <v>71</v>
      </c>
      <c r="N29" s="54">
        <v>152</v>
      </c>
      <c r="O29" s="54">
        <v>550</v>
      </c>
      <c r="P29" s="54">
        <v>0</v>
      </c>
      <c r="Q29" s="54">
        <v>0</v>
      </c>
      <c r="R29" s="54">
        <v>107</v>
      </c>
      <c r="S29" s="54">
        <v>24</v>
      </c>
      <c r="T29" s="54">
        <v>39</v>
      </c>
      <c r="U29" s="54">
        <v>531</v>
      </c>
      <c r="V29" s="54">
        <v>245</v>
      </c>
      <c r="W29" s="54">
        <v>400</v>
      </c>
      <c r="X29" s="56" t="s">
        <v>353</v>
      </c>
      <c r="Y29" s="58">
        <v>45596</v>
      </c>
      <c r="Z29" s="56" t="s">
        <v>354</v>
      </c>
      <c r="AA29" s="56" t="s">
        <v>355</v>
      </c>
    </row>
    <row r="30" spans="1:27" ht="15.6">
      <c r="A30" s="53" t="s">
        <v>440</v>
      </c>
      <c r="B30" s="54" t="s">
        <v>441</v>
      </c>
      <c r="C30" s="54" t="s">
        <v>442</v>
      </c>
      <c r="D30" s="54" t="s">
        <v>443</v>
      </c>
      <c r="E30" s="54">
        <v>58502</v>
      </c>
      <c r="F30" s="54" t="s">
        <v>444</v>
      </c>
      <c r="G30" s="54" t="s">
        <v>371</v>
      </c>
      <c r="H30" s="54" t="s">
        <v>372</v>
      </c>
      <c r="I30" s="342">
        <v>25</v>
      </c>
      <c r="J30" s="54">
        <v>4</v>
      </c>
      <c r="K30" s="54">
        <v>6</v>
      </c>
      <c r="L30" s="54">
        <v>4</v>
      </c>
      <c r="M30" s="54">
        <v>0</v>
      </c>
      <c r="N30" s="54">
        <v>3</v>
      </c>
      <c r="O30" s="54">
        <v>10</v>
      </c>
      <c r="P30" s="54">
        <v>0</v>
      </c>
      <c r="Q30" s="54">
        <v>1</v>
      </c>
      <c r="R30" s="54">
        <v>1</v>
      </c>
      <c r="S30" s="54">
        <v>1</v>
      </c>
      <c r="T30" s="54">
        <v>1</v>
      </c>
      <c r="U30" s="54">
        <v>10</v>
      </c>
      <c r="V30" s="54">
        <v>9</v>
      </c>
      <c r="W30" s="54" t="s">
        <v>313</v>
      </c>
      <c r="X30" s="56"/>
      <c r="Y30" s="59"/>
      <c r="Z30" s="56"/>
      <c r="AA30" s="56"/>
    </row>
    <row r="31" spans="1:27" ht="15.6">
      <c r="A31" s="53" t="s">
        <v>155</v>
      </c>
      <c r="B31" s="54" t="s">
        <v>445</v>
      </c>
      <c r="C31" s="54" t="s">
        <v>446</v>
      </c>
      <c r="D31" s="54" t="s">
        <v>447</v>
      </c>
      <c r="E31" s="54">
        <v>45011</v>
      </c>
      <c r="F31" s="54" t="s">
        <v>448</v>
      </c>
      <c r="G31" s="54" t="s">
        <v>371</v>
      </c>
      <c r="H31" s="54" t="s">
        <v>372</v>
      </c>
      <c r="I31" s="342">
        <v>32</v>
      </c>
      <c r="J31" s="54">
        <v>129</v>
      </c>
      <c r="K31" s="54">
        <v>169</v>
      </c>
      <c r="L31" s="54">
        <v>45</v>
      </c>
      <c r="M31" s="54">
        <v>11</v>
      </c>
      <c r="N31" s="54">
        <v>65</v>
      </c>
      <c r="O31" s="54">
        <v>263</v>
      </c>
      <c r="P31" s="54">
        <v>5</v>
      </c>
      <c r="Q31" s="54">
        <v>22</v>
      </c>
      <c r="R31" s="54">
        <v>22</v>
      </c>
      <c r="S31" s="54">
        <v>19</v>
      </c>
      <c r="T31" s="54">
        <v>42</v>
      </c>
      <c r="U31" s="54">
        <v>272</v>
      </c>
      <c r="V31" s="54">
        <v>166</v>
      </c>
      <c r="W31" s="54" t="s">
        <v>313</v>
      </c>
      <c r="X31" s="56" t="s">
        <v>353</v>
      </c>
      <c r="Y31" s="58">
        <v>45709</v>
      </c>
      <c r="Z31" s="56" t="s">
        <v>383</v>
      </c>
      <c r="AA31" s="56" t="s">
        <v>397</v>
      </c>
    </row>
    <row r="32" spans="1:27" ht="15.6">
      <c r="A32" s="53" t="s">
        <v>449</v>
      </c>
      <c r="B32" s="54" t="s">
        <v>450</v>
      </c>
      <c r="C32" s="54" t="s">
        <v>451</v>
      </c>
      <c r="D32" s="54" t="s">
        <v>452</v>
      </c>
      <c r="E32" s="54">
        <v>49014</v>
      </c>
      <c r="F32" s="54" t="s">
        <v>448</v>
      </c>
      <c r="G32" s="54" t="s">
        <v>376</v>
      </c>
      <c r="H32" s="54" t="s">
        <v>372</v>
      </c>
      <c r="I32" s="342">
        <v>55</v>
      </c>
      <c r="J32" s="54">
        <v>125</v>
      </c>
      <c r="K32" s="54">
        <v>12</v>
      </c>
      <c r="L32" s="54">
        <v>10</v>
      </c>
      <c r="M32" s="54">
        <v>9</v>
      </c>
      <c r="N32" s="54">
        <v>22</v>
      </c>
      <c r="O32" s="54">
        <v>118</v>
      </c>
      <c r="P32" s="54">
        <v>1</v>
      </c>
      <c r="Q32" s="54">
        <v>16</v>
      </c>
      <c r="R32" s="54">
        <v>12</v>
      </c>
      <c r="S32" s="54">
        <v>4</v>
      </c>
      <c r="T32" s="54">
        <v>10</v>
      </c>
      <c r="U32" s="54">
        <v>132</v>
      </c>
      <c r="V32" s="54">
        <v>68</v>
      </c>
      <c r="W32" s="54">
        <v>75</v>
      </c>
      <c r="X32" s="56" t="s">
        <v>353</v>
      </c>
      <c r="Y32" s="58">
        <v>45526</v>
      </c>
      <c r="Z32" s="56" t="s">
        <v>392</v>
      </c>
      <c r="AA32" s="56" t="s">
        <v>355</v>
      </c>
    </row>
    <row r="33" spans="1:27" ht="31.2">
      <c r="A33" s="53" t="s">
        <v>453</v>
      </c>
      <c r="B33" s="54" t="s">
        <v>454</v>
      </c>
      <c r="C33" s="54" t="s">
        <v>455</v>
      </c>
      <c r="D33" s="54" t="s">
        <v>358</v>
      </c>
      <c r="E33" s="54">
        <v>93505</v>
      </c>
      <c r="F33" s="54" t="s">
        <v>456</v>
      </c>
      <c r="G33" s="54" t="s">
        <v>360</v>
      </c>
      <c r="H33" s="54" t="s">
        <v>372</v>
      </c>
      <c r="I33" s="342">
        <v>35</v>
      </c>
      <c r="J33" s="54">
        <v>471</v>
      </c>
      <c r="K33" s="54">
        <v>61</v>
      </c>
      <c r="L33" s="54">
        <v>114</v>
      </c>
      <c r="M33" s="54">
        <v>155</v>
      </c>
      <c r="N33" s="54">
        <v>252</v>
      </c>
      <c r="O33" s="54">
        <v>386</v>
      </c>
      <c r="P33" s="54">
        <v>18</v>
      </c>
      <c r="Q33" s="54">
        <v>145</v>
      </c>
      <c r="R33" s="54">
        <v>188</v>
      </c>
      <c r="S33" s="54">
        <v>41</v>
      </c>
      <c r="T33" s="54">
        <v>52</v>
      </c>
      <c r="U33" s="54">
        <v>520</v>
      </c>
      <c r="V33" s="54">
        <v>277</v>
      </c>
      <c r="W33" s="55">
        <v>2560</v>
      </c>
      <c r="X33" s="56"/>
      <c r="Y33" s="60">
        <v>45765</v>
      </c>
      <c r="Z33" s="56" t="s">
        <v>392</v>
      </c>
      <c r="AA33" s="56" t="s">
        <v>355</v>
      </c>
    </row>
    <row r="34" spans="1:27" ht="15.6">
      <c r="A34" s="53" t="s">
        <v>457</v>
      </c>
      <c r="B34" s="54" t="s">
        <v>458</v>
      </c>
      <c r="C34" s="54" t="s">
        <v>459</v>
      </c>
      <c r="D34" s="54" t="s">
        <v>460</v>
      </c>
      <c r="E34" s="54">
        <v>15931</v>
      </c>
      <c r="F34" s="54" t="s">
        <v>461</v>
      </c>
      <c r="G34" s="54" t="s">
        <v>376</v>
      </c>
      <c r="H34" s="54" t="s">
        <v>352</v>
      </c>
      <c r="I34" s="342">
        <v>4</v>
      </c>
      <c r="J34" s="54">
        <v>13</v>
      </c>
      <c r="K34" s="54">
        <v>2</v>
      </c>
      <c r="L34" s="54">
        <v>1</v>
      </c>
      <c r="M34" s="54">
        <v>1</v>
      </c>
      <c r="N34" s="54">
        <v>1</v>
      </c>
      <c r="O34" s="54">
        <v>11</v>
      </c>
      <c r="P34" s="54">
        <v>1</v>
      </c>
      <c r="Q34" s="54">
        <v>4</v>
      </c>
      <c r="R34" s="54">
        <v>1</v>
      </c>
      <c r="S34" s="54">
        <v>1</v>
      </c>
      <c r="T34" s="54">
        <v>0</v>
      </c>
      <c r="U34" s="54">
        <v>14</v>
      </c>
      <c r="V34" s="54">
        <v>5</v>
      </c>
      <c r="W34" s="54" t="s">
        <v>313</v>
      </c>
      <c r="X34" s="56" t="s">
        <v>353</v>
      </c>
      <c r="Y34" s="58"/>
      <c r="Z34" s="56" t="s">
        <v>392</v>
      </c>
      <c r="AA34" s="56" t="s">
        <v>313</v>
      </c>
    </row>
    <row r="35" spans="1:27" ht="15.6">
      <c r="A35" s="53" t="s">
        <v>462</v>
      </c>
      <c r="B35" s="54" t="s">
        <v>463</v>
      </c>
      <c r="C35" s="54" t="s">
        <v>464</v>
      </c>
      <c r="D35" s="54" t="s">
        <v>412</v>
      </c>
      <c r="E35" s="54">
        <v>41071</v>
      </c>
      <c r="F35" s="54" t="s">
        <v>413</v>
      </c>
      <c r="G35" s="54" t="s">
        <v>371</v>
      </c>
      <c r="H35" s="54" t="s">
        <v>372</v>
      </c>
      <c r="I35" s="342">
        <v>60</v>
      </c>
      <c r="J35" s="54">
        <v>96</v>
      </c>
      <c r="K35" s="54">
        <v>23</v>
      </c>
      <c r="L35" s="54">
        <v>11</v>
      </c>
      <c r="M35" s="54">
        <v>8</v>
      </c>
      <c r="N35" s="54">
        <v>28</v>
      </c>
      <c r="O35" s="54">
        <v>87</v>
      </c>
      <c r="P35" s="54">
        <v>5</v>
      </c>
      <c r="Q35" s="54">
        <v>18</v>
      </c>
      <c r="R35" s="54">
        <v>9</v>
      </c>
      <c r="S35" s="54">
        <v>11</v>
      </c>
      <c r="T35" s="54">
        <v>16</v>
      </c>
      <c r="U35" s="54">
        <v>102</v>
      </c>
      <c r="V35" s="54">
        <v>58</v>
      </c>
      <c r="W35" s="54" t="s">
        <v>313</v>
      </c>
      <c r="X35" s="56" t="s">
        <v>313</v>
      </c>
      <c r="Y35" s="56" t="s">
        <v>313</v>
      </c>
      <c r="Z35" s="56" t="s">
        <v>313</v>
      </c>
      <c r="AA35" s="56" t="s">
        <v>313</v>
      </c>
    </row>
    <row r="36" spans="1:27" ht="15.6">
      <c r="A36" s="53" t="s">
        <v>161</v>
      </c>
      <c r="B36" s="54" t="s">
        <v>465</v>
      </c>
      <c r="C36" s="54" t="s">
        <v>466</v>
      </c>
      <c r="D36" s="54" t="s">
        <v>467</v>
      </c>
      <c r="E36" s="54">
        <v>22427</v>
      </c>
      <c r="F36" s="54" t="s">
        <v>468</v>
      </c>
      <c r="G36" s="54" t="s">
        <v>351</v>
      </c>
      <c r="H36" s="54" t="s">
        <v>372</v>
      </c>
      <c r="I36" s="342">
        <v>42</v>
      </c>
      <c r="J36" s="54">
        <v>113</v>
      </c>
      <c r="K36" s="54">
        <v>112</v>
      </c>
      <c r="L36" s="54">
        <v>64</v>
      </c>
      <c r="M36" s="54">
        <v>57</v>
      </c>
      <c r="N36" s="54">
        <v>114</v>
      </c>
      <c r="O36" s="54">
        <v>219</v>
      </c>
      <c r="P36" s="54">
        <v>6</v>
      </c>
      <c r="Q36" s="54">
        <v>7</v>
      </c>
      <c r="R36" s="54">
        <v>73</v>
      </c>
      <c r="S36" s="54">
        <v>29</v>
      </c>
      <c r="T36" s="54">
        <v>29</v>
      </c>
      <c r="U36" s="54">
        <v>215</v>
      </c>
      <c r="V36" s="54">
        <v>150</v>
      </c>
      <c r="W36" s="54">
        <v>224</v>
      </c>
      <c r="X36" s="56" t="s">
        <v>353</v>
      </c>
      <c r="Y36" s="58">
        <v>45764</v>
      </c>
      <c r="Z36" s="56" t="s">
        <v>354</v>
      </c>
      <c r="AA36" s="56" t="s">
        <v>355</v>
      </c>
    </row>
    <row r="37" spans="1:27" ht="15.6">
      <c r="A37" s="53" t="s">
        <v>469</v>
      </c>
      <c r="B37" s="54" t="s">
        <v>470</v>
      </c>
      <c r="C37" s="54" t="s">
        <v>471</v>
      </c>
      <c r="D37" s="54" t="s">
        <v>472</v>
      </c>
      <c r="E37" s="54">
        <v>59404</v>
      </c>
      <c r="F37" s="54" t="s">
        <v>473</v>
      </c>
      <c r="G37" s="54" t="s">
        <v>371</v>
      </c>
      <c r="H37" s="54" t="s">
        <v>352</v>
      </c>
      <c r="I37" s="342">
        <v>6</v>
      </c>
      <c r="J37" s="54">
        <v>1</v>
      </c>
      <c r="K37" s="54">
        <v>2</v>
      </c>
      <c r="L37" s="54">
        <v>1</v>
      </c>
      <c r="M37" s="54">
        <v>0</v>
      </c>
      <c r="N37" s="54">
        <v>1</v>
      </c>
      <c r="O37" s="54">
        <v>2</v>
      </c>
      <c r="P37" s="54">
        <v>0</v>
      </c>
      <c r="Q37" s="54">
        <v>0</v>
      </c>
      <c r="R37" s="54">
        <v>1</v>
      </c>
      <c r="S37" s="54">
        <v>0</v>
      </c>
      <c r="T37" s="54">
        <v>1</v>
      </c>
      <c r="U37" s="54">
        <v>1</v>
      </c>
      <c r="V37" s="54">
        <v>2</v>
      </c>
      <c r="W37" s="54" t="s">
        <v>313</v>
      </c>
      <c r="X37" s="56" t="s">
        <v>353</v>
      </c>
      <c r="Y37" s="58">
        <v>45225</v>
      </c>
      <c r="Z37" s="56" t="s">
        <v>392</v>
      </c>
      <c r="AA37" s="56" t="s">
        <v>397</v>
      </c>
    </row>
    <row r="38" spans="1:27" ht="15.6">
      <c r="A38" s="53" t="s">
        <v>165</v>
      </c>
      <c r="B38" s="54" t="s">
        <v>474</v>
      </c>
      <c r="C38" s="54" t="s">
        <v>475</v>
      </c>
      <c r="D38" s="54" t="s">
        <v>476</v>
      </c>
      <c r="E38" s="54">
        <v>85232</v>
      </c>
      <c r="F38" s="54" t="s">
        <v>477</v>
      </c>
      <c r="G38" s="54" t="s">
        <v>478</v>
      </c>
      <c r="H38" s="54" t="s">
        <v>352</v>
      </c>
      <c r="I38" s="342">
        <v>44</v>
      </c>
      <c r="J38" s="54">
        <v>183</v>
      </c>
      <c r="K38" s="54">
        <v>62</v>
      </c>
      <c r="L38" s="54">
        <v>181</v>
      </c>
      <c r="M38" s="54">
        <v>149</v>
      </c>
      <c r="N38" s="54">
        <v>273</v>
      </c>
      <c r="O38" s="54">
        <v>301</v>
      </c>
      <c r="P38" s="54">
        <v>0</v>
      </c>
      <c r="Q38" s="54">
        <v>0</v>
      </c>
      <c r="R38" s="54">
        <v>149</v>
      </c>
      <c r="S38" s="54">
        <v>60</v>
      </c>
      <c r="T38" s="54">
        <v>80</v>
      </c>
      <c r="U38" s="54">
        <v>286</v>
      </c>
      <c r="V38" s="54">
        <v>301</v>
      </c>
      <c r="W38" s="54" t="s">
        <v>313</v>
      </c>
      <c r="X38" s="56" t="s">
        <v>353</v>
      </c>
      <c r="Y38" s="58">
        <v>45638</v>
      </c>
      <c r="Z38" s="56" t="s">
        <v>392</v>
      </c>
      <c r="AA38" s="56" t="s">
        <v>355</v>
      </c>
    </row>
    <row r="39" spans="1:27" ht="31.2">
      <c r="A39" s="53" t="s">
        <v>479</v>
      </c>
      <c r="B39" s="54" t="s">
        <v>480</v>
      </c>
      <c r="C39" s="54" t="s">
        <v>481</v>
      </c>
      <c r="D39" s="54" t="s">
        <v>313</v>
      </c>
      <c r="E39" s="54">
        <v>71342</v>
      </c>
      <c r="F39" s="54" t="s">
        <v>350</v>
      </c>
      <c r="G39" s="54" t="s">
        <v>376</v>
      </c>
      <c r="H39" s="54" t="s">
        <v>352</v>
      </c>
      <c r="I39" s="342">
        <v>27</v>
      </c>
      <c r="J39" s="54">
        <v>598</v>
      </c>
      <c r="K39" s="54">
        <v>188</v>
      </c>
      <c r="L39" s="54">
        <v>225</v>
      </c>
      <c r="M39" s="54">
        <v>124</v>
      </c>
      <c r="N39" s="54">
        <v>262</v>
      </c>
      <c r="O39" s="54">
        <v>874</v>
      </c>
      <c r="P39" s="54">
        <v>0</v>
      </c>
      <c r="Q39" s="54">
        <v>0</v>
      </c>
      <c r="R39" s="54">
        <v>141</v>
      </c>
      <c r="S39" s="54">
        <v>60</v>
      </c>
      <c r="T39" s="54">
        <v>102</v>
      </c>
      <c r="U39" s="54">
        <v>832</v>
      </c>
      <c r="V39" s="54">
        <v>649</v>
      </c>
      <c r="W39" s="55">
        <v>1170</v>
      </c>
      <c r="X39" s="56" t="s">
        <v>353</v>
      </c>
      <c r="Y39" s="58">
        <v>45666</v>
      </c>
      <c r="Z39" s="56" t="s">
        <v>354</v>
      </c>
      <c r="AA39" s="56" t="s">
        <v>355</v>
      </c>
    </row>
    <row r="40" spans="1:27" ht="15.6">
      <c r="A40" s="53" t="s">
        <v>482</v>
      </c>
      <c r="B40" s="54" t="s">
        <v>483</v>
      </c>
      <c r="C40" s="54" t="s">
        <v>484</v>
      </c>
      <c r="D40" s="54" t="s">
        <v>485</v>
      </c>
      <c r="E40" s="54">
        <v>66845</v>
      </c>
      <c r="F40" s="54" t="s">
        <v>413</v>
      </c>
      <c r="G40" s="54" t="s">
        <v>376</v>
      </c>
      <c r="H40" s="54" t="s">
        <v>372</v>
      </c>
      <c r="I40" s="342">
        <v>24</v>
      </c>
      <c r="J40" s="54">
        <v>48</v>
      </c>
      <c r="K40" s="54">
        <v>20</v>
      </c>
      <c r="L40" s="54">
        <v>27</v>
      </c>
      <c r="M40" s="54">
        <v>17</v>
      </c>
      <c r="N40" s="54">
        <v>36</v>
      </c>
      <c r="O40" s="54">
        <v>65</v>
      </c>
      <c r="P40" s="54">
        <v>2</v>
      </c>
      <c r="Q40" s="54">
        <v>9</v>
      </c>
      <c r="R40" s="54">
        <v>19</v>
      </c>
      <c r="S40" s="54">
        <v>7</v>
      </c>
      <c r="T40" s="54">
        <v>20</v>
      </c>
      <c r="U40" s="54">
        <v>66</v>
      </c>
      <c r="V40" s="54">
        <v>66</v>
      </c>
      <c r="W40" s="54" t="s">
        <v>313</v>
      </c>
      <c r="X40" s="56" t="s">
        <v>353</v>
      </c>
      <c r="Y40" s="58">
        <v>45729</v>
      </c>
      <c r="Z40" s="56" t="s">
        <v>392</v>
      </c>
      <c r="AA40" s="56" t="s">
        <v>355</v>
      </c>
    </row>
    <row r="41" spans="1:27" ht="15.6">
      <c r="A41" s="53" t="s">
        <v>486</v>
      </c>
      <c r="B41" s="54" t="s">
        <v>487</v>
      </c>
      <c r="C41" s="54" t="s">
        <v>488</v>
      </c>
      <c r="D41" s="54" t="s">
        <v>489</v>
      </c>
      <c r="E41" s="54">
        <v>88201</v>
      </c>
      <c r="F41" s="54" t="s">
        <v>490</v>
      </c>
      <c r="G41" s="54" t="s">
        <v>371</v>
      </c>
      <c r="H41" s="54" t="s">
        <v>372</v>
      </c>
      <c r="I41" s="342">
        <v>1</v>
      </c>
      <c r="J41" s="54">
        <v>0</v>
      </c>
      <c r="K41" s="54">
        <v>2</v>
      </c>
      <c r="L41" s="54">
        <v>0</v>
      </c>
      <c r="M41" s="54">
        <v>0</v>
      </c>
      <c r="N41" s="54">
        <v>0</v>
      </c>
      <c r="O41" s="54">
        <v>1</v>
      </c>
      <c r="P41" s="54">
        <v>0</v>
      </c>
      <c r="Q41" s="54">
        <v>0</v>
      </c>
      <c r="R41" s="54">
        <v>0</v>
      </c>
      <c r="S41" s="54">
        <v>0</v>
      </c>
      <c r="T41" s="54">
        <v>0</v>
      </c>
      <c r="U41" s="54">
        <v>2</v>
      </c>
      <c r="V41" s="54">
        <v>1</v>
      </c>
      <c r="W41" s="54" t="s">
        <v>313</v>
      </c>
      <c r="X41" s="56" t="s">
        <v>382</v>
      </c>
      <c r="Y41" s="58">
        <v>45630</v>
      </c>
      <c r="Z41" s="56" t="s">
        <v>383</v>
      </c>
      <c r="AA41" s="56" t="s">
        <v>355</v>
      </c>
    </row>
    <row r="42" spans="1:27" ht="15.6">
      <c r="A42" s="53" t="s">
        <v>491</v>
      </c>
      <c r="B42" s="54" t="s">
        <v>492</v>
      </c>
      <c r="C42" s="54" t="s">
        <v>493</v>
      </c>
      <c r="D42" s="54" t="s">
        <v>452</v>
      </c>
      <c r="E42" s="54">
        <v>49783</v>
      </c>
      <c r="F42" s="54" t="s">
        <v>448</v>
      </c>
      <c r="G42" s="54" t="s">
        <v>376</v>
      </c>
      <c r="H42" s="54" t="s">
        <v>352</v>
      </c>
      <c r="I42" s="342">
        <v>44</v>
      </c>
      <c r="J42" s="54">
        <v>26</v>
      </c>
      <c r="K42" s="54">
        <v>4</v>
      </c>
      <c r="L42" s="54">
        <v>7</v>
      </c>
      <c r="M42" s="54">
        <v>1</v>
      </c>
      <c r="N42" s="54">
        <v>7</v>
      </c>
      <c r="O42" s="54">
        <v>31</v>
      </c>
      <c r="P42" s="54">
        <v>0</v>
      </c>
      <c r="Q42" s="54">
        <v>0</v>
      </c>
      <c r="R42" s="54">
        <v>3</v>
      </c>
      <c r="S42" s="54">
        <v>2</v>
      </c>
      <c r="T42" s="54">
        <v>3</v>
      </c>
      <c r="U42" s="54">
        <v>31</v>
      </c>
      <c r="V42" s="54">
        <v>15</v>
      </c>
      <c r="W42" s="54" t="s">
        <v>313</v>
      </c>
      <c r="X42" s="56" t="s">
        <v>353</v>
      </c>
      <c r="Y42" s="58">
        <v>45407</v>
      </c>
      <c r="Z42" s="56" t="s">
        <v>392</v>
      </c>
      <c r="AA42" s="56" t="s">
        <v>355</v>
      </c>
    </row>
    <row r="43" spans="1:27" ht="15.6">
      <c r="A43" s="53" t="s">
        <v>494</v>
      </c>
      <c r="B43" s="54" t="s">
        <v>495</v>
      </c>
      <c r="C43" s="54" t="s">
        <v>496</v>
      </c>
      <c r="D43" s="54" t="s">
        <v>497</v>
      </c>
      <c r="E43" s="54">
        <v>5403</v>
      </c>
      <c r="F43" s="54" t="s">
        <v>402</v>
      </c>
      <c r="G43" s="54" t="s">
        <v>371</v>
      </c>
      <c r="H43" s="54" t="s">
        <v>372</v>
      </c>
      <c r="I43" s="342">
        <v>7</v>
      </c>
      <c r="J43" s="54">
        <v>6</v>
      </c>
      <c r="K43" s="54">
        <v>0</v>
      </c>
      <c r="L43" s="54">
        <v>0</v>
      </c>
      <c r="M43" s="54">
        <v>0</v>
      </c>
      <c r="N43" s="54">
        <v>0</v>
      </c>
      <c r="O43" s="54">
        <v>0</v>
      </c>
      <c r="P43" s="54">
        <v>0</v>
      </c>
      <c r="Q43" s="54">
        <v>6</v>
      </c>
      <c r="R43" s="54">
        <v>0</v>
      </c>
      <c r="S43" s="54">
        <v>0</v>
      </c>
      <c r="T43" s="54">
        <v>0</v>
      </c>
      <c r="U43" s="54">
        <v>6</v>
      </c>
      <c r="V43" s="54">
        <v>1</v>
      </c>
      <c r="W43" s="54" t="s">
        <v>313</v>
      </c>
      <c r="X43" s="56" t="s">
        <v>382</v>
      </c>
      <c r="Y43" s="58">
        <v>45394</v>
      </c>
      <c r="Z43" s="56" t="s">
        <v>383</v>
      </c>
      <c r="AA43" s="56" t="s">
        <v>355</v>
      </c>
    </row>
    <row r="44" spans="1:27" ht="15.6">
      <c r="A44" s="53" t="s">
        <v>498</v>
      </c>
      <c r="B44" s="54" t="s">
        <v>499</v>
      </c>
      <c r="C44" s="54" t="s">
        <v>500</v>
      </c>
      <c r="D44" s="54" t="s">
        <v>412</v>
      </c>
      <c r="E44" s="54">
        <v>42240</v>
      </c>
      <c r="F44" s="54" t="s">
        <v>413</v>
      </c>
      <c r="G44" s="54" t="s">
        <v>371</v>
      </c>
      <c r="H44" s="54" t="s">
        <v>372</v>
      </c>
      <c r="I44" s="342">
        <v>22</v>
      </c>
      <c r="J44" s="54">
        <v>47</v>
      </c>
      <c r="K44" s="54">
        <v>7</v>
      </c>
      <c r="L44" s="54">
        <v>21</v>
      </c>
      <c r="M44" s="54">
        <v>14</v>
      </c>
      <c r="N44" s="54">
        <v>21</v>
      </c>
      <c r="O44" s="54">
        <v>68</v>
      </c>
      <c r="P44" s="54">
        <v>0</v>
      </c>
      <c r="Q44" s="54">
        <v>0</v>
      </c>
      <c r="R44" s="54">
        <v>13</v>
      </c>
      <c r="S44" s="54">
        <v>8</v>
      </c>
      <c r="T44" s="54">
        <v>6</v>
      </c>
      <c r="U44" s="54">
        <v>61</v>
      </c>
      <c r="V44" s="54">
        <v>32</v>
      </c>
      <c r="W44" s="54" t="s">
        <v>313</v>
      </c>
      <c r="X44" s="56" t="s">
        <v>353</v>
      </c>
      <c r="Y44" s="58"/>
      <c r="Z44" s="56" t="s">
        <v>392</v>
      </c>
      <c r="AA44" s="56" t="s">
        <v>313</v>
      </c>
    </row>
    <row r="45" spans="1:27" ht="15.6">
      <c r="A45" s="53" t="s">
        <v>501</v>
      </c>
      <c r="B45" s="54" t="s">
        <v>502</v>
      </c>
      <c r="C45" s="54" t="s">
        <v>503</v>
      </c>
      <c r="D45" s="54" t="s">
        <v>489</v>
      </c>
      <c r="E45" s="54">
        <v>87021</v>
      </c>
      <c r="F45" s="54" t="s">
        <v>490</v>
      </c>
      <c r="G45" s="54" t="s">
        <v>376</v>
      </c>
      <c r="H45" s="54" t="s">
        <v>352</v>
      </c>
      <c r="I45" s="342">
        <v>75</v>
      </c>
      <c r="J45" s="54">
        <v>123</v>
      </c>
      <c r="K45" s="54">
        <v>52</v>
      </c>
      <c r="L45" s="54">
        <v>32</v>
      </c>
      <c r="M45" s="54">
        <v>10</v>
      </c>
      <c r="N45" s="54">
        <v>34</v>
      </c>
      <c r="O45" s="54">
        <v>183</v>
      </c>
      <c r="P45" s="54">
        <v>0</v>
      </c>
      <c r="Q45" s="54">
        <v>0</v>
      </c>
      <c r="R45" s="54">
        <v>12</v>
      </c>
      <c r="S45" s="54">
        <v>8</v>
      </c>
      <c r="T45" s="54">
        <v>16</v>
      </c>
      <c r="U45" s="54">
        <v>181</v>
      </c>
      <c r="V45" s="54">
        <v>58</v>
      </c>
      <c r="W45" s="54" t="s">
        <v>313</v>
      </c>
      <c r="X45" s="56" t="s">
        <v>353</v>
      </c>
      <c r="Y45" s="58">
        <v>45715</v>
      </c>
      <c r="Z45" s="56" t="s">
        <v>354</v>
      </c>
      <c r="AA45" s="56" t="s">
        <v>355</v>
      </c>
    </row>
    <row r="46" spans="1:27" ht="15.6">
      <c r="A46" s="53" t="s">
        <v>504</v>
      </c>
      <c r="B46" s="54" t="s">
        <v>505</v>
      </c>
      <c r="C46" s="54" t="s">
        <v>506</v>
      </c>
      <c r="D46" s="54" t="s">
        <v>507</v>
      </c>
      <c r="E46" s="54">
        <v>74023</v>
      </c>
      <c r="F46" s="54" t="s">
        <v>408</v>
      </c>
      <c r="G46" s="54" t="s">
        <v>371</v>
      </c>
      <c r="H46" s="54" t="s">
        <v>313</v>
      </c>
      <c r="I46" s="342">
        <v>33</v>
      </c>
      <c r="J46" s="54">
        <v>348</v>
      </c>
      <c r="K46" s="54">
        <v>61</v>
      </c>
      <c r="L46" s="54">
        <v>90</v>
      </c>
      <c r="M46" s="54">
        <v>59</v>
      </c>
      <c r="N46" s="54">
        <v>174</v>
      </c>
      <c r="O46" s="54">
        <v>384</v>
      </c>
      <c r="P46" s="54">
        <v>0</v>
      </c>
      <c r="Q46" s="54">
        <v>0</v>
      </c>
      <c r="R46" s="54">
        <v>78</v>
      </c>
      <c r="S46" s="54">
        <v>45</v>
      </c>
      <c r="T46" s="54">
        <v>55</v>
      </c>
      <c r="U46" s="54">
        <v>380</v>
      </c>
      <c r="V46" s="54">
        <v>249</v>
      </c>
      <c r="W46" s="54" t="s">
        <v>313</v>
      </c>
      <c r="X46" s="56" t="s">
        <v>313</v>
      </c>
      <c r="Y46" s="56" t="s">
        <v>313</v>
      </c>
      <c r="Z46" s="56" t="s">
        <v>313</v>
      </c>
      <c r="AA46" s="56" t="s">
        <v>313</v>
      </c>
    </row>
    <row r="47" spans="1:27" ht="15.6">
      <c r="A47" s="53" t="s">
        <v>508</v>
      </c>
      <c r="B47" s="54" t="s">
        <v>509</v>
      </c>
      <c r="C47" s="54" t="s">
        <v>510</v>
      </c>
      <c r="D47" s="54" t="s">
        <v>511</v>
      </c>
      <c r="E47" s="54">
        <v>47130</v>
      </c>
      <c r="F47" s="54" t="s">
        <v>413</v>
      </c>
      <c r="G47" s="54" t="s">
        <v>371</v>
      </c>
      <c r="H47" s="54" t="s">
        <v>372</v>
      </c>
      <c r="I47" s="342">
        <v>42</v>
      </c>
      <c r="J47" s="54">
        <v>58</v>
      </c>
      <c r="K47" s="54">
        <v>18</v>
      </c>
      <c r="L47" s="54">
        <v>11</v>
      </c>
      <c r="M47" s="54">
        <v>5</v>
      </c>
      <c r="N47" s="54">
        <v>7</v>
      </c>
      <c r="O47" s="54">
        <v>22</v>
      </c>
      <c r="P47" s="54">
        <v>9</v>
      </c>
      <c r="Q47" s="54">
        <v>55</v>
      </c>
      <c r="R47" s="54">
        <v>10</v>
      </c>
      <c r="S47" s="54">
        <v>3</v>
      </c>
      <c r="T47" s="54">
        <v>6</v>
      </c>
      <c r="U47" s="54">
        <v>73</v>
      </c>
      <c r="V47" s="54">
        <v>43</v>
      </c>
      <c r="W47" s="54" t="s">
        <v>313</v>
      </c>
      <c r="X47" s="56" t="s">
        <v>313</v>
      </c>
      <c r="Y47" s="56" t="s">
        <v>313</v>
      </c>
      <c r="Z47" s="56" t="s">
        <v>313</v>
      </c>
      <c r="AA47" s="56" t="s">
        <v>313</v>
      </c>
    </row>
    <row r="48" spans="1:27" ht="15.6">
      <c r="A48" s="53" t="s">
        <v>512</v>
      </c>
      <c r="B48" s="54" t="s">
        <v>513</v>
      </c>
      <c r="C48" s="54" t="s">
        <v>514</v>
      </c>
      <c r="D48" s="54" t="s">
        <v>511</v>
      </c>
      <c r="E48" s="54">
        <v>47834</v>
      </c>
      <c r="F48" s="54" t="s">
        <v>413</v>
      </c>
      <c r="G48" s="54" t="s">
        <v>371</v>
      </c>
      <c r="H48" s="54" t="s">
        <v>372</v>
      </c>
      <c r="I48" s="342">
        <v>16</v>
      </c>
      <c r="J48" s="54">
        <v>119</v>
      </c>
      <c r="K48" s="54">
        <v>21</v>
      </c>
      <c r="L48" s="54">
        <v>57</v>
      </c>
      <c r="M48" s="54">
        <v>42</v>
      </c>
      <c r="N48" s="54">
        <v>70</v>
      </c>
      <c r="O48" s="54">
        <v>168</v>
      </c>
      <c r="P48" s="54">
        <v>0</v>
      </c>
      <c r="Q48" s="54">
        <v>1</v>
      </c>
      <c r="R48" s="54">
        <v>36</v>
      </c>
      <c r="S48" s="54">
        <v>22</v>
      </c>
      <c r="T48" s="54">
        <v>31</v>
      </c>
      <c r="U48" s="54">
        <v>150</v>
      </c>
      <c r="V48" s="54">
        <v>90</v>
      </c>
      <c r="W48" s="54" t="s">
        <v>313</v>
      </c>
      <c r="X48" s="56" t="s">
        <v>353</v>
      </c>
      <c r="Y48" s="58">
        <v>45302</v>
      </c>
      <c r="Z48" s="56" t="s">
        <v>392</v>
      </c>
      <c r="AA48" s="56" t="s">
        <v>355</v>
      </c>
    </row>
    <row r="49" spans="1:27" ht="15.6">
      <c r="A49" s="53" t="s">
        <v>515</v>
      </c>
      <c r="B49" s="54" t="s">
        <v>516</v>
      </c>
      <c r="C49" s="54" t="s">
        <v>517</v>
      </c>
      <c r="D49" s="54" t="s">
        <v>460</v>
      </c>
      <c r="E49" s="54">
        <v>17748</v>
      </c>
      <c r="F49" s="54" t="s">
        <v>461</v>
      </c>
      <c r="G49" s="54" t="s">
        <v>371</v>
      </c>
      <c r="H49" s="54" t="s">
        <v>372</v>
      </c>
      <c r="I49" s="342">
        <v>56</v>
      </c>
      <c r="J49" s="54">
        <v>18</v>
      </c>
      <c r="K49" s="54">
        <v>26</v>
      </c>
      <c r="L49" s="54">
        <v>25</v>
      </c>
      <c r="M49" s="54">
        <v>20</v>
      </c>
      <c r="N49" s="54">
        <v>45</v>
      </c>
      <c r="O49" s="54">
        <v>30</v>
      </c>
      <c r="P49" s="54">
        <v>4</v>
      </c>
      <c r="Q49" s="54">
        <v>10</v>
      </c>
      <c r="R49" s="54">
        <v>39</v>
      </c>
      <c r="S49" s="54">
        <v>8</v>
      </c>
      <c r="T49" s="54">
        <v>3</v>
      </c>
      <c r="U49" s="54">
        <v>38</v>
      </c>
      <c r="V49" s="54">
        <v>43</v>
      </c>
      <c r="W49" s="54" t="s">
        <v>313</v>
      </c>
      <c r="X49" s="56" t="s">
        <v>353</v>
      </c>
      <c r="Y49" s="58">
        <v>45673</v>
      </c>
      <c r="Z49" s="56" t="s">
        <v>392</v>
      </c>
      <c r="AA49" s="56" t="s">
        <v>355</v>
      </c>
    </row>
    <row r="50" spans="1:27" ht="15.6">
      <c r="A50" s="53" t="s">
        <v>518</v>
      </c>
      <c r="B50" s="54" t="s">
        <v>519</v>
      </c>
      <c r="C50" s="54" t="s">
        <v>520</v>
      </c>
      <c r="D50" s="54" t="s">
        <v>369</v>
      </c>
      <c r="E50" s="54">
        <v>12901</v>
      </c>
      <c r="F50" s="54" t="s">
        <v>370</v>
      </c>
      <c r="G50" s="54" t="s">
        <v>371</v>
      </c>
      <c r="H50" s="54" t="s">
        <v>372</v>
      </c>
      <c r="I50" s="342">
        <v>3</v>
      </c>
      <c r="J50" s="54">
        <v>3</v>
      </c>
      <c r="K50" s="54">
        <v>0</v>
      </c>
      <c r="L50" s="54">
        <v>0</v>
      </c>
      <c r="M50" s="54">
        <v>0</v>
      </c>
      <c r="N50" s="54">
        <v>0</v>
      </c>
      <c r="O50" s="54">
        <v>1</v>
      </c>
      <c r="P50" s="54">
        <v>0</v>
      </c>
      <c r="Q50" s="54">
        <v>2</v>
      </c>
      <c r="R50" s="54">
        <v>0</v>
      </c>
      <c r="S50" s="54">
        <v>0</v>
      </c>
      <c r="T50" s="54">
        <v>0</v>
      </c>
      <c r="U50" s="54">
        <v>3</v>
      </c>
      <c r="V50" s="54">
        <v>0</v>
      </c>
      <c r="W50" s="54" t="s">
        <v>313</v>
      </c>
      <c r="X50" s="56" t="s">
        <v>353</v>
      </c>
      <c r="Y50" s="58">
        <v>45449</v>
      </c>
      <c r="Z50" s="56" t="s">
        <v>392</v>
      </c>
      <c r="AA50" s="56" t="s">
        <v>355</v>
      </c>
    </row>
    <row r="51" spans="1:27" ht="15.6">
      <c r="A51" s="53" t="s">
        <v>518</v>
      </c>
      <c r="B51" s="54" t="s">
        <v>521</v>
      </c>
      <c r="C51" s="54" t="s">
        <v>522</v>
      </c>
      <c r="D51" s="54" t="s">
        <v>511</v>
      </c>
      <c r="E51" s="54">
        <v>46041</v>
      </c>
      <c r="F51" s="54" t="s">
        <v>413</v>
      </c>
      <c r="G51" s="54" t="s">
        <v>371</v>
      </c>
      <c r="H51" s="54" t="s">
        <v>372</v>
      </c>
      <c r="I51" s="342">
        <v>5</v>
      </c>
      <c r="J51" s="54">
        <v>13</v>
      </c>
      <c r="K51" s="54">
        <v>4</v>
      </c>
      <c r="L51" s="54">
        <v>4</v>
      </c>
      <c r="M51" s="54">
        <v>6</v>
      </c>
      <c r="N51" s="54">
        <v>8</v>
      </c>
      <c r="O51" s="54">
        <v>11</v>
      </c>
      <c r="P51" s="54">
        <v>3</v>
      </c>
      <c r="Q51" s="54">
        <v>5</v>
      </c>
      <c r="R51" s="54">
        <v>6</v>
      </c>
      <c r="S51" s="54">
        <v>5</v>
      </c>
      <c r="T51" s="54">
        <v>2</v>
      </c>
      <c r="U51" s="54">
        <v>15</v>
      </c>
      <c r="V51" s="54">
        <v>18</v>
      </c>
      <c r="W51" s="54" t="s">
        <v>313</v>
      </c>
      <c r="X51" s="56" t="s">
        <v>313</v>
      </c>
      <c r="Y51" s="56" t="s">
        <v>313</v>
      </c>
      <c r="Z51" s="56" t="s">
        <v>313</v>
      </c>
      <c r="AA51" s="56" t="s">
        <v>313</v>
      </c>
    </row>
    <row r="52" spans="1:27" ht="15.6">
      <c r="A52" s="53" t="s">
        <v>523</v>
      </c>
      <c r="B52" s="54" t="s">
        <v>524</v>
      </c>
      <c r="C52" s="54" t="s">
        <v>525</v>
      </c>
      <c r="D52" s="54" t="s">
        <v>407</v>
      </c>
      <c r="E52" s="54">
        <v>78380</v>
      </c>
      <c r="F52" s="54" t="s">
        <v>424</v>
      </c>
      <c r="G52" s="54" t="s">
        <v>371</v>
      </c>
      <c r="H52" s="54" t="s">
        <v>372</v>
      </c>
      <c r="I52" s="342">
        <v>6</v>
      </c>
      <c r="J52" s="54">
        <v>36</v>
      </c>
      <c r="K52" s="54">
        <v>7</v>
      </c>
      <c r="L52" s="54">
        <v>6</v>
      </c>
      <c r="M52" s="54">
        <v>2</v>
      </c>
      <c r="N52" s="54">
        <v>8</v>
      </c>
      <c r="O52" s="54">
        <v>37</v>
      </c>
      <c r="P52" s="54">
        <v>1</v>
      </c>
      <c r="Q52" s="54">
        <v>4</v>
      </c>
      <c r="R52" s="54">
        <v>3</v>
      </c>
      <c r="S52" s="54">
        <v>2</v>
      </c>
      <c r="T52" s="54">
        <v>5</v>
      </c>
      <c r="U52" s="54">
        <v>41</v>
      </c>
      <c r="V52" s="54">
        <v>40</v>
      </c>
      <c r="W52" s="54" t="s">
        <v>313</v>
      </c>
      <c r="X52" s="56" t="s">
        <v>425</v>
      </c>
      <c r="Y52" s="58">
        <v>45694</v>
      </c>
      <c r="Z52" s="56" t="s">
        <v>392</v>
      </c>
      <c r="AA52" s="56" t="s">
        <v>355</v>
      </c>
    </row>
    <row r="53" spans="1:27" ht="15.6">
      <c r="A53" s="53" t="s">
        <v>526</v>
      </c>
      <c r="B53" s="54" t="s">
        <v>527</v>
      </c>
      <c r="C53" s="54" t="s">
        <v>528</v>
      </c>
      <c r="D53" s="54" t="s">
        <v>387</v>
      </c>
      <c r="E53" s="54">
        <v>34112</v>
      </c>
      <c r="F53" s="54" t="s">
        <v>388</v>
      </c>
      <c r="G53" s="54" t="s">
        <v>376</v>
      </c>
      <c r="H53" s="54" t="s">
        <v>372</v>
      </c>
      <c r="I53" s="342">
        <v>5</v>
      </c>
      <c r="J53" s="54">
        <v>17</v>
      </c>
      <c r="K53" s="54">
        <v>7</v>
      </c>
      <c r="L53" s="54">
        <v>8</v>
      </c>
      <c r="M53" s="54">
        <v>4</v>
      </c>
      <c r="N53" s="54">
        <v>9</v>
      </c>
      <c r="O53" s="54">
        <v>17</v>
      </c>
      <c r="P53" s="54">
        <v>1</v>
      </c>
      <c r="Q53" s="54">
        <v>8</v>
      </c>
      <c r="R53" s="54">
        <v>3</v>
      </c>
      <c r="S53" s="54">
        <v>5</v>
      </c>
      <c r="T53" s="54">
        <v>8</v>
      </c>
      <c r="U53" s="54">
        <v>19</v>
      </c>
      <c r="V53" s="54">
        <v>11</v>
      </c>
      <c r="W53" s="54" t="s">
        <v>313</v>
      </c>
      <c r="X53" s="56" t="s">
        <v>353</v>
      </c>
      <c r="Y53" s="58">
        <v>45631</v>
      </c>
      <c r="Z53" s="56" t="s">
        <v>392</v>
      </c>
      <c r="AA53" s="56" t="s">
        <v>355</v>
      </c>
    </row>
    <row r="54" spans="1:27" ht="15.6">
      <c r="A54" s="53" t="s">
        <v>529</v>
      </c>
      <c r="B54" s="54" t="s">
        <v>530</v>
      </c>
      <c r="C54" s="54" t="s">
        <v>531</v>
      </c>
      <c r="D54" s="54" t="s">
        <v>447</v>
      </c>
      <c r="E54" s="54">
        <v>43557</v>
      </c>
      <c r="F54" s="54" t="s">
        <v>448</v>
      </c>
      <c r="G54" s="54" t="s">
        <v>371</v>
      </c>
      <c r="H54" s="54" t="s">
        <v>352</v>
      </c>
      <c r="I54" s="342">
        <v>39</v>
      </c>
      <c r="J54" s="54">
        <v>60</v>
      </c>
      <c r="K54" s="54">
        <v>3</v>
      </c>
      <c r="L54" s="54">
        <v>4</v>
      </c>
      <c r="M54" s="54">
        <v>3</v>
      </c>
      <c r="N54" s="54">
        <v>5</v>
      </c>
      <c r="O54" s="54">
        <v>24</v>
      </c>
      <c r="P54" s="54">
        <v>2</v>
      </c>
      <c r="Q54" s="54">
        <v>38</v>
      </c>
      <c r="R54" s="54">
        <v>3</v>
      </c>
      <c r="S54" s="54">
        <v>0</v>
      </c>
      <c r="T54" s="54">
        <v>6</v>
      </c>
      <c r="U54" s="54">
        <v>60</v>
      </c>
      <c r="V54" s="54">
        <v>27</v>
      </c>
      <c r="W54" s="54" t="s">
        <v>313</v>
      </c>
      <c r="X54" s="56" t="s">
        <v>313</v>
      </c>
      <c r="Y54" s="56" t="s">
        <v>313</v>
      </c>
      <c r="Z54" s="56" t="s">
        <v>313</v>
      </c>
      <c r="AA54" s="56" t="s">
        <v>313</v>
      </c>
    </row>
    <row r="55" spans="1:27" ht="15.6">
      <c r="A55" s="53" t="s">
        <v>532</v>
      </c>
      <c r="B55" s="54" t="s">
        <v>533</v>
      </c>
      <c r="C55" s="54" t="s">
        <v>534</v>
      </c>
      <c r="D55" s="54" t="s">
        <v>535</v>
      </c>
      <c r="E55" s="54">
        <v>56401</v>
      </c>
      <c r="F55" s="54" t="s">
        <v>444</v>
      </c>
      <c r="G55" s="54" t="s">
        <v>371</v>
      </c>
      <c r="H55" s="54" t="s">
        <v>372</v>
      </c>
      <c r="I55" s="342">
        <v>7</v>
      </c>
      <c r="J55" s="54">
        <v>2</v>
      </c>
      <c r="K55" s="54">
        <v>0</v>
      </c>
      <c r="L55" s="54">
        <v>1</v>
      </c>
      <c r="M55" s="54">
        <v>0</v>
      </c>
      <c r="N55" s="54">
        <v>1</v>
      </c>
      <c r="O55" s="54">
        <v>2</v>
      </c>
      <c r="P55" s="54">
        <v>0</v>
      </c>
      <c r="Q55" s="54">
        <v>0</v>
      </c>
      <c r="R55" s="54">
        <v>1</v>
      </c>
      <c r="S55" s="54">
        <v>0</v>
      </c>
      <c r="T55" s="54">
        <v>0</v>
      </c>
      <c r="U55" s="54">
        <v>2</v>
      </c>
      <c r="V55" s="54">
        <v>1</v>
      </c>
      <c r="W55" s="54" t="s">
        <v>313</v>
      </c>
      <c r="X55" s="56" t="s">
        <v>313</v>
      </c>
      <c r="Y55" s="56" t="s">
        <v>313</v>
      </c>
      <c r="Z55" s="56" t="s">
        <v>313</v>
      </c>
      <c r="AA55" s="56" t="s">
        <v>313</v>
      </c>
    </row>
    <row r="56" spans="1:27" ht="15.6">
      <c r="A56" s="53" t="s">
        <v>536</v>
      </c>
      <c r="B56" s="54" t="s">
        <v>537</v>
      </c>
      <c r="C56" s="54" t="s">
        <v>538</v>
      </c>
      <c r="D56" s="54" t="s">
        <v>539</v>
      </c>
      <c r="E56" s="54">
        <v>4102</v>
      </c>
      <c r="F56" s="54" t="s">
        <v>402</v>
      </c>
      <c r="G56" s="54" t="s">
        <v>371</v>
      </c>
      <c r="H56" s="54" t="s">
        <v>372</v>
      </c>
      <c r="I56" s="342">
        <v>67</v>
      </c>
      <c r="J56" s="54">
        <v>0</v>
      </c>
      <c r="K56" s="54">
        <v>0</v>
      </c>
      <c r="L56" s="54">
        <v>35</v>
      </c>
      <c r="M56" s="54">
        <v>27</v>
      </c>
      <c r="N56" s="54">
        <v>20</v>
      </c>
      <c r="O56" s="54">
        <v>18</v>
      </c>
      <c r="P56" s="54">
        <v>6</v>
      </c>
      <c r="Q56" s="54">
        <v>18</v>
      </c>
      <c r="R56" s="54">
        <v>20</v>
      </c>
      <c r="S56" s="54">
        <v>6</v>
      </c>
      <c r="T56" s="54">
        <v>3</v>
      </c>
      <c r="U56" s="54">
        <v>33</v>
      </c>
      <c r="V56" s="54">
        <v>28</v>
      </c>
      <c r="W56" s="54" t="s">
        <v>313</v>
      </c>
      <c r="X56" s="56" t="s">
        <v>353</v>
      </c>
      <c r="Y56" s="58">
        <v>45547</v>
      </c>
      <c r="Z56" s="56" t="s">
        <v>392</v>
      </c>
      <c r="AA56" s="56" t="s">
        <v>355</v>
      </c>
    </row>
    <row r="57" spans="1:27" ht="15.6">
      <c r="A57" s="53" t="s">
        <v>540</v>
      </c>
      <c r="B57" s="54" t="s">
        <v>541</v>
      </c>
      <c r="C57" s="54" t="s">
        <v>542</v>
      </c>
      <c r="D57" s="54" t="s">
        <v>543</v>
      </c>
      <c r="E57" s="54">
        <v>68731</v>
      </c>
      <c r="F57" s="54" t="s">
        <v>444</v>
      </c>
      <c r="G57" s="54" t="s">
        <v>371</v>
      </c>
      <c r="H57" s="54" t="s">
        <v>372</v>
      </c>
      <c r="I57" s="342">
        <v>19</v>
      </c>
      <c r="J57" s="54">
        <v>5</v>
      </c>
      <c r="K57" s="54">
        <v>7</v>
      </c>
      <c r="L57" s="54">
        <v>8</v>
      </c>
      <c r="M57" s="54">
        <v>2</v>
      </c>
      <c r="N57" s="54">
        <v>9</v>
      </c>
      <c r="O57" s="54">
        <v>10</v>
      </c>
      <c r="P57" s="54">
        <v>2</v>
      </c>
      <c r="Q57" s="54">
        <v>2</v>
      </c>
      <c r="R57" s="54">
        <v>7</v>
      </c>
      <c r="S57" s="54">
        <v>4</v>
      </c>
      <c r="T57" s="54">
        <v>6</v>
      </c>
      <c r="U57" s="54">
        <v>7</v>
      </c>
      <c r="V57" s="54">
        <v>12</v>
      </c>
      <c r="W57" s="54" t="s">
        <v>313</v>
      </c>
      <c r="X57" s="56" t="s">
        <v>382</v>
      </c>
      <c r="Y57" s="58">
        <v>45633</v>
      </c>
      <c r="Z57" s="56" t="s">
        <v>383</v>
      </c>
      <c r="AA57" s="56" t="s">
        <v>355</v>
      </c>
    </row>
    <row r="58" spans="1:27" ht="31.2">
      <c r="A58" s="53" t="s">
        <v>544</v>
      </c>
      <c r="B58" s="54" t="s">
        <v>545</v>
      </c>
      <c r="C58" s="54" t="s">
        <v>546</v>
      </c>
      <c r="D58" s="54" t="s">
        <v>407</v>
      </c>
      <c r="E58" s="54">
        <v>75202</v>
      </c>
      <c r="F58" s="54" t="s">
        <v>408</v>
      </c>
      <c r="G58" s="54" t="s">
        <v>371</v>
      </c>
      <c r="H58" s="54" t="s">
        <v>372</v>
      </c>
      <c r="I58" s="342">
        <v>1</v>
      </c>
      <c r="J58" s="54">
        <v>1</v>
      </c>
      <c r="K58" s="54">
        <v>0</v>
      </c>
      <c r="L58" s="54">
        <v>0</v>
      </c>
      <c r="M58" s="54">
        <v>0</v>
      </c>
      <c r="N58" s="54">
        <v>0</v>
      </c>
      <c r="O58" s="54">
        <v>1</v>
      </c>
      <c r="P58" s="54">
        <v>0</v>
      </c>
      <c r="Q58" s="54">
        <v>0</v>
      </c>
      <c r="R58" s="54">
        <v>0</v>
      </c>
      <c r="S58" s="54">
        <v>0</v>
      </c>
      <c r="T58" s="54">
        <v>0</v>
      </c>
      <c r="U58" s="54">
        <v>1</v>
      </c>
      <c r="V58" s="54">
        <v>0</v>
      </c>
      <c r="W58" s="54" t="s">
        <v>313</v>
      </c>
      <c r="X58" s="56" t="s">
        <v>353</v>
      </c>
      <c r="Y58" s="58">
        <v>45491</v>
      </c>
      <c r="Z58" s="56" t="s">
        <v>392</v>
      </c>
      <c r="AA58" s="56" t="s">
        <v>355</v>
      </c>
    </row>
    <row r="59" spans="1:27" ht="15.6">
      <c r="A59" s="53" t="s">
        <v>547</v>
      </c>
      <c r="B59" s="54" t="s">
        <v>548</v>
      </c>
      <c r="C59" s="54" t="s">
        <v>549</v>
      </c>
      <c r="D59" s="54" t="s">
        <v>412</v>
      </c>
      <c r="E59" s="54">
        <v>42303</v>
      </c>
      <c r="F59" s="54" t="s">
        <v>413</v>
      </c>
      <c r="G59" s="54" t="s">
        <v>371</v>
      </c>
      <c r="H59" s="54" t="s">
        <v>313</v>
      </c>
      <c r="I59" s="342">
        <v>23</v>
      </c>
      <c r="J59" s="54">
        <v>5</v>
      </c>
      <c r="K59" s="54">
        <v>3</v>
      </c>
      <c r="L59" s="54">
        <v>5</v>
      </c>
      <c r="M59" s="54">
        <v>3</v>
      </c>
      <c r="N59" s="54">
        <v>4</v>
      </c>
      <c r="O59" s="54">
        <v>11</v>
      </c>
      <c r="P59" s="54">
        <v>0</v>
      </c>
      <c r="Q59" s="54">
        <v>0</v>
      </c>
      <c r="R59" s="54">
        <v>2</v>
      </c>
      <c r="S59" s="54">
        <v>3</v>
      </c>
      <c r="T59" s="54">
        <v>5</v>
      </c>
      <c r="U59" s="54">
        <v>6</v>
      </c>
      <c r="V59" s="54">
        <v>10</v>
      </c>
      <c r="W59" s="54" t="s">
        <v>313</v>
      </c>
      <c r="X59" s="56" t="s">
        <v>313</v>
      </c>
      <c r="Y59" s="56" t="s">
        <v>313</v>
      </c>
      <c r="Z59" s="56" t="s">
        <v>313</v>
      </c>
      <c r="AA59" s="56" t="s">
        <v>313</v>
      </c>
    </row>
    <row r="60" spans="1:27" ht="15.6">
      <c r="A60" s="53" t="s">
        <v>550</v>
      </c>
      <c r="B60" s="54" t="s">
        <v>551</v>
      </c>
      <c r="C60" s="54" t="s">
        <v>552</v>
      </c>
      <c r="D60" s="54" t="s">
        <v>553</v>
      </c>
      <c r="E60" s="54">
        <v>84025</v>
      </c>
      <c r="F60" s="54" t="s">
        <v>473</v>
      </c>
      <c r="G60" s="54" t="s">
        <v>376</v>
      </c>
      <c r="H60" s="54" t="s">
        <v>372</v>
      </c>
      <c r="I60" s="342">
        <v>3</v>
      </c>
      <c r="J60" s="54">
        <v>1</v>
      </c>
      <c r="K60" s="54">
        <v>3</v>
      </c>
      <c r="L60" s="54">
        <v>1</v>
      </c>
      <c r="M60" s="54">
        <v>0</v>
      </c>
      <c r="N60" s="54">
        <v>1</v>
      </c>
      <c r="O60" s="54">
        <v>2</v>
      </c>
      <c r="P60" s="54">
        <v>0</v>
      </c>
      <c r="Q60" s="54">
        <v>0</v>
      </c>
      <c r="R60" s="54">
        <v>1</v>
      </c>
      <c r="S60" s="54">
        <v>1</v>
      </c>
      <c r="T60" s="54">
        <v>1</v>
      </c>
      <c r="U60" s="54">
        <v>1</v>
      </c>
      <c r="V60" s="54">
        <v>3</v>
      </c>
      <c r="W60" s="54" t="s">
        <v>313</v>
      </c>
      <c r="X60" s="56" t="s">
        <v>313</v>
      </c>
      <c r="Y60" s="56" t="s">
        <v>313</v>
      </c>
      <c r="Z60" s="56" t="s">
        <v>313</v>
      </c>
      <c r="AA60" s="56" t="s">
        <v>313</v>
      </c>
    </row>
    <row r="61" spans="1:27" ht="15.6">
      <c r="A61" s="53" t="s">
        <v>554</v>
      </c>
      <c r="B61" s="54" t="s">
        <v>555</v>
      </c>
      <c r="C61" s="54" t="s">
        <v>556</v>
      </c>
      <c r="D61" s="54" t="s">
        <v>557</v>
      </c>
      <c r="E61" s="54">
        <v>7105</v>
      </c>
      <c r="F61" s="54" t="s">
        <v>558</v>
      </c>
      <c r="G61" s="54" t="s">
        <v>360</v>
      </c>
      <c r="H61" s="54" t="s">
        <v>372</v>
      </c>
      <c r="I61" s="342">
        <v>20</v>
      </c>
      <c r="J61" s="54">
        <v>734</v>
      </c>
      <c r="K61" s="54">
        <v>119</v>
      </c>
      <c r="L61" s="54">
        <v>2</v>
      </c>
      <c r="M61" s="54">
        <v>0</v>
      </c>
      <c r="N61" s="54">
        <v>71</v>
      </c>
      <c r="O61" s="54">
        <v>727</v>
      </c>
      <c r="P61" s="54">
        <v>3</v>
      </c>
      <c r="Q61" s="54">
        <v>54</v>
      </c>
      <c r="R61" s="54">
        <v>5</v>
      </c>
      <c r="S61" s="54">
        <v>27</v>
      </c>
      <c r="T61" s="54">
        <v>65</v>
      </c>
      <c r="U61" s="54">
        <v>758</v>
      </c>
      <c r="V61" s="54">
        <v>277</v>
      </c>
      <c r="W61" s="54">
        <v>700</v>
      </c>
      <c r="X61" s="56" t="s">
        <v>353</v>
      </c>
      <c r="Y61" s="58">
        <v>45897</v>
      </c>
      <c r="Z61" s="56" t="s">
        <v>392</v>
      </c>
      <c r="AA61" s="56" t="s">
        <v>355</v>
      </c>
    </row>
    <row r="62" spans="1:27" ht="15.6">
      <c r="A62" s="53" t="s">
        <v>169</v>
      </c>
      <c r="B62" s="54" t="s">
        <v>559</v>
      </c>
      <c r="C62" s="54" t="s">
        <v>560</v>
      </c>
      <c r="D62" s="54" t="s">
        <v>561</v>
      </c>
      <c r="E62" s="54">
        <v>80010</v>
      </c>
      <c r="F62" s="54" t="s">
        <v>562</v>
      </c>
      <c r="G62" s="54" t="s">
        <v>360</v>
      </c>
      <c r="H62" s="54" t="s">
        <v>372</v>
      </c>
      <c r="I62" s="342">
        <v>50</v>
      </c>
      <c r="J62" s="54">
        <v>432</v>
      </c>
      <c r="K62" s="54">
        <v>234</v>
      </c>
      <c r="L62" s="54">
        <v>291</v>
      </c>
      <c r="M62" s="54">
        <v>150</v>
      </c>
      <c r="N62" s="54">
        <v>316</v>
      </c>
      <c r="O62" s="54">
        <v>685</v>
      </c>
      <c r="P62" s="54">
        <v>28</v>
      </c>
      <c r="Q62" s="54">
        <v>78</v>
      </c>
      <c r="R62" s="54">
        <v>162</v>
      </c>
      <c r="S62" s="54">
        <v>86</v>
      </c>
      <c r="T62" s="54">
        <v>112</v>
      </c>
      <c r="U62" s="54">
        <v>747</v>
      </c>
      <c r="V62" s="54">
        <v>488</v>
      </c>
      <c r="W62" s="54">
        <v>600</v>
      </c>
      <c r="X62" s="56" t="s">
        <v>353</v>
      </c>
      <c r="Y62" s="58">
        <v>45701</v>
      </c>
      <c r="Z62" s="56" t="s">
        <v>354</v>
      </c>
      <c r="AA62" s="56" t="s">
        <v>355</v>
      </c>
    </row>
    <row r="63" spans="1:27" ht="15.6">
      <c r="A63" s="53" t="s">
        <v>563</v>
      </c>
      <c r="B63" s="54" t="s">
        <v>564</v>
      </c>
      <c r="C63" s="54" t="s">
        <v>565</v>
      </c>
      <c r="D63" s="54" t="s">
        <v>566</v>
      </c>
      <c r="E63" s="54">
        <v>96910</v>
      </c>
      <c r="F63" s="54" t="s">
        <v>456</v>
      </c>
      <c r="G63" s="54" t="s">
        <v>371</v>
      </c>
      <c r="H63" s="54" t="s">
        <v>352</v>
      </c>
      <c r="I63" s="342">
        <v>31</v>
      </c>
      <c r="J63" s="54">
        <v>1</v>
      </c>
      <c r="K63" s="54">
        <v>9</v>
      </c>
      <c r="L63" s="54">
        <v>5</v>
      </c>
      <c r="M63" s="54">
        <v>0</v>
      </c>
      <c r="N63" s="54">
        <v>4</v>
      </c>
      <c r="O63" s="54">
        <v>10</v>
      </c>
      <c r="P63" s="54">
        <v>0</v>
      </c>
      <c r="Q63" s="54">
        <v>1</v>
      </c>
      <c r="R63" s="54">
        <v>4</v>
      </c>
      <c r="S63" s="54">
        <v>0</v>
      </c>
      <c r="T63" s="54">
        <v>0</v>
      </c>
      <c r="U63" s="54">
        <v>11</v>
      </c>
      <c r="V63" s="54">
        <v>3</v>
      </c>
      <c r="W63" s="54" t="s">
        <v>313</v>
      </c>
      <c r="X63" s="56" t="s">
        <v>382</v>
      </c>
      <c r="Y63" s="58">
        <v>45758</v>
      </c>
      <c r="Z63" s="56" t="s">
        <v>383</v>
      </c>
      <c r="AA63" s="56" t="s">
        <v>355</v>
      </c>
    </row>
    <row r="64" spans="1:27" ht="15.6">
      <c r="A64" s="53" t="s">
        <v>567</v>
      </c>
      <c r="B64" s="54" t="s">
        <v>568</v>
      </c>
      <c r="C64" s="54" t="s">
        <v>357</v>
      </c>
      <c r="D64" s="54" t="s">
        <v>313</v>
      </c>
      <c r="E64" s="54">
        <v>92301</v>
      </c>
      <c r="F64" s="54" t="s">
        <v>359</v>
      </c>
      <c r="G64" s="54" t="s">
        <v>360</v>
      </c>
      <c r="H64" s="54" t="s">
        <v>352</v>
      </c>
      <c r="I64" s="342">
        <v>55</v>
      </c>
      <c r="J64" s="54">
        <v>320</v>
      </c>
      <c r="K64" s="54">
        <v>50</v>
      </c>
      <c r="L64" s="54">
        <v>24</v>
      </c>
      <c r="M64" s="54">
        <v>6</v>
      </c>
      <c r="N64" s="54">
        <v>47</v>
      </c>
      <c r="O64" s="54">
        <v>353</v>
      </c>
      <c r="P64" s="54">
        <v>0</v>
      </c>
      <c r="Q64" s="54">
        <v>0</v>
      </c>
      <c r="R64" s="54">
        <v>8</v>
      </c>
      <c r="S64" s="54">
        <v>16</v>
      </c>
      <c r="T64" s="54">
        <v>29</v>
      </c>
      <c r="U64" s="54">
        <v>346</v>
      </c>
      <c r="V64" s="54">
        <v>164</v>
      </c>
      <c r="W64" s="54">
        <v>480</v>
      </c>
      <c r="X64" s="56" t="s">
        <v>353</v>
      </c>
      <c r="Y64" s="58">
        <v>45715</v>
      </c>
      <c r="Z64" s="56" t="s">
        <v>354</v>
      </c>
      <c r="AA64" s="56" t="s">
        <v>355</v>
      </c>
    </row>
    <row r="65" spans="1:27" ht="15.6">
      <c r="A65" s="53" t="s">
        <v>569</v>
      </c>
      <c r="B65" s="54" t="s">
        <v>570</v>
      </c>
      <c r="C65" s="54" t="s">
        <v>571</v>
      </c>
      <c r="D65" s="54" t="s">
        <v>407</v>
      </c>
      <c r="E65" s="54">
        <v>78017</v>
      </c>
      <c r="F65" s="54" t="s">
        <v>572</v>
      </c>
      <c r="G65" s="54" t="s">
        <v>573</v>
      </c>
      <c r="H65" s="54" t="s">
        <v>372</v>
      </c>
      <c r="I65" s="342">
        <v>17</v>
      </c>
      <c r="J65" s="54">
        <v>530</v>
      </c>
      <c r="K65" s="54">
        <v>21</v>
      </c>
      <c r="L65" s="54">
        <v>1</v>
      </c>
      <c r="M65" s="54">
        <v>0</v>
      </c>
      <c r="N65" s="54">
        <v>2</v>
      </c>
      <c r="O65" s="54">
        <v>170</v>
      </c>
      <c r="P65" s="54">
        <v>5</v>
      </c>
      <c r="Q65" s="54">
        <v>375</v>
      </c>
      <c r="R65" s="54">
        <v>1</v>
      </c>
      <c r="S65" s="54">
        <v>3</v>
      </c>
      <c r="T65" s="54">
        <v>7</v>
      </c>
      <c r="U65" s="54">
        <v>541</v>
      </c>
      <c r="V65" s="54">
        <v>243</v>
      </c>
      <c r="W65" s="55">
        <v>2400</v>
      </c>
      <c r="X65" s="56" t="s">
        <v>353</v>
      </c>
      <c r="Y65" s="58">
        <v>45897</v>
      </c>
      <c r="Z65" s="56" t="s">
        <v>574</v>
      </c>
      <c r="AA65" s="56" t="s">
        <v>355</v>
      </c>
    </row>
    <row r="66" spans="1:27" ht="15.6">
      <c r="A66" s="53" t="s">
        <v>575</v>
      </c>
      <c r="B66" s="54" t="s">
        <v>576</v>
      </c>
      <c r="C66" s="54" t="s">
        <v>577</v>
      </c>
      <c r="D66" s="54" t="s">
        <v>578</v>
      </c>
      <c r="E66" s="54">
        <v>53039</v>
      </c>
      <c r="F66" s="54" t="s">
        <v>413</v>
      </c>
      <c r="G66" s="54" t="s">
        <v>371</v>
      </c>
      <c r="H66" s="54" t="s">
        <v>372</v>
      </c>
      <c r="I66" s="342">
        <v>23</v>
      </c>
      <c r="J66" s="54">
        <v>32</v>
      </c>
      <c r="K66" s="54">
        <v>6</v>
      </c>
      <c r="L66" s="54">
        <v>42</v>
      </c>
      <c r="M66" s="54">
        <v>17</v>
      </c>
      <c r="N66" s="54">
        <v>50</v>
      </c>
      <c r="O66" s="54">
        <v>46</v>
      </c>
      <c r="P66" s="54">
        <v>0</v>
      </c>
      <c r="Q66" s="54">
        <v>0</v>
      </c>
      <c r="R66" s="54">
        <v>21</v>
      </c>
      <c r="S66" s="54">
        <v>12</v>
      </c>
      <c r="T66" s="54">
        <v>20</v>
      </c>
      <c r="U66" s="54">
        <v>44</v>
      </c>
      <c r="V66" s="54">
        <v>49</v>
      </c>
      <c r="W66" s="54" t="s">
        <v>313</v>
      </c>
      <c r="X66" s="56" t="s">
        <v>353</v>
      </c>
      <c r="Y66" s="58">
        <v>45750</v>
      </c>
      <c r="Z66" s="56" t="s">
        <v>392</v>
      </c>
      <c r="AA66" s="56" t="s">
        <v>355</v>
      </c>
    </row>
    <row r="67" spans="1:27" ht="15.6">
      <c r="A67" s="53" t="s">
        <v>579</v>
      </c>
      <c r="B67" s="54" t="s">
        <v>580</v>
      </c>
      <c r="C67" s="54" t="s">
        <v>581</v>
      </c>
      <c r="D67" s="54" t="s">
        <v>489</v>
      </c>
      <c r="E67" s="54">
        <v>88004</v>
      </c>
      <c r="F67" s="54" t="s">
        <v>490</v>
      </c>
      <c r="G67" s="54" t="s">
        <v>371</v>
      </c>
      <c r="H67" s="54" t="s">
        <v>372</v>
      </c>
      <c r="I67" s="342">
        <v>1</v>
      </c>
      <c r="J67" s="54">
        <v>0</v>
      </c>
      <c r="K67" s="54">
        <v>0</v>
      </c>
      <c r="L67" s="54">
        <v>1</v>
      </c>
      <c r="M67" s="54">
        <v>0</v>
      </c>
      <c r="N67" s="54">
        <v>0</v>
      </c>
      <c r="O67" s="54">
        <v>0</v>
      </c>
      <c r="P67" s="54">
        <v>1</v>
      </c>
      <c r="Q67" s="54">
        <v>0</v>
      </c>
      <c r="R67" s="54">
        <v>0</v>
      </c>
      <c r="S67" s="54">
        <v>0</v>
      </c>
      <c r="T67" s="54">
        <v>0</v>
      </c>
      <c r="U67" s="54">
        <v>1</v>
      </c>
      <c r="V67" s="54">
        <v>0</v>
      </c>
      <c r="W67" s="54" t="s">
        <v>313</v>
      </c>
      <c r="X67" s="56"/>
      <c r="Y67" s="59" t="s">
        <v>582</v>
      </c>
      <c r="Z67" s="61" t="s">
        <v>426</v>
      </c>
      <c r="AA67" s="56" t="s">
        <v>313</v>
      </c>
    </row>
    <row r="68" spans="1:27" ht="15.6">
      <c r="A68" s="53" t="s">
        <v>583</v>
      </c>
      <c r="B68" s="54" t="s">
        <v>584</v>
      </c>
      <c r="C68" s="54" t="s">
        <v>585</v>
      </c>
      <c r="D68" s="54" t="s">
        <v>578</v>
      </c>
      <c r="E68" s="54">
        <v>54880</v>
      </c>
      <c r="F68" s="54" t="s">
        <v>444</v>
      </c>
      <c r="G68" s="54" t="s">
        <v>371</v>
      </c>
      <c r="H68" s="54" t="s">
        <v>372</v>
      </c>
      <c r="I68" s="342">
        <v>36</v>
      </c>
      <c r="J68" s="54">
        <v>12</v>
      </c>
      <c r="K68" s="54">
        <v>8</v>
      </c>
      <c r="L68" s="54">
        <v>2</v>
      </c>
      <c r="M68" s="54">
        <v>0</v>
      </c>
      <c r="N68" s="54">
        <v>3</v>
      </c>
      <c r="O68" s="54">
        <v>19</v>
      </c>
      <c r="P68" s="54">
        <v>0</v>
      </c>
      <c r="Q68" s="54">
        <v>1</v>
      </c>
      <c r="R68" s="54">
        <v>0</v>
      </c>
      <c r="S68" s="54">
        <v>1</v>
      </c>
      <c r="T68" s="54">
        <v>3</v>
      </c>
      <c r="U68" s="54">
        <v>18</v>
      </c>
      <c r="V68" s="54">
        <v>8</v>
      </c>
      <c r="W68" s="54" t="s">
        <v>313</v>
      </c>
      <c r="X68" s="56" t="s">
        <v>382</v>
      </c>
      <c r="Y68" s="58">
        <v>45698</v>
      </c>
      <c r="Z68" s="56" t="s">
        <v>383</v>
      </c>
      <c r="AA68" s="56" t="s">
        <v>355</v>
      </c>
    </row>
    <row r="69" spans="1:27" ht="15.6">
      <c r="A69" s="53" t="s">
        <v>586</v>
      </c>
      <c r="B69" s="54" t="s">
        <v>587</v>
      </c>
      <c r="C69" s="54" t="s">
        <v>588</v>
      </c>
      <c r="D69" s="54" t="s">
        <v>407</v>
      </c>
      <c r="E69" s="54">
        <v>78562</v>
      </c>
      <c r="F69" s="54" t="s">
        <v>424</v>
      </c>
      <c r="G69" s="54" t="s">
        <v>371</v>
      </c>
      <c r="H69" s="54" t="s">
        <v>372</v>
      </c>
      <c r="I69" s="342">
        <v>3</v>
      </c>
      <c r="J69" s="54">
        <v>1</v>
      </c>
      <c r="K69" s="54">
        <v>1</v>
      </c>
      <c r="L69" s="54">
        <v>1</v>
      </c>
      <c r="M69" s="54">
        <v>0</v>
      </c>
      <c r="N69" s="54">
        <v>2</v>
      </c>
      <c r="O69" s="54">
        <v>0</v>
      </c>
      <c r="P69" s="54">
        <v>0</v>
      </c>
      <c r="Q69" s="54">
        <v>0</v>
      </c>
      <c r="R69" s="54">
        <v>1</v>
      </c>
      <c r="S69" s="54">
        <v>1</v>
      </c>
      <c r="T69" s="54">
        <v>0</v>
      </c>
      <c r="U69" s="54">
        <v>0</v>
      </c>
      <c r="V69" s="54">
        <v>2</v>
      </c>
      <c r="W69" s="54" t="s">
        <v>313</v>
      </c>
      <c r="X69" s="56" t="s">
        <v>425</v>
      </c>
      <c r="Y69" s="58">
        <v>45799</v>
      </c>
      <c r="Z69" s="56" t="s">
        <v>392</v>
      </c>
      <c r="AA69" s="56" t="s">
        <v>355</v>
      </c>
    </row>
    <row r="70" spans="1:27" ht="15.6">
      <c r="A70" s="53" t="s">
        <v>589</v>
      </c>
      <c r="B70" s="54" t="s">
        <v>590</v>
      </c>
      <c r="C70" s="54" t="s">
        <v>591</v>
      </c>
      <c r="D70" s="54" t="s">
        <v>592</v>
      </c>
      <c r="E70" s="54">
        <v>25401</v>
      </c>
      <c r="F70" s="54" t="s">
        <v>461</v>
      </c>
      <c r="G70" s="54" t="s">
        <v>376</v>
      </c>
      <c r="H70" s="54" t="s">
        <v>372</v>
      </c>
      <c r="I70" s="342">
        <v>3</v>
      </c>
      <c r="J70" s="54">
        <v>9</v>
      </c>
      <c r="K70" s="54">
        <v>2</v>
      </c>
      <c r="L70" s="54">
        <v>0</v>
      </c>
      <c r="M70" s="54">
        <v>0</v>
      </c>
      <c r="N70" s="54">
        <v>1</v>
      </c>
      <c r="O70" s="54">
        <v>10</v>
      </c>
      <c r="P70" s="54">
        <v>0</v>
      </c>
      <c r="Q70" s="54">
        <v>0</v>
      </c>
      <c r="R70" s="54">
        <v>0</v>
      </c>
      <c r="S70" s="54">
        <v>0</v>
      </c>
      <c r="T70" s="54">
        <v>1</v>
      </c>
      <c r="U70" s="54">
        <v>10</v>
      </c>
      <c r="V70" s="54">
        <v>5</v>
      </c>
      <c r="W70" s="54" t="s">
        <v>313</v>
      </c>
      <c r="X70" s="56" t="s">
        <v>313</v>
      </c>
      <c r="Y70" s="56" t="s">
        <v>313</v>
      </c>
      <c r="Z70" s="56" t="s">
        <v>313</v>
      </c>
      <c r="AA70" s="56" t="s">
        <v>313</v>
      </c>
    </row>
    <row r="71" spans="1:27" ht="15.6">
      <c r="A71" s="53" t="s">
        <v>171</v>
      </c>
      <c r="B71" s="54" t="s">
        <v>593</v>
      </c>
      <c r="C71" s="54" t="s">
        <v>594</v>
      </c>
      <c r="D71" s="54" t="s">
        <v>407</v>
      </c>
      <c r="E71" s="54">
        <v>76837</v>
      </c>
      <c r="F71" s="54" t="s">
        <v>408</v>
      </c>
      <c r="G71" s="54" t="s">
        <v>371</v>
      </c>
      <c r="H71" s="54" t="s">
        <v>352</v>
      </c>
      <c r="I71" s="342">
        <v>26</v>
      </c>
      <c r="J71" s="54">
        <v>337</v>
      </c>
      <c r="K71" s="54">
        <v>58</v>
      </c>
      <c r="L71" s="54">
        <v>8</v>
      </c>
      <c r="M71" s="54">
        <v>1</v>
      </c>
      <c r="N71" s="54">
        <v>55</v>
      </c>
      <c r="O71" s="54">
        <v>349</v>
      </c>
      <c r="P71" s="54">
        <v>0</v>
      </c>
      <c r="Q71" s="54">
        <v>0</v>
      </c>
      <c r="R71" s="54">
        <v>11</v>
      </c>
      <c r="S71" s="54">
        <v>14</v>
      </c>
      <c r="T71" s="54">
        <v>35</v>
      </c>
      <c r="U71" s="54">
        <v>344</v>
      </c>
      <c r="V71" s="54">
        <v>218</v>
      </c>
      <c r="W71" s="54" t="s">
        <v>313</v>
      </c>
      <c r="X71" s="56" t="s">
        <v>353</v>
      </c>
      <c r="Y71" s="58">
        <v>45715</v>
      </c>
      <c r="Z71" s="56" t="s">
        <v>392</v>
      </c>
      <c r="AA71" s="56" t="s">
        <v>355</v>
      </c>
    </row>
    <row r="72" spans="1:27" ht="15.6">
      <c r="A72" s="53" t="s">
        <v>595</v>
      </c>
      <c r="B72" s="54" t="s">
        <v>596</v>
      </c>
      <c r="C72" s="54" t="s">
        <v>597</v>
      </c>
      <c r="D72" s="54" t="s">
        <v>407</v>
      </c>
      <c r="E72" s="54">
        <v>79901</v>
      </c>
      <c r="F72" s="54" t="s">
        <v>490</v>
      </c>
      <c r="G72" s="54" t="s">
        <v>376</v>
      </c>
      <c r="H72" s="54" t="s">
        <v>372</v>
      </c>
      <c r="I72" s="342">
        <v>0</v>
      </c>
      <c r="J72" s="54">
        <v>3</v>
      </c>
      <c r="K72" s="54">
        <v>0</v>
      </c>
      <c r="L72" s="54">
        <v>0</v>
      </c>
      <c r="M72" s="54">
        <v>0</v>
      </c>
      <c r="N72" s="54">
        <v>0</v>
      </c>
      <c r="O72" s="54">
        <v>3</v>
      </c>
      <c r="P72" s="54">
        <v>0</v>
      </c>
      <c r="Q72" s="54">
        <v>0</v>
      </c>
      <c r="R72" s="54">
        <v>0</v>
      </c>
      <c r="S72" s="54">
        <v>0</v>
      </c>
      <c r="T72" s="54">
        <v>0</v>
      </c>
      <c r="U72" s="54">
        <v>3</v>
      </c>
      <c r="V72" s="54">
        <v>0</v>
      </c>
      <c r="W72" s="54" t="s">
        <v>313</v>
      </c>
      <c r="X72" s="56" t="s">
        <v>313</v>
      </c>
      <c r="Y72" s="56" t="s">
        <v>313</v>
      </c>
      <c r="Z72" s="56" t="s">
        <v>313</v>
      </c>
      <c r="AA72" s="56" t="s">
        <v>313</v>
      </c>
    </row>
    <row r="73" spans="1:27" ht="15.6">
      <c r="A73" s="53" t="s">
        <v>598</v>
      </c>
      <c r="B73" s="54" t="s">
        <v>599</v>
      </c>
      <c r="C73" s="54" t="s">
        <v>597</v>
      </c>
      <c r="D73" s="54" t="s">
        <v>407</v>
      </c>
      <c r="E73" s="54">
        <v>79925</v>
      </c>
      <c r="F73" s="54" t="s">
        <v>490</v>
      </c>
      <c r="G73" s="54" t="s">
        <v>439</v>
      </c>
      <c r="H73" s="54" t="s">
        <v>372</v>
      </c>
      <c r="I73" s="342">
        <v>36</v>
      </c>
      <c r="J73" s="54">
        <v>402</v>
      </c>
      <c r="K73" s="54">
        <v>160</v>
      </c>
      <c r="L73" s="54">
        <v>156</v>
      </c>
      <c r="M73" s="54">
        <v>99</v>
      </c>
      <c r="N73" s="54">
        <v>218</v>
      </c>
      <c r="O73" s="54">
        <v>373</v>
      </c>
      <c r="P73" s="54">
        <v>57</v>
      </c>
      <c r="Q73" s="54">
        <v>168</v>
      </c>
      <c r="R73" s="54">
        <v>123</v>
      </c>
      <c r="S73" s="54">
        <v>60</v>
      </c>
      <c r="T73" s="54">
        <v>105</v>
      </c>
      <c r="U73" s="54">
        <v>529</v>
      </c>
      <c r="V73" s="54">
        <v>351</v>
      </c>
      <c r="W73" s="54">
        <v>450</v>
      </c>
      <c r="X73" s="56" t="s">
        <v>353</v>
      </c>
      <c r="Y73" s="58">
        <v>45701</v>
      </c>
      <c r="Z73" s="56" t="s">
        <v>354</v>
      </c>
      <c r="AA73" s="56" t="s">
        <v>355</v>
      </c>
    </row>
    <row r="74" spans="1:27" ht="15.6">
      <c r="A74" s="53" t="s">
        <v>600</v>
      </c>
      <c r="B74" s="54" t="s">
        <v>601</v>
      </c>
      <c r="C74" s="54" t="s">
        <v>602</v>
      </c>
      <c r="D74" s="54" t="s">
        <v>407</v>
      </c>
      <c r="E74" s="54">
        <v>78580</v>
      </c>
      <c r="F74" s="54" t="s">
        <v>424</v>
      </c>
      <c r="G74" s="54" t="s">
        <v>351</v>
      </c>
      <c r="H74" s="54" t="s">
        <v>372</v>
      </c>
      <c r="I74" s="342">
        <v>41</v>
      </c>
      <c r="J74" s="54">
        <v>701</v>
      </c>
      <c r="K74" s="54">
        <v>79</v>
      </c>
      <c r="L74" s="54">
        <v>77</v>
      </c>
      <c r="M74" s="54">
        <v>53</v>
      </c>
      <c r="N74" s="54">
        <v>135</v>
      </c>
      <c r="O74" s="54">
        <v>398</v>
      </c>
      <c r="P74" s="54">
        <v>27</v>
      </c>
      <c r="Q74" s="54">
        <v>350</v>
      </c>
      <c r="R74" s="54">
        <v>86</v>
      </c>
      <c r="S74" s="54">
        <v>46</v>
      </c>
      <c r="T74" s="54">
        <v>58</v>
      </c>
      <c r="U74" s="54">
        <v>720</v>
      </c>
      <c r="V74" s="54">
        <v>483</v>
      </c>
      <c r="W74" s="54">
        <v>600</v>
      </c>
      <c r="X74" s="56" t="s">
        <v>353</v>
      </c>
      <c r="Y74" s="58">
        <v>45722</v>
      </c>
      <c r="Z74" s="56" t="s">
        <v>354</v>
      </c>
      <c r="AA74" s="56" t="s">
        <v>355</v>
      </c>
    </row>
    <row r="75" spans="1:27" ht="15.6">
      <c r="A75" s="53" t="s">
        <v>603</v>
      </c>
      <c r="B75" s="54" t="s">
        <v>604</v>
      </c>
      <c r="C75" s="54" t="s">
        <v>605</v>
      </c>
      <c r="D75" s="54" t="s">
        <v>557</v>
      </c>
      <c r="E75" s="54">
        <v>7201</v>
      </c>
      <c r="F75" s="54" t="s">
        <v>558</v>
      </c>
      <c r="G75" s="54" t="s">
        <v>360</v>
      </c>
      <c r="H75" s="54" t="s">
        <v>372</v>
      </c>
      <c r="I75" s="342">
        <v>12</v>
      </c>
      <c r="J75" s="54">
        <v>172</v>
      </c>
      <c r="K75" s="54">
        <v>47</v>
      </c>
      <c r="L75" s="54">
        <v>45</v>
      </c>
      <c r="M75" s="54">
        <v>29</v>
      </c>
      <c r="N75" s="54">
        <v>47</v>
      </c>
      <c r="O75" s="54">
        <v>220</v>
      </c>
      <c r="P75" s="54">
        <v>3</v>
      </c>
      <c r="Q75" s="54">
        <v>23</v>
      </c>
      <c r="R75" s="54">
        <v>26</v>
      </c>
      <c r="S75" s="54">
        <v>15</v>
      </c>
      <c r="T75" s="54">
        <v>19</v>
      </c>
      <c r="U75" s="54">
        <v>232</v>
      </c>
      <c r="V75" s="54">
        <v>137</v>
      </c>
      <c r="W75" s="54">
        <v>285</v>
      </c>
      <c r="X75" s="56" t="s">
        <v>353</v>
      </c>
      <c r="Y75" s="58">
        <v>45631</v>
      </c>
      <c r="Z75" s="56" t="s">
        <v>354</v>
      </c>
      <c r="AA75" s="56" t="s">
        <v>355</v>
      </c>
    </row>
    <row r="76" spans="1:27" ht="15.6">
      <c r="A76" s="53" t="s">
        <v>606</v>
      </c>
      <c r="B76" s="54" t="s">
        <v>607</v>
      </c>
      <c r="C76" s="54" t="s">
        <v>608</v>
      </c>
      <c r="D76" s="54" t="s">
        <v>609</v>
      </c>
      <c r="E76" s="54">
        <v>83647</v>
      </c>
      <c r="F76" s="54" t="s">
        <v>473</v>
      </c>
      <c r="G76" s="54" t="s">
        <v>371</v>
      </c>
      <c r="H76" s="54" t="s">
        <v>372</v>
      </c>
      <c r="I76" s="342">
        <v>4</v>
      </c>
      <c r="J76" s="54">
        <v>4</v>
      </c>
      <c r="K76" s="54">
        <v>4</v>
      </c>
      <c r="L76" s="54">
        <v>2</v>
      </c>
      <c r="M76" s="54">
        <v>0</v>
      </c>
      <c r="N76" s="54">
        <v>3</v>
      </c>
      <c r="O76" s="54">
        <v>7</v>
      </c>
      <c r="P76" s="54">
        <v>0</v>
      </c>
      <c r="Q76" s="54">
        <v>1</v>
      </c>
      <c r="R76" s="54">
        <v>1</v>
      </c>
      <c r="S76" s="54">
        <v>2</v>
      </c>
      <c r="T76" s="54">
        <v>2</v>
      </c>
      <c r="U76" s="54">
        <v>5</v>
      </c>
      <c r="V76" s="54">
        <v>4</v>
      </c>
      <c r="W76" s="54" t="s">
        <v>313</v>
      </c>
      <c r="X76" s="56" t="s">
        <v>353</v>
      </c>
      <c r="Y76" s="58">
        <v>45889</v>
      </c>
      <c r="Z76" s="56" t="s">
        <v>426</v>
      </c>
      <c r="AA76" s="56" t="s">
        <v>355</v>
      </c>
    </row>
    <row r="77" spans="1:27" ht="15.6">
      <c r="A77" s="53" t="s">
        <v>610</v>
      </c>
      <c r="B77" s="54" t="s">
        <v>611</v>
      </c>
      <c r="C77" s="54" t="s">
        <v>612</v>
      </c>
      <c r="D77" s="54" t="s">
        <v>476</v>
      </c>
      <c r="E77" s="54">
        <v>85131</v>
      </c>
      <c r="F77" s="54" t="s">
        <v>477</v>
      </c>
      <c r="G77" s="54" t="s">
        <v>351</v>
      </c>
      <c r="H77" s="54" t="s">
        <v>372</v>
      </c>
      <c r="I77" s="342">
        <v>67</v>
      </c>
      <c r="J77" s="54">
        <v>822</v>
      </c>
      <c r="K77" s="54">
        <v>148</v>
      </c>
      <c r="L77" s="54">
        <v>200</v>
      </c>
      <c r="M77" s="54">
        <v>147</v>
      </c>
      <c r="N77" s="54">
        <v>211</v>
      </c>
      <c r="O77" s="54">
        <v>583</v>
      </c>
      <c r="P77" s="54">
        <v>94</v>
      </c>
      <c r="Q77" s="54">
        <v>428</v>
      </c>
      <c r="R77" s="54">
        <v>139</v>
      </c>
      <c r="S77" s="54">
        <v>82</v>
      </c>
      <c r="T77" s="54">
        <v>115</v>
      </c>
      <c r="U77" s="54">
        <v>980</v>
      </c>
      <c r="V77" s="54">
        <v>586</v>
      </c>
      <c r="W77" s="54">
        <v>900</v>
      </c>
      <c r="X77" s="56" t="s">
        <v>353</v>
      </c>
      <c r="Y77" s="58">
        <v>45596</v>
      </c>
      <c r="Z77" s="56" t="s">
        <v>354</v>
      </c>
      <c r="AA77" s="56" t="s">
        <v>355</v>
      </c>
    </row>
    <row r="78" spans="1:27" ht="15.6">
      <c r="A78" s="53" t="s">
        <v>613</v>
      </c>
      <c r="B78" s="54" t="s">
        <v>614</v>
      </c>
      <c r="C78" s="54" t="s">
        <v>615</v>
      </c>
      <c r="D78" s="54" t="s">
        <v>460</v>
      </c>
      <c r="E78" s="54">
        <v>16503</v>
      </c>
      <c r="F78" s="54" t="s">
        <v>461</v>
      </c>
      <c r="G78" s="54" t="s">
        <v>371</v>
      </c>
      <c r="H78" s="54" t="s">
        <v>352</v>
      </c>
      <c r="I78" s="342">
        <v>9</v>
      </c>
      <c r="J78" s="54">
        <v>5</v>
      </c>
      <c r="K78" s="54">
        <v>6</v>
      </c>
      <c r="L78" s="54">
        <v>0</v>
      </c>
      <c r="M78" s="54">
        <v>0</v>
      </c>
      <c r="N78" s="54">
        <v>0</v>
      </c>
      <c r="O78" s="54">
        <v>11</v>
      </c>
      <c r="P78" s="54">
        <v>0</v>
      </c>
      <c r="Q78" s="54">
        <v>0</v>
      </c>
      <c r="R78" s="54">
        <v>0</v>
      </c>
      <c r="S78" s="54">
        <v>0</v>
      </c>
      <c r="T78" s="54">
        <v>1</v>
      </c>
      <c r="U78" s="54">
        <v>11</v>
      </c>
      <c r="V78" s="54">
        <v>7</v>
      </c>
      <c r="W78" s="54" t="s">
        <v>313</v>
      </c>
      <c r="X78" s="56" t="s">
        <v>382</v>
      </c>
      <c r="Y78" s="58">
        <v>45371</v>
      </c>
      <c r="Z78" s="56" t="s">
        <v>383</v>
      </c>
      <c r="AA78" s="56" t="s">
        <v>355</v>
      </c>
    </row>
    <row r="79" spans="1:27" ht="15.6">
      <c r="A79" s="53" t="s">
        <v>177</v>
      </c>
      <c r="B79" s="54" t="s">
        <v>616</v>
      </c>
      <c r="C79" s="54" t="s">
        <v>597</v>
      </c>
      <c r="D79" s="54" t="s">
        <v>407</v>
      </c>
      <c r="E79" s="54">
        <v>79936</v>
      </c>
      <c r="F79" s="54" t="s">
        <v>490</v>
      </c>
      <c r="G79" s="54" t="s">
        <v>360</v>
      </c>
      <c r="H79" s="54" t="s">
        <v>372</v>
      </c>
      <c r="I79" s="342">
        <v>7</v>
      </c>
      <c r="J79" s="55">
        <v>1782</v>
      </c>
      <c r="K79" s="54">
        <v>414</v>
      </c>
      <c r="L79" s="54">
        <v>401</v>
      </c>
      <c r="M79" s="54">
        <v>177</v>
      </c>
      <c r="N79" s="54">
        <v>509</v>
      </c>
      <c r="O79" s="55">
        <v>2026</v>
      </c>
      <c r="P79" s="54">
        <v>26</v>
      </c>
      <c r="Q79" s="54">
        <v>212</v>
      </c>
      <c r="R79" s="54">
        <v>217</v>
      </c>
      <c r="S79" s="54">
        <v>137</v>
      </c>
      <c r="T79" s="54">
        <v>225</v>
      </c>
      <c r="U79" s="55">
        <v>2194</v>
      </c>
      <c r="V79" s="55">
        <v>1245</v>
      </c>
      <c r="W79" s="54" t="s">
        <v>313</v>
      </c>
      <c r="X79" s="56" t="s">
        <v>313</v>
      </c>
      <c r="Y79" s="56" t="s">
        <v>313</v>
      </c>
      <c r="Z79" s="56" t="s">
        <v>313</v>
      </c>
      <c r="AA79" s="56" t="s">
        <v>313</v>
      </c>
    </row>
    <row r="80" spans="1:27" ht="15.6">
      <c r="A80" s="53" t="s">
        <v>617</v>
      </c>
      <c r="B80" s="54" t="s">
        <v>618</v>
      </c>
      <c r="C80" s="54" t="s">
        <v>619</v>
      </c>
      <c r="D80" s="54" t="s">
        <v>396</v>
      </c>
      <c r="E80" s="54">
        <v>35901</v>
      </c>
      <c r="F80" s="54" t="s">
        <v>350</v>
      </c>
      <c r="G80" s="54" t="s">
        <v>371</v>
      </c>
      <c r="H80" s="54" t="s">
        <v>352</v>
      </c>
      <c r="I80" s="342">
        <v>4</v>
      </c>
      <c r="J80" s="54">
        <v>47</v>
      </c>
      <c r="K80" s="54">
        <v>14</v>
      </c>
      <c r="L80" s="54">
        <v>13</v>
      </c>
      <c r="M80" s="54">
        <v>6</v>
      </c>
      <c r="N80" s="54">
        <v>13</v>
      </c>
      <c r="O80" s="54">
        <v>53</v>
      </c>
      <c r="P80" s="54">
        <v>2</v>
      </c>
      <c r="Q80" s="54">
        <v>12</v>
      </c>
      <c r="R80" s="54">
        <v>8</v>
      </c>
      <c r="S80" s="54">
        <v>6</v>
      </c>
      <c r="T80" s="54">
        <v>7</v>
      </c>
      <c r="U80" s="54">
        <v>59</v>
      </c>
      <c r="V80" s="54">
        <v>31</v>
      </c>
      <c r="W80" s="54" t="s">
        <v>313</v>
      </c>
      <c r="X80" s="56" t="s">
        <v>353</v>
      </c>
      <c r="Y80" s="58">
        <v>45699</v>
      </c>
      <c r="Z80" s="56" t="s">
        <v>620</v>
      </c>
      <c r="AA80" s="56" t="s">
        <v>355</v>
      </c>
    </row>
    <row r="81" spans="1:27" ht="15.6">
      <c r="A81" s="53" t="s">
        <v>621</v>
      </c>
      <c r="B81" s="54" t="s">
        <v>622</v>
      </c>
      <c r="C81" s="54" t="s">
        <v>623</v>
      </c>
      <c r="D81" s="54" t="s">
        <v>467</v>
      </c>
      <c r="E81" s="54">
        <v>23901</v>
      </c>
      <c r="F81" s="54" t="s">
        <v>468</v>
      </c>
      <c r="G81" s="54" t="s">
        <v>351</v>
      </c>
      <c r="H81" s="54" t="s">
        <v>352</v>
      </c>
      <c r="I81" s="342">
        <v>42</v>
      </c>
      <c r="J81" s="54">
        <v>258</v>
      </c>
      <c r="K81" s="54">
        <v>250</v>
      </c>
      <c r="L81" s="54">
        <v>134</v>
      </c>
      <c r="M81" s="54">
        <v>70</v>
      </c>
      <c r="N81" s="54">
        <v>177</v>
      </c>
      <c r="O81" s="54">
        <v>536</v>
      </c>
      <c r="P81" s="54">
        <v>0</v>
      </c>
      <c r="Q81" s="54">
        <v>0</v>
      </c>
      <c r="R81" s="54">
        <v>93</v>
      </c>
      <c r="S81" s="54">
        <v>45</v>
      </c>
      <c r="T81" s="54">
        <v>66</v>
      </c>
      <c r="U81" s="54">
        <v>509</v>
      </c>
      <c r="V81" s="54">
        <v>260</v>
      </c>
      <c r="W81" s="54">
        <v>459</v>
      </c>
      <c r="X81" s="56" t="s">
        <v>353</v>
      </c>
      <c r="Y81" s="58">
        <v>45645</v>
      </c>
      <c r="Z81" s="56" t="s">
        <v>354</v>
      </c>
      <c r="AA81" s="56" t="s">
        <v>355</v>
      </c>
    </row>
    <row r="82" spans="1:27" ht="15.6">
      <c r="A82" s="53" t="s">
        <v>624</v>
      </c>
      <c r="B82" s="54" t="s">
        <v>625</v>
      </c>
      <c r="C82" s="54" t="s">
        <v>626</v>
      </c>
      <c r="D82" s="54" t="s">
        <v>412</v>
      </c>
      <c r="E82" s="54">
        <v>40510</v>
      </c>
      <c r="F82" s="54" t="s">
        <v>413</v>
      </c>
      <c r="G82" s="54" t="s">
        <v>371</v>
      </c>
      <c r="H82" s="54" t="s">
        <v>372</v>
      </c>
      <c r="I82" s="342">
        <v>2</v>
      </c>
      <c r="J82" s="54">
        <v>0</v>
      </c>
      <c r="K82" s="54">
        <v>1</v>
      </c>
      <c r="L82" s="54">
        <v>1</v>
      </c>
      <c r="M82" s="54">
        <v>1</v>
      </c>
      <c r="N82" s="54">
        <v>1</v>
      </c>
      <c r="O82" s="54">
        <v>1</v>
      </c>
      <c r="P82" s="54">
        <v>0</v>
      </c>
      <c r="Q82" s="54">
        <v>0</v>
      </c>
      <c r="R82" s="54">
        <v>1</v>
      </c>
      <c r="S82" s="54">
        <v>0</v>
      </c>
      <c r="T82" s="54">
        <v>0</v>
      </c>
      <c r="U82" s="54">
        <v>1</v>
      </c>
      <c r="V82" s="54">
        <v>1</v>
      </c>
      <c r="W82" s="54" t="s">
        <v>313</v>
      </c>
      <c r="X82" s="56" t="s">
        <v>353</v>
      </c>
      <c r="Y82" s="58">
        <v>45547</v>
      </c>
      <c r="Z82" s="56" t="s">
        <v>392</v>
      </c>
      <c r="AA82" s="56" t="s">
        <v>355</v>
      </c>
    </row>
    <row r="83" spans="1:27" ht="15.6">
      <c r="A83" s="53" t="s">
        <v>627</v>
      </c>
      <c r="B83" s="54" t="s">
        <v>628</v>
      </c>
      <c r="C83" s="54" t="s">
        <v>629</v>
      </c>
      <c r="D83" s="54" t="s">
        <v>630</v>
      </c>
      <c r="E83" s="54">
        <v>30315</v>
      </c>
      <c r="F83" s="54" t="s">
        <v>631</v>
      </c>
      <c r="G83" s="54" t="s">
        <v>403</v>
      </c>
      <c r="H83" s="54" t="s">
        <v>372</v>
      </c>
      <c r="I83" s="342">
        <v>14</v>
      </c>
      <c r="J83" s="54">
        <v>50</v>
      </c>
      <c r="K83" s="54">
        <v>46</v>
      </c>
      <c r="L83" s="54">
        <v>13</v>
      </c>
      <c r="M83" s="54">
        <v>5</v>
      </c>
      <c r="N83" s="54">
        <v>45</v>
      </c>
      <c r="O83" s="54">
        <v>70</v>
      </c>
      <c r="P83" s="54">
        <v>0</v>
      </c>
      <c r="Q83" s="54">
        <v>0</v>
      </c>
      <c r="R83" s="54">
        <v>14</v>
      </c>
      <c r="S83" s="54">
        <v>18</v>
      </c>
      <c r="T83" s="54">
        <v>17</v>
      </c>
      <c r="U83" s="54">
        <v>67</v>
      </c>
      <c r="V83" s="54">
        <v>72</v>
      </c>
      <c r="W83" s="54" t="s">
        <v>313</v>
      </c>
      <c r="X83" s="56" t="s">
        <v>313</v>
      </c>
      <c r="Y83" s="56" t="s">
        <v>313</v>
      </c>
      <c r="Z83" s="56" t="s">
        <v>313</v>
      </c>
      <c r="AA83" s="56" t="s">
        <v>313</v>
      </c>
    </row>
    <row r="84" spans="1:27" ht="15.6">
      <c r="A84" s="53" t="s">
        <v>632</v>
      </c>
      <c r="B84" s="54" t="s">
        <v>633</v>
      </c>
      <c r="C84" s="54" t="s">
        <v>634</v>
      </c>
      <c r="D84" s="54" t="s">
        <v>460</v>
      </c>
      <c r="E84" s="54">
        <v>19106</v>
      </c>
      <c r="F84" s="54" t="s">
        <v>461</v>
      </c>
      <c r="G84" s="54" t="s">
        <v>403</v>
      </c>
      <c r="H84" s="54" t="s">
        <v>372</v>
      </c>
      <c r="I84" s="342">
        <v>7</v>
      </c>
      <c r="J84" s="54">
        <v>68</v>
      </c>
      <c r="K84" s="54">
        <v>16</v>
      </c>
      <c r="L84" s="54">
        <v>6</v>
      </c>
      <c r="M84" s="54">
        <v>4</v>
      </c>
      <c r="N84" s="54">
        <v>8</v>
      </c>
      <c r="O84" s="54">
        <v>86</v>
      </c>
      <c r="P84" s="54">
        <v>0</v>
      </c>
      <c r="Q84" s="54">
        <v>0</v>
      </c>
      <c r="R84" s="54">
        <v>5</v>
      </c>
      <c r="S84" s="54">
        <v>2</v>
      </c>
      <c r="T84" s="54">
        <v>4</v>
      </c>
      <c r="U84" s="54">
        <v>83</v>
      </c>
      <c r="V84" s="54">
        <v>32</v>
      </c>
      <c r="W84" s="54" t="s">
        <v>313</v>
      </c>
      <c r="X84" s="56" t="s">
        <v>313</v>
      </c>
      <c r="Y84" s="56" t="s">
        <v>313</v>
      </c>
      <c r="Z84" s="56" t="s">
        <v>313</v>
      </c>
      <c r="AA84" s="56" t="s">
        <v>313</v>
      </c>
    </row>
    <row r="85" spans="1:27" ht="15.6">
      <c r="A85" s="53" t="s">
        <v>635</v>
      </c>
      <c r="B85" s="54" t="s">
        <v>636</v>
      </c>
      <c r="C85" s="54" t="s">
        <v>637</v>
      </c>
      <c r="D85" s="54" t="s">
        <v>485</v>
      </c>
      <c r="E85" s="54">
        <v>67846</v>
      </c>
      <c r="F85" s="54" t="s">
        <v>413</v>
      </c>
      <c r="G85" s="54" t="s">
        <v>376</v>
      </c>
      <c r="H85" s="54" t="s">
        <v>372</v>
      </c>
      <c r="I85" s="342">
        <v>2</v>
      </c>
      <c r="J85" s="54">
        <v>1</v>
      </c>
      <c r="K85" s="54">
        <v>1</v>
      </c>
      <c r="L85" s="54">
        <v>0</v>
      </c>
      <c r="M85" s="54">
        <v>0</v>
      </c>
      <c r="N85" s="54">
        <v>1</v>
      </c>
      <c r="O85" s="54">
        <v>1</v>
      </c>
      <c r="P85" s="54">
        <v>0</v>
      </c>
      <c r="Q85" s="54">
        <v>0</v>
      </c>
      <c r="R85" s="54">
        <v>0</v>
      </c>
      <c r="S85" s="54">
        <v>0</v>
      </c>
      <c r="T85" s="54">
        <v>0</v>
      </c>
      <c r="U85" s="54">
        <v>1</v>
      </c>
      <c r="V85" s="54">
        <v>1</v>
      </c>
      <c r="W85" s="54" t="s">
        <v>313</v>
      </c>
      <c r="X85" s="56" t="s">
        <v>382</v>
      </c>
      <c r="Y85" s="58">
        <v>45317</v>
      </c>
      <c r="Z85" s="56" t="s">
        <v>383</v>
      </c>
      <c r="AA85" s="56" t="s">
        <v>355</v>
      </c>
    </row>
    <row r="86" spans="1:27" ht="15.6">
      <c r="A86" s="53" t="s">
        <v>638</v>
      </c>
      <c r="B86" s="54" t="s">
        <v>639</v>
      </c>
      <c r="C86" s="54" t="s">
        <v>475</v>
      </c>
      <c r="D86" s="54" t="s">
        <v>476</v>
      </c>
      <c r="E86" s="54">
        <v>85132</v>
      </c>
      <c r="F86" s="54" t="s">
        <v>477</v>
      </c>
      <c r="G86" s="54" t="s">
        <v>439</v>
      </c>
      <c r="H86" s="54" t="s">
        <v>372</v>
      </c>
      <c r="I86" s="342">
        <v>10</v>
      </c>
      <c r="J86" s="54">
        <v>253</v>
      </c>
      <c r="K86" s="54">
        <v>61</v>
      </c>
      <c r="L86" s="54">
        <v>4</v>
      </c>
      <c r="M86" s="54">
        <v>3</v>
      </c>
      <c r="N86" s="54">
        <v>60</v>
      </c>
      <c r="O86" s="54">
        <v>261</v>
      </c>
      <c r="P86" s="54">
        <v>0</v>
      </c>
      <c r="Q86" s="54">
        <v>1</v>
      </c>
      <c r="R86" s="54">
        <v>10</v>
      </c>
      <c r="S86" s="54">
        <v>10</v>
      </c>
      <c r="T86" s="54">
        <v>53</v>
      </c>
      <c r="U86" s="54">
        <v>249</v>
      </c>
      <c r="V86" s="54">
        <v>150</v>
      </c>
      <c r="W86" s="54">
        <v>392</v>
      </c>
      <c r="X86" s="56" t="s">
        <v>353</v>
      </c>
      <c r="Y86" s="58">
        <v>45701</v>
      </c>
      <c r="Z86" s="56" t="s">
        <v>354</v>
      </c>
      <c r="AA86" s="56" t="s">
        <v>355</v>
      </c>
    </row>
    <row r="87" spans="1:27" ht="15.6">
      <c r="A87" s="53" t="s">
        <v>640</v>
      </c>
      <c r="B87" s="54" t="s">
        <v>639</v>
      </c>
      <c r="C87" s="54" t="s">
        <v>475</v>
      </c>
      <c r="D87" s="54" t="s">
        <v>476</v>
      </c>
      <c r="E87" s="54">
        <v>85232</v>
      </c>
      <c r="F87" s="54" t="s">
        <v>477</v>
      </c>
      <c r="G87" s="54" t="s">
        <v>365</v>
      </c>
      <c r="H87" s="54" t="s">
        <v>352</v>
      </c>
      <c r="I87" s="342">
        <v>2</v>
      </c>
      <c r="J87" s="54">
        <v>119</v>
      </c>
      <c r="K87" s="54">
        <v>65</v>
      </c>
      <c r="L87" s="54">
        <v>51</v>
      </c>
      <c r="M87" s="54">
        <v>34</v>
      </c>
      <c r="N87" s="54">
        <v>82</v>
      </c>
      <c r="O87" s="54">
        <v>169</v>
      </c>
      <c r="P87" s="54">
        <v>3</v>
      </c>
      <c r="Q87" s="54">
        <v>16</v>
      </c>
      <c r="R87" s="54">
        <v>55</v>
      </c>
      <c r="S87" s="54">
        <v>23</v>
      </c>
      <c r="T87" s="54">
        <v>36</v>
      </c>
      <c r="U87" s="54">
        <v>156</v>
      </c>
      <c r="V87" s="54">
        <v>188</v>
      </c>
      <c r="W87" s="54" t="s">
        <v>313</v>
      </c>
      <c r="X87" s="56" t="s">
        <v>353</v>
      </c>
      <c r="Y87" s="58">
        <v>45456</v>
      </c>
      <c r="Z87" s="56" t="s">
        <v>354</v>
      </c>
      <c r="AA87" s="56" t="s">
        <v>355</v>
      </c>
    </row>
    <row r="88" spans="1:27" ht="15.6">
      <c r="A88" s="53" t="s">
        <v>641</v>
      </c>
      <c r="B88" s="54" t="s">
        <v>642</v>
      </c>
      <c r="C88" s="54" t="s">
        <v>643</v>
      </c>
      <c r="D88" s="54" t="s">
        <v>387</v>
      </c>
      <c r="E88" s="54">
        <v>34141</v>
      </c>
      <c r="F88" s="54" t="s">
        <v>388</v>
      </c>
      <c r="G88" s="54" t="s">
        <v>389</v>
      </c>
      <c r="H88" s="54" t="s">
        <v>352</v>
      </c>
      <c r="I88" s="342">
        <v>12</v>
      </c>
      <c r="J88" s="54">
        <v>651</v>
      </c>
      <c r="K88" s="54">
        <v>260</v>
      </c>
      <c r="L88" s="54">
        <v>133</v>
      </c>
      <c r="M88" s="54">
        <v>180</v>
      </c>
      <c r="N88" s="54">
        <v>297</v>
      </c>
      <c r="O88" s="54">
        <v>928</v>
      </c>
      <c r="P88" s="54">
        <v>0</v>
      </c>
      <c r="Q88" s="54">
        <v>0</v>
      </c>
      <c r="R88" s="54">
        <v>214</v>
      </c>
      <c r="S88" s="54">
        <v>51</v>
      </c>
      <c r="T88" s="54">
        <v>90</v>
      </c>
      <c r="U88" s="54">
        <v>870</v>
      </c>
      <c r="V88" s="54">
        <v>477</v>
      </c>
      <c r="W88" s="54" t="s">
        <v>313</v>
      </c>
      <c r="X88" s="56" t="s">
        <v>313</v>
      </c>
      <c r="Y88" s="56" t="s">
        <v>313</v>
      </c>
      <c r="Z88" s="56" t="s">
        <v>313</v>
      </c>
      <c r="AA88" s="56" t="s">
        <v>313</v>
      </c>
    </row>
    <row r="89" spans="1:27" ht="15.6">
      <c r="A89" s="53" t="s">
        <v>644</v>
      </c>
      <c r="B89" s="54" t="s">
        <v>645</v>
      </c>
      <c r="C89" s="54" t="s">
        <v>646</v>
      </c>
      <c r="D89" s="54" t="s">
        <v>630</v>
      </c>
      <c r="E89" s="54">
        <v>31537</v>
      </c>
      <c r="F89" s="54" t="s">
        <v>631</v>
      </c>
      <c r="G89" s="54" t="s">
        <v>351</v>
      </c>
      <c r="H89" s="54" t="s">
        <v>352</v>
      </c>
      <c r="I89" s="342">
        <v>41</v>
      </c>
      <c r="J89" s="54">
        <v>146</v>
      </c>
      <c r="K89" s="54">
        <v>40</v>
      </c>
      <c r="L89" s="54">
        <v>60</v>
      </c>
      <c r="M89" s="54">
        <v>33</v>
      </c>
      <c r="N89" s="54">
        <v>79</v>
      </c>
      <c r="O89" s="54">
        <v>200</v>
      </c>
      <c r="P89" s="54">
        <v>0</v>
      </c>
      <c r="Q89" s="54">
        <v>0</v>
      </c>
      <c r="R89" s="54">
        <v>38</v>
      </c>
      <c r="S89" s="54">
        <v>27</v>
      </c>
      <c r="T89" s="54">
        <v>20</v>
      </c>
      <c r="U89" s="54">
        <v>194</v>
      </c>
      <c r="V89" s="54">
        <v>111</v>
      </c>
      <c r="W89" s="54">
        <v>338</v>
      </c>
      <c r="X89" s="56" t="s">
        <v>353</v>
      </c>
      <c r="Y89" s="58">
        <v>45687</v>
      </c>
      <c r="Z89" s="56" t="s">
        <v>354</v>
      </c>
      <c r="AA89" s="56" t="s">
        <v>355</v>
      </c>
    </row>
    <row r="90" spans="1:27" ht="15.6">
      <c r="A90" s="53" t="s">
        <v>181</v>
      </c>
      <c r="B90" s="54" t="s">
        <v>647</v>
      </c>
      <c r="C90" s="54" t="s">
        <v>646</v>
      </c>
      <c r="D90" s="54" t="s">
        <v>630</v>
      </c>
      <c r="E90" s="54">
        <v>31537</v>
      </c>
      <c r="F90" s="54" t="s">
        <v>631</v>
      </c>
      <c r="G90" s="54" t="s">
        <v>351</v>
      </c>
      <c r="H90" s="54" t="s">
        <v>352</v>
      </c>
      <c r="I90" s="342">
        <v>31</v>
      </c>
      <c r="J90" s="54">
        <v>495</v>
      </c>
      <c r="K90" s="54">
        <v>144</v>
      </c>
      <c r="L90" s="54">
        <v>91</v>
      </c>
      <c r="M90" s="54">
        <v>45</v>
      </c>
      <c r="N90" s="54">
        <v>121</v>
      </c>
      <c r="O90" s="54">
        <v>654</v>
      </c>
      <c r="P90" s="54">
        <v>0</v>
      </c>
      <c r="Q90" s="54">
        <v>0</v>
      </c>
      <c r="R90" s="54">
        <v>34</v>
      </c>
      <c r="S90" s="54">
        <v>33</v>
      </c>
      <c r="T90" s="54">
        <v>72</v>
      </c>
      <c r="U90" s="54">
        <v>635</v>
      </c>
      <c r="V90" s="54">
        <v>308</v>
      </c>
      <c r="W90" s="55">
        <v>1308</v>
      </c>
      <c r="X90" s="56" t="s">
        <v>313</v>
      </c>
      <c r="Y90" s="56" t="s">
        <v>313</v>
      </c>
      <c r="Z90" s="56" t="s">
        <v>313</v>
      </c>
      <c r="AA90" s="56" t="s">
        <v>313</v>
      </c>
    </row>
    <row r="91" spans="1:27" ht="15.6">
      <c r="A91" s="53" t="s">
        <v>648</v>
      </c>
      <c r="B91" s="54" t="s">
        <v>649</v>
      </c>
      <c r="C91" s="54" t="s">
        <v>646</v>
      </c>
      <c r="D91" s="54" t="s">
        <v>630</v>
      </c>
      <c r="E91" s="54">
        <v>31537</v>
      </c>
      <c r="F91" s="54" t="s">
        <v>631</v>
      </c>
      <c r="G91" s="54" t="s">
        <v>351</v>
      </c>
      <c r="H91" s="54" t="s">
        <v>352</v>
      </c>
      <c r="I91" s="342">
        <v>32</v>
      </c>
      <c r="J91" s="54">
        <v>309</v>
      </c>
      <c r="K91" s="54">
        <v>174</v>
      </c>
      <c r="L91" s="54">
        <v>139</v>
      </c>
      <c r="M91" s="54">
        <v>53</v>
      </c>
      <c r="N91" s="54">
        <v>204</v>
      </c>
      <c r="O91" s="54">
        <v>471</v>
      </c>
      <c r="P91" s="54">
        <v>0</v>
      </c>
      <c r="Q91" s="54">
        <v>0</v>
      </c>
      <c r="R91" s="54">
        <v>75</v>
      </c>
      <c r="S91" s="54">
        <v>63</v>
      </c>
      <c r="T91" s="54">
        <v>83</v>
      </c>
      <c r="U91" s="54">
        <v>454</v>
      </c>
      <c r="V91" s="54">
        <v>279</v>
      </c>
      <c r="W91" s="54">
        <v>544</v>
      </c>
      <c r="X91" s="56" t="s">
        <v>353</v>
      </c>
      <c r="Y91" s="58">
        <v>44959</v>
      </c>
      <c r="Z91" s="56" t="s">
        <v>354</v>
      </c>
      <c r="AA91" s="56" t="s">
        <v>355</v>
      </c>
    </row>
    <row r="92" spans="1:27" ht="15.6">
      <c r="A92" s="53" t="s">
        <v>650</v>
      </c>
      <c r="B92" s="54" t="s">
        <v>651</v>
      </c>
      <c r="C92" s="54" t="s">
        <v>652</v>
      </c>
      <c r="D92" s="54" t="s">
        <v>460</v>
      </c>
      <c r="E92" s="54">
        <v>17201</v>
      </c>
      <c r="F92" s="54" t="s">
        <v>461</v>
      </c>
      <c r="G92" s="54" t="s">
        <v>371</v>
      </c>
      <c r="H92" s="54" t="s">
        <v>313</v>
      </c>
      <c r="I92" s="342">
        <v>2</v>
      </c>
      <c r="J92" s="54">
        <v>0</v>
      </c>
      <c r="K92" s="54">
        <v>1</v>
      </c>
      <c r="L92" s="54">
        <v>0</v>
      </c>
      <c r="M92" s="54">
        <v>0</v>
      </c>
      <c r="N92" s="54">
        <v>0</v>
      </c>
      <c r="O92" s="54">
        <v>1</v>
      </c>
      <c r="P92" s="54">
        <v>0</v>
      </c>
      <c r="Q92" s="54">
        <v>0</v>
      </c>
      <c r="R92" s="54">
        <v>0</v>
      </c>
      <c r="S92" s="54">
        <v>0</v>
      </c>
      <c r="T92" s="54">
        <v>0</v>
      </c>
      <c r="U92" s="54">
        <v>1</v>
      </c>
      <c r="V92" s="54">
        <v>0</v>
      </c>
      <c r="W92" s="54" t="s">
        <v>313</v>
      </c>
      <c r="X92" s="56" t="s">
        <v>313</v>
      </c>
      <c r="Y92" s="56" t="s">
        <v>313</v>
      </c>
      <c r="Z92" s="56" t="s">
        <v>313</v>
      </c>
      <c r="AA92" s="56" t="s">
        <v>313</v>
      </c>
    </row>
    <row r="93" spans="1:27" ht="15.6">
      <c r="A93" s="53" t="s">
        <v>653</v>
      </c>
      <c r="B93" s="54" t="s">
        <v>654</v>
      </c>
      <c r="C93" s="54" t="s">
        <v>655</v>
      </c>
      <c r="D93" s="54" t="s">
        <v>535</v>
      </c>
      <c r="E93" s="54">
        <v>56007</v>
      </c>
      <c r="F93" s="54" t="s">
        <v>444</v>
      </c>
      <c r="G93" s="54" t="s">
        <v>376</v>
      </c>
      <c r="H93" s="54" t="s">
        <v>352</v>
      </c>
      <c r="I93" s="342">
        <v>27</v>
      </c>
      <c r="J93" s="54">
        <v>21</v>
      </c>
      <c r="K93" s="54">
        <v>18</v>
      </c>
      <c r="L93" s="54">
        <v>28</v>
      </c>
      <c r="M93" s="54">
        <v>14</v>
      </c>
      <c r="N93" s="54">
        <v>39</v>
      </c>
      <c r="O93" s="54">
        <v>42</v>
      </c>
      <c r="P93" s="54">
        <v>0</v>
      </c>
      <c r="Q93" s="54">
        <v>0</v>
      </c>
      <c r="R93" s="54">
        <v>25</v>
      </c>
      <c r="S93" s="54">
        <v>7</v>
      </c>
      <c r="T93" s="54">
        <v>12</v>
      </c>
      <c r="U93" s="54">
        <v>37</v>
      </c>
      <c r="V93" s="54">
        <v>48</v>
      </c>
      <c r="W93" s="54" t="s">
        <v>313</v>
      </c>
      <c r="X93" s="56" t="s">
        <v>353</v>
      </c>
      <c r="Y93" s="58">
        <v>45722</v>
      </c>
      <c r="Z93" s="56" t="s">
        <v>392</v>
      </c>
      <c r="AA93" s="56" t="s">
        <v>355</v>
      </c>
    </row>
    <row r="94" spans="1:27" ht="15.6">
      <c r="A94" s="53" t="s">
        <v>656</v>
      </c>
      <c r="B94" s="54" t="s">
        <v>657</v>
      </c>
      <c r="C94" s="54" t="s">
        <v>658</v>
      </c>
      <c r="D94" s="54" t="s">
        <v>511</v>
      </c>
      <c r="E94" s="54">
        <v>46975</v>
      </c>
      <c r="F94" s="54" t="s">
        <v>413</v>
      </c>
      <c r="G94" s="54" t="s">
        <v>371</v>
      </c>
      <c r="H94" s="54" t="s">
        <v>372</v>
      </c>
      <c r="I94" s="342">
        <v>4</v>
      </c>
      <c r="J94" s="54">
        <v>1</v>
      </c>
      <c r="K94" s="54">
        <v>0</v>
      </c>
      <c r="L94" s="54">
        <v>1</v>
      </c>
      <c r="M94" s="54">
        <v>1</v>
      </c>
      <c r="N94" s="54">
        <v>2</v>
      </c>
      <c r="O94" s="54">
        <v>2</v>
      </c>
      <c r="P94" s="54">
        <v>0</v>
      </c>
      <c r="Q94" s="54">
        <v>0</v>
      </c>
      <c r="R94" s="54">
        <v>1</v>
      </c>
      <c r="S94" s="54">
        <v>0</v>
      </c>
      <c r="T94" s="54">
        <v>1</v>
      </c>
      <c r="U94" s="54">
        <v>2</v>
      </c>
      <c r="V94" s="54">
        <v>1</v>
      </c>
      <c r="W94" s="54" t="s">
        <v>313</v>
      </c>
      <c r="X94" s="56" t="s">
        <v>313</v>
      </c>
      <c r="Y94" s="56" t="s">
        <v>313</v>
      </c>
      <c r="Z94" s="56" t="s">
        <v>313</v>
      </c>
      <c r="AA94" s="56" t="s">
        <v>313</v>
      </c>
    </row>
    <row r="95" spans="1:27" ht="15.6">
      <c r="A95" s="53" t="s">
        <v>659</v>
      </c>
      <c r="B95" s="54" t="s">
        <v>660</v>
      </c>
      <c r="C95" s="54" t="s">
        <v>661</v>
      </c>
      <c r="D95" s="54" t="s">
        <v>447</v>
      </c>
      <c r="E95" s="54">
        <v>44024</v>
      </c>
      <c r="F95" s="54" t="s">
        <v>448</v>
      </c>
      <c r="G95" s="54" t="s">
        <v>371</v>
      </c>
      <c r="H95" s="54" t="s">
        <v>372</v>
      </c>
      <c r="I95" s="342">
        <v>76</v>
      </c>
      <c r="J95" s="54">
        <v>21</v>
      </c>
      <c r="K95" s="54">
        <v>1</v>
      </c>
      <c r="L95" s="54">
        <v>1</v>
      </c>
      <c r="M95" s="54">
        <v>1</v>
      </c>
      <c r="N95" s="54">
        <v>2</v>
      </c>
      <c r="O95" s="54">
        <v>13</v>
      </c>
      <c r="P95" s="54">
        <v>2</v>
      </c>
      <c r="Q95" s="54">
        <v>7</v>
      </c>
      <c r="R95" s="54">
        <v>3</v>
      </c>
      <c r="S95" s="54">
        <v>0</v>
      </c>
      <c r="T95" s="54">
        <v>0</v>
      </c>
      <c r="U95" s="54">
        <v>21</v>
      </c>
      <c r="V95" s="54">
        <v>10</v>
      </c>
      <c r="W95" s="54" t="s">
        <v>313</v>
      </c>
      <c r="X95" s="56" t="s">
        <v>353</v>
      </c>
      <c r="Y95" s="58">
        <v>45687</v>
      </c>
      <c r="Z95" s="56" t="s">
        <v>392</v>
      </c>
      <c r="AA95" s="56" t="s">
        <v>355</v>
      </c>
    </row>
    <row r="96" spans="1:27" s="343" customFormat="1" ht="15.6">
      <c r="A96" s="344" t="s">
        <v>183</v>
      </c>
      <c r="B96" s="342" t="s">
        <v>662</v>
      </c>
      <c r="C96" s="342" t="s">
        <v>663</v>
      </c>
      <c r="D96" s="342" t="s">
        <v>387</v>
      </c>
      <c r="E96" s="342">
        <v>33471</v>
      </c>
      <c r="F96" s="342" t="s">
        <v>388</v>
      </c>
      <c r="G96" s="342" t="s">
        <v>376</v>
      </c>
      <c r="H96" s="342" t="s">
        <v>372</v>
      </c>
      <c r="I96" s="342">
        <v>41</v>
      </c>
      <c r="J96" s="342">
        <v>351</v>
      </c>
      <c r="K96" s="342">
        <v>111</v>
      </c>
      <c r="L96" s="342">
        <v>3</v>
      </c>
      <c r="M96" s="342">
        <v>1</v>
      </c>
      <c r="N96" s="342">
        <v>50</v>
      </c>
      <c r="O96" s="342">
        <v>416</v>
      </c>
      <c r="P96" s="342">
        <v>0</v>
      </c>
      <c r="Q96" s="342">
        <v>0</v>
      </c>
      <c r="R96" s="342">
        <v>10</v>
      </c>
      <c r="S96" s="342">
        <v>17</v>
      </c>
      <c r="T96" s="342">
        <v>34</v>
      </c>
      <c r="U96" s="342">
        <v>405</v>
      </c>
      <c r="V96" s="342">
        <v>200</v>
      </c>
      <c r="W96" s="342">
        <v>500</v>
      </c>
      <c r="X96" s="345"/>
      <c r="Y96" s="346">
        <v>46010</v>
      </c>
      <c r="Z96" s="345" t="s">
        <v>383</v>
      </c>
      <c r="AA96" s="345" t="s">
        <v>355</v>
      </c>
    </row>
    <row r="97" spans="1:27" ht="15.6">
      <c r="A97" s="53" t="s">
        <v>664</v>
      </c>
      <c r="B97" s="54" t="s">
        <v>665</v>
      </c>
      <c r="C97" s="54" t="s">
        <v>666</v>
      </c>
      <c r="D97" s="54" t="s">
        <v>358</v>
      </c>
      <c r="E97" s="54">
        <v>93250</v>
      </c>
      <c r="F97" s="54" t="s">
        <v>456</v>
      </c>
      <c r="G97" s="54" t="s">
        <v>360</v>
      </c>
      <c r="H97" s="54" t="s">
        <v>352</v>
      </c>
      <c r="I97" s="342">
        <v>61</v>
      </c>
      <c r="J97" s="54">
        <v>230</v>
      </c>
      <c r="K97" s="54">
        <v>62</v>
      </c>
      <c r="L97" s="54">
        <v>158</v>
      </c>
      <c r="M97" s="54">
        <v>171</v>
      </c>
      <c r="N97" s="54">
        <v>263</v>
      </c>
      <c r="O97" s="54">
        <v>357</v>
      </c>
      <c r="P97" s="54">
        <v>0</v>
      </c>
      <c r="Q97" s="54">
        <v>0</v>
      </c>
      <c r="R97" s="54">
        <v>179</v>
      </c>
      <c r="S97" s="54">
        <v>48</v>
      </c>
      <c r="T97" s="54">
        <v>52</v>
      </c>
      <c r="U97" s="54">
        <v>341</v>
      </c>
      <c r="V97" s="54">
        <v>256</v>
      </c>
      <c r="W97" s="54">
        <v>560</v>
      </c>
      <c r="X97" s="56" t="s">
        <v>353</v>
      </c>
      <c r="Y97" s="58">
        <v>45687</v>
      </c>
      <c r="Z97" s="56" t="s">
        <v>354</v>
      </c>
      <c r="AA97" s="56" t="s">
        <v>355</v>
      </c>
    </row>
    <row r="98" spans="1:27" ht="15.6">
      <c r="A98" s="53" t="s">
        <v>667</v>
      </c>
      <c r="B98" s="54" t="s">
        <v>668</v>
      </c>
      <c r="C98" s="54" t="s">
        <v>669</v>
      </c>
      <c r="D98" s="54" t="s">
        <v>443</v>
      </c>
      <c r="E98" s="54">
        <v>58203</v>
      </c>
      <c r="F98" s="54" t="s">
        <v>444</v>
      </c>
      <c r="G98" s="54" t="s">
        <v>371</v>
      </c>
      <c r="H98" s="54" t="s">
        <v>372</v>
      </c>
      <c r="I98" s="342">
        <v>15</v>
      </c>
      <c r="J98" s="54">
        <v>5</v>
      </c>
      <c r="K98" s="54">
        <v>7</v>
      </c>
      <c r="L98" s="54">
        <v>7</v>
      </c>
      <c r="M98" s="54">
        <v>1</v>
      </c>
      <c r="N98" s="54">
        <v>6</v>
      </c>
      <c r="O98" s="54">
        <v>9</v>
      </c>
      <c r="P98" s="54">
        <v>1</v>
      </c>
      <c r="Q98" s="54">
        <v>2</v>
      </c>
      <c r="R98" s="54">
        <v>0</v>
      </c>
      <c r="S98" s="54">
        <v>4</v>
      </c>
      <c r="T98" s="54">
        <v>4</v>
      </c>
      <c r="U98" s="54">
        <v>11</v>
      </c>
      <c r="V98" s="54">
        <v>12</v>
      </c>
      <c r="W98" s="54" t="s">
        <v>313</v>
      </c>
      <c r="X98" s="56" t="s">
        <v>353</v>
      </c>
      <c r="Y98" s="58">
        <v>45484</v>
      </c>
      <c r="Z98" s="56" t="s">
        <v>392</v>
      </c>
      <c r="AA98" s="56" t="s">
        <v>355</v>
      </c>
    </row>
    <row r="99" spans="1:27" ht="15.6">
      <c r="A99" s="53" t="s">
        <v>670</v>
      </c>
      <c r="B99" s="54" t="s">
        <v>671</v>
      </c>
      <c r="C99" s="54" t="s">
        <v>672</v>
      </c>
      <c r="D99" s="54" t="s">
        <v>412</v>
      </c>
      <c r="E99" s="54">
        <v>42754</v>
      </c>
      <c r="F99" s="54" t="s">
        <v>413</v>
      </c>
      <c r="G99" s="54" t="s">
        <v>371</v>
      </c>
      <c r="H99" s="54" t="s">
        <v>372</v>
      </c>
      <c r="I99" s="342">
        <v>36</v>
      </c>
      <c r="J99" s="54">
        <v>103</v>
      </c>
      <c r="K99" s="54">
        <v>13</v>
      </c>
      <c r="L99" s="54">
        <v>28</v>
      </c>
      <c r="M99" s="54">
        <v>10</v>
      </c>
      <c r="N99" s="54">
        <v>4</v>
      </c>
      <c r="O99" s="54">
        <v>3</v>
      </c>
      <c r="P99" s="54">
        <v>25</v>
      </c>
      <c r="Q99" s="54">
        <v>121</v>
      </c>
      <c r="R99" s="54">
        <v>12</v>
      </c>
      <c r="S99" s="54">
        <v>10</v>
      </c>
      <c r="T99" s="54">
        <v>10</v>
      </c>
      <c r="U99" s="54">
        <v>121</v>
      </c>
      <c r="V99" s="54">
        <v>59</v>
      </c>
      <c r="W99" s="54" t="s">
        <v>313</v>
      </c>
      <c r="X99" s="56" t="s">
        <v>353</v>
      </c>
      <c r="Y99" s="58">
        <v>45526</v>
      </c>
      <c r="Z99" s="56" t="s">
        <v>392</v>
      </c>
      <c r="AA99" s="56" t="s">
        <v>355</v>
      </c>
    </row>
    <row r="100" spans="1:27" ht="15.6">
      <c r="A100" s="53" t="s">
        <v>185</v>
      </c>
      <c r="B100" s="54" t="s">
        <v>673</v>
      </c>
      <c r="C100" s="54" t="s">
        <v>674</v>
      </c>
      <c r="D100" s="54" t="s">
        <v>675</v>
      </c>
      <c r="E100" s="54">
        <v>65802</v>
      </c>
      <c r="F100" s="54" t="s">
        <v>413</v>
      </c>
      <c r="G100" s="54" t="s">
        <v>371</v>
      </c>
      <c r="H100" s="54" t="s">
        <v>372</v>
      </c>
      <c r="I100" s="342">
        <v>20</v>
      </c>
      <c r="J100" s="54">
        <v>180</v>
      </c>
      <c r="K100" s="54">
        <v>29</v>
      </c>
      <c r="L100" s="54">
        <v>38</v>
      </c>
      <c r="M100" s="54">
        <v>26</v>
      </c>
      <c r="N100" s="54">
        <v>56</v>
      </c>
      <c r="O100" s="54">
        <v>187</v>
      </c>
      <c r="P100" s="54">
        <v>7</v>
      </c>
      <c r="Q100" s="54">
        <v>23</v>
      </c>
      <c r="R100" s="54">
        <v>24</v>
      </c>
      <c r="S100" s="54">
        <v>15</v>
      </c>
      <c r="T100" s="54">
        <v>35</v>
      </c>
      <c r="U100" s="54">
        <v>199</v>
      </c>
      <c r="V100" s="54">
        <v>111</v>
      </c>
      <c r="W100" s="54" t="s">
        <v>313</v>
      </c>
      <c r="X100" s="56" t="s">
        <v>313</v>
      </c>
      <c r="Y100" s="56" t="s">
        <v>313</v>
      </c>
      <c r="Z100" s="56" t="s">
        <v>313</v>
      </c>
      <c r="AA100" s="56" t="s">
        <v>313</v>
      </c>
    </row>
    <row r="101" spans="1:27" ht="15.6">
      <c r="A101" s="53" t="s">
        <v>676</v>
      </c>
      <c r="B101" s="54" t="s">
        <v>677</v>
      </c>
      <c r="C101" s="54" t="s">
        <v>678</v>
      </c>
      <c r="D101" s="54" t="s">
        <v>543</v>
      </c>
      <c r="E101" s="54">
        <v>68801</v>
      </c>
      <c r="F101" s="54" t="s">
        <v>444</v>
      </c>
      <c r="G101" s="54" t="s">
        <v>371</v>
      </c>
      <c r="H101" s="54" t="s">
        <v>372</v>
      </c>
      <c r="I101" s="342">
        <v>13</v>
      </c>
      <c r="J101" s="54">
        <v>6</v>
      </c>
      <c r="K101" s="54">
        <v>5</v>
      </c>
      <c r="L101" s="54">
        <v>2</v>
      </c>
      <c r="M101" s="54">
        <v>1</v>
      </c>
      <c r="N101" s="54">
        <v>6</v>
      </c>
      <c r="O101" s="54">
        <v>8</v>
      </c>
      <c r="P101" s="54">
        <v>0</v>
      </c>
      <c r="Q101" s="54">
        <v>0</v>
      </c>
      <c r="R101" s="54">
        <v>2</v>
      </c>
      <c r="S101" s="54">
        <v>3</v>
      </c>
      <c r="T101" s="54">
        <v>4</v>
      </c>
      <c r="U101" s="54">
        <v>6</v>
      </c>
      <c r="V101" s="54">
        <v>9</v>
      </c>
      <c r="W101" s="54" t="s">
        <v>313</v>
      </c>
      <c r="X101" s="56" t="s">
        <v>353</v>
      </c>
      <c r="Y101" s="58">
        <v>44994</v>
      </c>
      <c r="Z101" s="56" t="s">
        <v>392</v>
      </c>
      <c r="AA101" s="56" t="s">
        <v>355</v>
      </c>
    </row>
    <row r="102" spans="1:27" ht="15.6">
      <c r="A102" s="53" t="s">
        <v>679</v>
      </c>
      <c r="B102" s="54" t="s">
        <v>680</v>
      </c>
      <c r="C102" s="54" t="s">
        <v>681</v>
      </c>
      <c r="D102" s="54" t="s">
        <v>349</v>
      </c>
      <c r="E102" s="54">
        <v>39520</v>
      </c>
      <c r="F102" s="54" t="s">
        <v>350</v>
      </c>
      <c r="G102" s="54" t="s">
        <v>376</v>
      </c>
      <c r="H102" s="54" t="s">
        <v>372</v>
      </c>
      <c r="I102" s="342">
        <v>2</v>
      </c>
      <c r="J102" s="54">
        <v>18</v>
      </c>
      <c r="K102" s="54">
        <v>6</v>
      </c>
      <c r="L102" s="54">
        <v>3</v>
      </c>
      <c r="M102" s="54">
        <v>1</v>
      </c>
      <c r="N102" s="54">
        <v>4</v>
      </c>
      <c r="O102" s="54">
        <v>21</v>
      </c>
      <c r="P102" s="54">
        <v>0</v>
      </c>
      <c r="Q102" s="54">
        <v>3</v>
      </c>
      <c r="R102" s="54">
        <v>1</v>
      </c>
      <c r="S102" s="54">
        <v>1</v>
      </c>
      <c r="T102" s="54">
        <v>2</v>
      </c>
      <c r="U102" s="54">
        <v>23</v>
      </c>
      <c r="V102" s="54">
        <v>12</v>
      </c>
      <c r="W102" s="54" t="s">
        <v>313</v>
      </c>
      <c r="X102" s="56" t="s">
        <v>425</v>
      </c>
      <c r="Y102" s="58">
        <v>45785</v>
      </c>
      <c r="Z102" s="56" t="s">
        <v>392</v>
      </c>
      <c r="AA102" s="56" t="s">
        <v>355</v>
      </c>
    </row>
    <row r="103" spans="1:27" ht="15.6">
      <c r="A103" s="53" t="s">
        <v>682</v>
      </c>
      <c r="B103" s="54" t="s">
        <v>683</v>
      </c>
      <c r="C103" s="54" t="s">
        <v>684</v>
      </c>
      <c r="D103" s="54" t="s">
        <v>685</v>
      </c>
      <c r="E103" s="54">
        <v>50627</v>
      </c>
      <c r="F103" s="54" t="s">
        <v>444</v>
      </c>
      <c r="G103" s="54" t="s">
        <v>371</v>
      </c>
      <c r="H103" s="54" t="s">
        <v>372</v>
      </c>
      <c r="I103" s="342">
        <v>25</v>
      </c>
      <c r="J103" s="54">
        <v>13</v>
      </c>
      <c r="K103" s="54">
        <v>6</v>
      </c>
      <c r="L103" s="54">
        <v>10</v>
      </c>
      <c r="M103" s="54">
        <v>8</v>
      </c>
      <c r="N103" s="54">
        <v>25</v>
      </c>
      <c r="O103" s="54">
        <v>11</v>
      </c>
      <c r="P103" s="54">
        <v>0</v>
      </c>
      <c r="Q103" s="54">
        <v>0</v>
      </c>
      <c r="R103" s="54">
        <v>11</v>
      </c>
      <c r="S103" s="54">
        <v>8</v>
      </c>
      <c r="T103" s="54">
        <v>8</v>
      </c>
      <c r="U103" s="54">
        <v>10</v>
      </c>
      <c r="V103" s="54">
        <v>20</v>
      </c>
      <c r="W103" s="54" t="s">
        <v>313</v>
      </c>
      <c r="X103" s="56" t="s">
        <v>382</v>
      </c>
      <c r="Y103" s="58"/>
      <c r="Z103" s="56" t="s">
        <v>383</v>
      </c>
      <c r="AA103" s="56" t="s">
        <v>355</v>
      </c>
    </row>
    <row r="104" spans="1:27" ht="15.6">
      <c r="A104" s="53" t="s">
        <v>686</v>
      </c>
      <c r="B104" s="54" t="s">
        <v>687</v>
      </c>
      <c r="C104" s="54" t="s">
        <v>688</v>
      </c>
      <c r="D104" s="54" t="s">
        <v>689</v>
      </c>
      <c r="E104" s="54">
        <v>89015</v>
      </c>
      <c r="F104" s="54" t="s">
        <v>473</v>
      </c>
      <c r="G104" s="54" t="s">
        <v>371</v>
      </c>
      <c r="H104" s="54" t="s">
        <v>372</v>
      </c>
      <c r="I104" s="342">
        <v>24</v>
      </c>
      <c r="J104" s="54">
        <v>36</v>
      </c>
      <c r="K104" s="54">
        <v>26</v>
      </c>
      <c r="L104" s="54">
        <v>21</v>
      </c>
      <c r="M104" s="54">
        <v>10</v>
      </c>
      <c r="N104" s="54">
        <v>28</v>
      </c>
      <c r="O104" s="54">
        <v>47</v>
      </c>
      <c r="P104" s="54">
        <v>4</v>
      </c>
      <c r="Q104" s="54">
        <v>14</v>
      </c>
      <c r="R104" s="54">
        <v>16</v>
      </c>
      <c r="S104" s="54">
        <v>7</v>
      </c>
      <c r="T104" s="54">
        <v>13</v>
      </c>
      <c r="U104" s="54">
        <v>57</v>
      </c>
      <c r="V104" s="54">
        <v>42</v>
      </c>
      <c r="W104" s="54" t="s">
        <v>313</v>
      </c>
      <c r="X104" s="56" t="s">
        <v>353</v>
      </c>
      <c r="Y104" s="58">
        <v>45372</v>
      </c>
      <c r="Z104" s="56" t="s">
        <v>392</v>
      </c>
      <c r="AA104" s="56" t="s">
        <v>355</v>
      </c>
    </row>
    <row r="105" spans="1:27" ht="15.6">
      <c r="A105" s="53" t="s">
        <v>690</v>
      </c>
      <c r="B105" s="54" t="s">
        <v>691</v>
      </c>
      <c r="C105" s="54" t="s">
        <v>692</v>
      </c>
      <c r="D105" s="54" t="s">
        <v>693</v>
      </c>
      <c r="E105" s="54">
        <v>96819</v>
      </c>
      <c r="F105" s="54" t="s">
        <v>456</v>
      </c>
      <c r="G105" s="54" t="s">
        <v>403</v>
      </c>
      <c r="H105" s="54" t="s">
        <v>372</v>
      </c>
      <c r="I105" s="342">
        <v>54</v>
      </c>
      <c r="J105" s="54">
        <v>23</v>
      </c>
      <c r="K105" s="54">
        <v>37</v>
      </c>
      <c r="L105" s="54">
        <v>18</v>
      </c>
      <c r="M105" s="54">
        <v>3</v>
      </c>
      <c r="N105" s="54">
        <v>19</v>
      </c>
      <c r="O105" s="54">
        <v>51</v>
      </c>
      <c r="P105" s="54">
        <v>0</v>
      </c>
      <c r="Q105" s="54">
        <v>11</v>
      </c>
      <c r="R105" s="54">
        <v>11</v>
      </c>
      <c r="S105" s="54">
        <v>6</v>
      </c>
      <c r="T105" s="54">
        <v>5</v>
      </c>
      <c r="U105" s="54">
        <v>60</v>
      </c>
      <c r="V105" s="54">
        <v>43</v>
      </c>
      <c r="W105" s="54" t="s">
        <v>313</v>
      </c>
      <c r="X105" s="56" t="s">
        <v>313</v>
      </c>
      <c r="Y105" s="56" t="s">
        <v>313</v>
      </c>
      <c r="Z105" s="56" t="s">
        <v>313</v>
      </c>
      <c r="AA105" s="56" t="s">
        <v>313</v>
      </c>
    </row>
    <row r="106" spans="1:27" ht="15.6">
      <c r="A106" s="53" t="s">
        <v>694</v>
      </c>
      <c r="B106" s="54" t="s">
        <v>695</v>
      </c>
      <c r="C106" s="54" t="s">
        <v>696</v>
      </c>
      <c r="D106" s="54" t="s">
        <v>412</v>
      </c>
      <c r="E106" s="54">
        <v>42431</v>
      </c>
      <c r="F106" s="54" t="s">
        <v>413</v>
      </c>
      <c r="G106" s="54" t="s">
        <v>371</v>
      </c>
      <c r="H106" s="54" t="s">
        <v>372</v>
      </c>
      <c r="I106" s="342">
        <v>66</v>
      </c>
      <c r="J106" s="54">
        <v>99</v>
      </c>
      <c r="K106" s="54">
        <v>19</v>
      </c>
      <c r="L106" s="54">
        <v>33</v>
      </c>
      <c r="M106" s="54">
        <v>15</v>
      </c>
      <c r="N106" s="54">
        <v>47</v>
      </c>
      <c r="O106" s="54">
        <v>115</v>
      </c>
      <c r="P106" s="54">
        <v>0</v>
      </c>
      <c r="Q106" s="54">
        <v>4</v>
      </c>
      <c r="R106" s="54">
        <v>23</v>
      </c>
      <c r="S106" s="54">
        <v>13</v>
      </c>
      <c r="T106" s="54">
        <v>14</v>
      </c>
      <c r="U106" s="54">
        <v>115</v>
      </c>
      <c r="V106" s="54">
        <v>79</v>
      </c>
      <c r="W106" s="54" t="s">
        <v>313</v>
      </c>
      <c r="X106" s="56" t="s">
        <v>313</v>
      </c>
      <c r="Y106" s="56" t="s">
        <v>313</v>
      </c>
      <c r="Z106" s="56" t="s">
        <v>313</v>
      </c>
      <c r="AA106" s="56" t="s">
        <v>313</v>
      </c>
    </row>
    <row r="107" spans="1:27" ht="15.6">
      <c r="A107" s="53" t="s">
        <v>697</v>
      </c>
      <c r="B107" s="54" t="s">
        <v>698</v>
      </c>
      <c r="C107" s="54" t="s">
        <v>699</v>
      </c>
      <c r="D107" s="54" t="s">
        <v>407</v>
      </c>
      <c r="E107" s="54">
        <v>77032</v>
      </c>
      <c r="F107" s="54" t="s">
        <v>700</v>
      </c>
      <c r="G107" s="54" t="s">
        <v>360</v>
      </c>
      <c r="H107" s="54" t="s">
        <v>372</v>
      </c>
      <c r="I107" s="342">
        <v>36</v>
      </c>
      <c r="J107" s="54">
        <v>584</v>
      </c>
      <c r="K107" s="54">
        <v>206</v>
      </c>
      <c r="L107" s="54">
        <v>60</v>
      </c>
      <c r="M107" s="54">
        <v>31</v>
      </c>
      <c r="N107" s="54">
        <v>148</v>
      </c>
      <c r="O107" s="54">
        <v>414</v>
      </c>
      <c r="P107" s="54">
        <v>57</v>
      </c>
      <c r="Q107" s="54">
        <v>262</v>
      </c>
      <c r="R107" s="54">
        <v>97</v>
      </c>
      <c r="S107" s="54">
        <v>47</v>
      </c>
      <c r="T107" s="54">
        <v>77</v>
      </c>
      <c r="U107" s="54">
        <v>661</v>
      </c>
      <c r="V107" s="54">
        <v>416</v>
      </c>
      <c r="W107" s="54">
        <v>750</v>
      </c>
      <c r="X107" s="56" t="s">
        <v>353</v>
      </c>
      <c r="Y107" s="58">
        <v>45687</v>
      </c>
      <c r="Z107" s="56" t="s">
        <v>354</v>
      </c>
      <c r="AA107" s="56" t="s">
        <v>355</v>
      </c>
    </row>
    <row r="108" spans="1:27" ht="15.6">
      <c r="A108" s="53" t="s">
        <v>701</v>
      </c>
      <c r="B108" s="54" t="s">
        <v>702</v>
      </c>
      <c r="C108" s="54" t="s">
        <v>703</v>
      </c>
      <c r="D108" s="54" t="s">
        <v>407</v>
      </c>
      <c r="E108" s="54">
        <v>77351</v>
      </c>
      <c r="F108" s="54" t="s">
        <v>700</v>
      </c>
      <c r="G108" s="54" t="s">
        <v>351</v>
      </c>
      <c r="H108" s="54" t="s">
        <v>352</v>
      </c>
      <c r="I108" s="342">
        <v>62</v>
      </c>
      <c r="J108" s="54">
        <v>255</v>
      </c>
      <c r="K108" s="54">
        <v>368</v>
      </c>
      <c r="L108" s="54">
        <v>193</v>
      </c>
      <c r="M108" s="54">
        <v>40</v>
      </c>
      <c r="N108" s="54">
        <v>263</v>
      </c>
      <c r="O108" s="54">
        <v>593</v>
      </c>
      <c r="P108" s="54">
        <v>0</v>
      </c>
      <c r="Q108" s="54">
        <v>0</v>
      </c>
      <c r="R108" s="54">
        <v>92</v>
      </c>
      <c r="S108" s="54">
        <v>73</v>
      </c>
      <c r="T108" s="54">
        <v>114</v>
      </c>
      <c r="U108" s="54">
        <v>576</v>
      </c>
      <c r="V108" s="54">
        <v>357</v>
      </c>
      <c r="W108" s="54">
        <v>350</v>
      </c>
      <c r="X108" s="56" t="s">
        <v>353</v>
      </c>
      <c r="Y108" s="58">
        <v>45701</v>
      </c>
      <c r="Z108" s="56" t="s">
        <v>392</v>
      </c>
      <c r="AA108" s="56" t="s">
        <v>355</v>
      </c>
    </row>
    <row r="109" spans="1:27" ht="15.6">
      <c r="A109" s="53" t="s">
        <v>704</v>
      </c>
      <c r="B109" s="54" t="s">
        <v>705</v>
      </c>
      <c r="C109" s="54" t="s">
        <v>706</v>
      </c>
      <c r="D109" s="54" t="s">
        <v>358</v>
      </c>
      <c r="E109" s="54">
        <v>92231</v>
      </c>
      <c r="F109" s="54" t="s">
        <v>707</v>
      </c>
      <c r="G109" s="54" t="s">
        <v>360</v>
      </c>
      <c r="H109" s="54" t="s">
        <v>372</v>
      </c>
      <c r="I109" s="342">
        <v>74</v>
      </c>
      <c r="J109" s="54">
        <v>510</v>
      </c>
      <c r="K109" s="54">
        <v>46</v>
      </c>
      <c r="L109" s="54">
        <v>36</v>
      </c>
      <c r="M109" s="54">
        <v>50</v>
      </c>
      <c r="N109" s="54">
        <v>92</v>
      </c>
      <c r="O109" s="54">
        <v>494</v>
      </c>
      <c r="P109" s="54">
        <v>2</v>
      </c>
      <c r="Q109" s="54">
        <v>54</v>
      </c>
      <c r="R109" s="54">
        <v>39</v>
      </c>
      <c r="S109" s="54">
        <v>27</v>
      </c>
      <c r="T109" s="54">
        <v>36</v>
      </c>
      <c r="U109" s="54">
        <v>539</v>
      </c>
      <c r="V109" s="54">
        <v>215</v>
      </c>
      <c r="W109" s="54">
        <v>640</v>
      </c>
      <c r="X109" s="56" t="s">
        <v>353</v>
      </c>
      <c r="Y109" s="58">
        <v>45673</v>
      </c>
      <c r="Z109" s="56" t="s">
        <v>354</v>
      </c>
      <c r="AA109" s="56" t="s">
        <v>355</v>
      </c>
    </row>
    <row r="110" spans="1:27" ht="15.6">
      <c r="A110" s="53" t="s">
        <v>708</v>
      </c>
      <c r="B110" s="54" t="s">
        <v>709</v>
      </c>
      <c r="C110" s="54" t="s">
        <v>710</v>
      </c>
      <c r="D110" s="54" t="s">
        <v>630</v>
      </c>
      <c r="E110" s="54">
        <v>31772</v>
      </c>
      <c r="F110" s="54" t="s">
        <v>631</v>
      </c>
      <c r="G110" s="54" t="s">
        <v>371</v>
      </c>
      <c r="H110" s="54" t="s">
        <v>372</v>
      </c>
      <c r="I110" s="342">
        <v>12</v>
      </c>
      <c r="J110" s="54">
        <v>33</v>
      </c>
      <c r="K110" s="54">
        <v>16</v>
      </c>
      <c r="L110" s="54">
        <v>17</v>
      </c>
      <c r="M110" s="54">
        <v>11</v>
      </c>
      <c r="N110" s="54">
        <v>22</v>
      </c>
      <c r="O110" s="54">
        <v>51</v>
      </c>
      <c r="P110" s="54">
        <v>0</v>
      </c>
      <c r="Q110" s="54">
        <v>5</v>
      </c>
      <c r="R110" s="54">
        <v>10</v>
      </c>
      <c r="S110" s="54">
        <v>9</v>
      </c>
      <c r="T110" s="54">
        <v>13</v>
      </c>
      <c r="U110" s="54">
        <v>46</v>
      </c>
      <c r="V110" s="54">
        <v>27</v>
      </c>
      <c r="W110" s="54" t="s">
        <v>313</v>
      </c>
      <c r="X110" s="56" t="s">
        <v>313</v>
      </c>
      <c r="Y110" s="56" t="s">
        <v>313</v>
      </c>
      <c r="Z110" s="56" t="s">
        <v>313</v>
      </c>
      <c r="AA110" s="56" t="s">
        <v>313</v>
      </c>
    </row>
    <row r="111" spans="1:27" ht="15.6">
      <c r="A111" s="53" t="s">
        <v>191</v>
      </c>
      <c r="B111" s="54" t="s">
        <v>711</v>
      </c>
      <c r="C111" s="54" t="s">
        <v>712</v>
      </c>
      <c r="D111" s="54" t="s">
        <v>364</v>
      </c>
      <c r="E111" s="54">
        <v>71251</v>
      </c>
      <c r="F111" s="54" t="s">
        <v>350</v>
      </c>
      <c r="G111" s="54" t="s">
        <v>376</v>
      </c>
      <c r="H111" s="54" t="s">
        <v>352</v>
      </c>
      <c r="I111" s="342">
        <v>47</v>
      </c>
      <c r="J111" s="54">
        <v>888</v>
      </c>
      <c r="K111" s="54">
        <v>201</v>
      </c>
      <c r="L111" s="54">
        <v>83</v>
      </c>
      <c r="M111" s="54">
        <v>33</v>
      </c>
      <c r="N111" s="54">
        <v>174</v>
      </c>
      <c r="O111" s="55">
        <v>1031</v>
      </c>
      <c r="P111" s="54">
        <v>0</v>
      </c>
      <c r="Q111" s="54">
        <v>1</v>
      </c>
      <c r="R111" s="54">
        <v>71</v>
      </c>
      <c r="S111" s="54">
        <v>40</v>
      </c>
      <c r="T111" s="54">
        <v>84</v>
      </c>
      <c r="U111" s="55">
        <v>1011</v>
      </c>
      <c r="V111" s="54">
        <v>689</v>
      </c>
      <c r="W111" s="54">
        <v>500</v>
      </c>
      <c r="X111" s="56" t="s">
        <v>353</v>
      </c>
      <c r="Y111" s="58">
        <v>45638</v>
      </c>
      <c r="Z111" s="56" t="s">
        <v>354</v>
      </c>
      <c r="AA111" s="56" t="s">
        <v>355</v>
      </c>
    </row>
    <row r="112" spans="1:27" ht="15.6">
      <c r="A112" s="53" t="s">
        <v>713</v>
      </c>
      <c r="B112" s="54" t="s">
        <v>714</v>
      </c>
      <c r="C112" s="54" t="s">
        <v>715</v>
      </c>
      <c r="D112" s="54" t="s">
        <v>609</v>
      </c>
      <c r="E112" s="54">
        <v>83442</v>
      </c>
      <c r="F112" s="54" t="s">
        <v>473</v>
      </c>
      <c r="G112" s="54" t="s">
        <v>376</v>
      </c>
      <c r="H112" s="54" t="s">
        <v>372</v>
      </c>
      <c r="I112" s="342">
        <v>6</v>
      </c>
      <c r="J112" s="54">
        <v>2</v>
      </c>
      <c r="K112" s="54">
        <v>6</v>
      </c>
      <c r="L112" s="54">
        <v>0</v>
      </c>
      <c r="M112" s="54">
        <v>0</v>
      </c>
      <c r="N112" s="54">
        <v>1</v>
      </c>
      <c r="O112" s="54">
        <v>6</v>
      </c>
      <c r="P112" s="54">
        <v>0</v>
      </c>
      <c r="Q112" s="54">
        <v>0</v>
      </c>
      <c r="R112" s="54">
        <v>0</v>
      </c>
      <c r="S112" s="54">
        <v>1</v>
      </c>
      <c r="T112" s="54">
        <v>2</v>
      </c>
      <c r="U112" s="54">
        <v>5</v>
      </c>
      <c r="V112" s="54">
        <v>2</v>
      </c>
      <c r="W112" s="54" t="s">
        <v>313</v>
      </c>
      <c r="X112" s="56" t="s">
        <v>353</v>
      </c>
      <c r="Y112" s="58">
        <v>45491</v>
      </c>
      <c r="Z112" s="56" t="s">
        <v>392</v>
      </c>
      <c r="AA112" s="56" t="s">
        <v>355</v>
      </c>
    </row>
    <row r="113" spans="1:27" ht="15.6">
      <c r="A113" s="53" t="s">
        <v>716</v>
      </c>
      <c r="B113" s="54" t="s">
        <v>717</v>
      </c>
      <c r="C113" s="54" t="s">
        <v>718</v>
      </c>
      <c r="D113" s="54" t="s">
        <v>407</v>
      </c>
      <c r="E113" s="54">
        <v>77301</v>
      </c>
      <c r="F113" s="54" t="s">
        <v>700</v>
      </c>
      <c r="G113" s="54" t="s">
        <v>376</v>
      </c>
      <c r="H113" s="54" t="s">
        <v>352</v>
      </c>
      <c r="I113" s="342">
        <v>47</v>
      </c>
      <c r="J113" s="54">
        <v>504</v>
      </c>
      <c r="K113" s="54">
        <v>321</v>
      </c>
      <c r="L113" s="54">
        <v>53</v>
      </c>
      <c r="M113" s="54">
        <v>36</v>
      </c>
      <c r="N113" s="54">
        <v>163</v>
      </c>
      <c r="O113" s="54">
        <v>752</v>
      </c>
      <c r="P113" s="54">
        <v>0</v>
      </c>
      <c r="Q113" s="54">
        <v>0</v>
      </c>
      <c r="R113" s="54">
        <v>61</v>
      </c>
      <c r="S113" s="54">
        <v>40</v>
      </c>
      <c r="T113" s="54">
        <v>76</v>
      </c>
      <c r="U113" s="54">
        <v>737</v>
      </c>
      <c r="V113" s="54">
        <v>472</v>
      </c>
      <c r="W113" s="54" t="s">
        <v>313</v>
      </c>
      <c r="X113" s="56" t="s">
        <v>353</v>
      </c>
      <c r="Y113" s="58">
        <v>45645</v>
      </c>
      <c r="Z113" s="56" t="s">
        <v>392</v>
      </c>
      <c r="AA113" s="56" t="s">
        <v>355</v>
      </c>
    </row>
    <row r="114" spans="1:27" ht="15.6">
      <c r="A114" s="53" t="s">
        <v>719</v>
      </c>
      <c r="B114" s="54" t="s">
        <v>720</v>
      </c>
      <c r="C114" s="54" t="s">
        <v>721</v>
      </c>
      <c r="D114" s="54" t="s">
        <v>535</v>
      </c>
      <c r="E114" s="54">
        <v>56201</v>
      </c>
      <c r="F114" s="54" t="s">
        <v>444</v>
      </c>
      <c r="G114" s="54" t="s">
        <v>376</v>
      </c>
      <c r="H114" s="54" t="s">
        <v>372</v>
      </c>
      <c r="I114" s="342">
        <v>30</v>
      </c>
      <c r="J114" s="54">
        <v>38</v>
      </c>
      <c r="K114" s="54">
        <v>26</v>
      </c>
      <c r="L114" s="54">
        <v>35</v>
      </c>
      <c r="M114" s="54">
        <v>11</v>
      </c>
      <c r="N114" s="54">
        <v>44</v>
      </c>
      <c r="O114" s="54">
        <v>57</v>
      </c>
      <c r="P114" s="54">
        <v>3</v>
      </c>
      <c r="Q114" s="54">
        <v>6</v>
      </c>
      <c r="R114" s="54">
        <v>24</v>
      </c>
      <c r="S114" s="54">
        <v>13</v>
      </c>
      <c r="T114" s="54">
        <v>12</v>
      </c>
      <c r="U114" s="54">
        <v>60</v>
      </c>
      <c r="V114" s="54">
        <v>60</v>
      </c>
      <c r="W114" s="54" t="s">
        <v>313</v>
      </c>
      <c r="X114" s="56" t="s">
        <v>353</v>
      </c>
      <c r="Y114" s="58">
        <v>45729</v>
      </c>
      <c r="Z114" s="56" t="s">
        <v>392</v>
      </c>
      <c r="AA114" s="56" t="s">
        <v>355</v>
      </c>
    </row>
    <row r="115" spans="1:27" ht="15.6">
      <c r="A115" s="53" t="s">
        <v>722</v>
      </c>
      <c r="B115" s="54" t="s">
        <v>723</v>
      </c>
      <c r="C115" s="54" t="s">
        <v>724</v>
      </c>
      <c r="D115" s="54" t="s">
        <v>675</v>
      </c>
      <c r="E115" s="54">
        <v>64153</v>
      </c>
      <c r="F115" s="54" t="s">
        <v>413</v>
      </c>
      <c r="G115" s="54" t="s">
        <v>360</v>
      </c>
      <c r="H115" s="54" t="s">
        <v>372</v>
      </c>
      <c r="I115" s="342">
        <v>0</v>
      </c>
      <c r="J115" s="54">
        <v>1</v>
      </c>
      <c r="K115" s="54">
        <v>0</v>
      </c>
      <c r="L115" s="54">
        <v>0</v>
      </c>
      <c r="M115" s="54">
        <v>0</v>
      </c>
      <c r="N115" s="54">
        <v>1</v>
      </c>
      <c r="O115" s="54">
        <v>1</v>
      </c>
      <c r="P115" s="54">
        <v>0</v>
      </c>
      <c r="Q115" s="54">
        <v>0</v>
      </c>
      <c r="R115" s="54">
        <v>1</v>
      </c>
      <c r="S115" s="54">
        <v>0</v>
      </c>
      <c r="T115" s="54">
        <v>0</v>
      </c>
      <c r="U115" s="54">
        <v>2</v>
      </c>
      <c r="V115" s="54">
        <v>1</v>
      </c>
      <c r="W115" s="54" t="s">
        <v>313</v>
      </c>
      <c r="X115" s="56" t="s">
        <v>313</v>
      </c>
      <c r="Y115" s="56" t="s">
        <v>313</v>
      </c>
      <c r="Z115" s="56" t="s">
        <v>313</v>
      </c>
      <c r="AA115" s="56" t="s">
        <v>313</v>
      </c>
    </row>
    <row r="116" spans="1:27" ht="15.6">
      <c r="A116" s="53" t="s">
        <v>725</v>
      </c>
      <c r="B116" s="54" t="s">
        <v>726</v>
      </c>
      <c r="C116" s="54" t="s">
        <v>727</v>
      </c>
      <c r="D116" s="54" t="s">
        <v>407</v>
      </c>
      <c r="E116" s="54">
        <v>78118</v>
      </c>
      <c r="F116" s="54" t="s">
        <v>572</v>
      </c>
      <c r="G116" s="54" t="s">
        <v>371</v>
      </c>
      <c r="H116" s="54" t="s">
        <v>372</v>
      </c>
      <c r="I116" s="342">
        <v>3</v>
      </c>
      <c r="J116" s="54">
        <v>0</v>
      </c>
      <c r="K116" s="54">
        <v>2</v>
      </c>
      <c r="L116" s="54">
        <v>0</v>
      </c>
      <c r="M116" s="54">
        <v>0</v>
      </c>
      <c r="N116" s="54">
        <v>2</v>
      </c>
      <c r="O116" s="54">
        <v>0</v>
      </c>
      <c r="P116" s="54">
        <v>0</v>
      </c>
      <c r="Q116" s="54">
        <v>0</v>
      </c>
      <c r="R116" s="54">
        <v>0</v>
      </c>
      <c r="S116" s="54">
        <v>2</v>
      </c>
      <c r="T116" s="54">
        <v>0</v>
      </c>
      <c r="U116" s="54">
        <v>0</v>
      </c>
      <c r="V116" s="54">
        <v>2</v>
      </c>
      <c r="W116" s="54" t="s">
        <v>313</v>
      </c>
      <c r="X116" s="56" t="s">
        <v>425</v>
      </c>
      <c r="Y116" s="58">
        <v>45849</v>
      </c>
      <c r="Z116" s="56" t="s">
        <v>392</v>
      </c>
      <c r="AA116" s="56" t="s">
        <v>355</v>
      </c>
    </row>
    <row r="117" spans="1:27" ht="31.2">
      <c r="A117" s="53" t="s">
        <v>728</v>
      </c>
      <c r="B117" s="54" t="s">
        <v>729</v>
      </c>
      <c r="C117" s="54" t="s">
        <v>727</v>
      </c>
      <c r="D117" s="54" t="s">
        <v>407</v>
      </c>
      <c r="E117" s="54">
        <v>78118</v>
      </c>
      <c r="F117" s="54" t="s">
        <v>572</v>
      </c>
      <c r="G117" s="54" t="s">
        <v>351</v>
      </c>
      <c r="H117" s="54" t="s">
        <v>372</v>
      </c>
      <c r="I117" s="342">
        <v>50</v>
      </c>
      <c r="J117" s="55">
        <v>1094</v>
      </c>
      <c r="K117" s="54">
        <v>85</v>
      </c>
      <c r="L117" s="54">
        <v>5</v>
      </c>
      <c r="M117" s="54">
        <v>1</v>
      </c>
      <c r="N117" s="54">
        <v>35</v>
      </c>
      <c r="O117" s="54">
        <v>784</v>
      </c>
      <c r="P117" s="54">
        <v>39</v>
      </c>
      <c r="Q117" s="54">
        <v>328</v>
      </c>
      <c r="R117" s="54">
        <v>1</v>
      </c>
      <c r="S117" s="54">
        <v>6</v>
      </c>
      <c r="T117" s="54">
        <v>73</v>
      </c>
      <c r="U117" s="55">
        <v>1105</v>
      </c>
      <c r="V117" s="54">
        <v>574</v>
      </c>
      <c r="W117" s="54">
        <v>928</v>
      </c>
      <c r="X117" s="56" t="s">
        <v>353</v>
      </c>
      <c r="Y117" s="58">
        <v>45813</v>
      </c>
      <c r="Z117" s="56" t="s">
        <v>354</v>
      </c>
      <c r="AA117" s="56" t="s">
        <v>355</v>
      </c>
    </row>
    <row r="118" spans="1:27" ht="15.6">
      <c r="A118" s="53" t="s">
        <v>730</v>
      </c>
      <c r="B118" s="54" t="s">
        <v>731</v>
      </c>
      <c r="C118" s="54" t="s">
        <v>732</v>
      </c>
      <c r="D118" s="54" t="s">
        <v>507</v>
      </c>
      <c r="E118" s="54">
        <v>74647</v>
      </c>
      <c r="F118" s="54" t="s">
        <v>413</v>
      </c>
      <c r="G118" s="54" t="s">
        <v>376</v>
      </c>
      <c r="H118" s="54" t="s">
        <v>372</v>
      </c>
      <c r="I118" s="342">
        <v>25</v>
      </c>
      <c r="J118" s="54">
        <v>76</v>
      </c>
      <c r="K118" s="54">
        <v>31</v>
      </c>
      <c r="L118" s="54">
        <v>33</v>
      </c>
      <c r="M118" s="54">
        <v>23</v>
      </c>
      <c r="N118" s="54">
        <v>56</v>
      </c>
      <c r="O118" s="54">
        <v>107</v>
      </c>
      <c r="P118" s="54">
        <v>0</v>
      </c>
      <c r="Q118" s="54">
        <v>0</v>
      </c>
      <c r="R118" s="54">
        <v>26</v>
      </c>
      <c r="S118" s="54">
        <v>18</v>
      </c>
      <c r="T118" s="54">
        <v>20</v>
      </c>
      <c r="U118" s="54">
        <v>99</v>
      </c>
      <c r="V118" s="54">
        <v>83</v>
      </c>
      <c r="W118" s="54" t="s">
        <v>313</v>
      </c>
      <c r="X118" s="56" t="s">
        <v>353</v>
      </c>
      <c r="Y118" s="58">
        <v>45722</v>
      </c>
      <c r="Z118" s="56" t="s">
        <v>392</v>
      </c>
      <c r="AA118" s="56" t="s">
        <v>355</v>
      </c>
    </row>
    <row r="119" spans="1:27" ht="15.6">
      <c r="A119" s="53" t="s">
        <v>733</v>
      </c>
      <c r="B119" s="54" t="s">
        <v>734</v>
      </c>
      <c r="C119" s="54" t="s">
        <v>735</v>
      </c>
      <c r="D119" s="54" t="s">
        <v>412</v>
      </c>
      <c r="E119" s="54">
        <v>41017</v>
      </c>
      <c r="F119" s="54" t="s">
        <v>413</v>
      </c>
      <c r="G119" s="54" t="s">
        <v>371</v>
      </c>
      <c r="H119" s="54" t="s">
        <v>352</v>
      </c>
      <c r="I119" s="342">
        <v>33</v>
      </c>
      <c r="J119" s="54">
        <v>48</v>
      </c>
      <c r="K119" s="54">
        <v>22</v>
      </c>
      <c r="L119" s="54">
        <v>25</v>
      </c>
      <c r="M119" s="54">
        <v>6</v>
      </c>
      <c r="N119" s="54">
        <v>38</v>
      </c>
      <c r="O119" s="54">
        <v>63</v>
      </c>
      <c r="P119" s="54">
        <v>0</v>
      </c>
      <c r="Q119" s="54">
        <v>0</v>
      </c>
      <c r="R119" s="54">
        <v>9</v>
      </c>
      <c r="S119" s="54">
        <v>16</v>
      </c>
      <c r="T119" s="54">
        <v>19</v>
      </c>
      <c r="U119" s="54">
        <v>56</v>
      </c>
      <c r="V119" s="54">
        <v>49</v>
      </c>
      <c r="W119" s="54" t="s">
        <v>313</v>
      </c>
      <c r="X119" s="56" t="s">
        <v>313</v>
      </c>
      <c r="Y119" s="56" t="s">
        <v>313</v>
      </c>
      <c r="Z119" s="56" t="s">
        <v>313</v>
      </c>
      <c r="AA119" s="56" t="s">
        <v>313</v>
      </c>
    </row>
    <row r="120" spans="1:27" ht="15.6">
      <c r="A120" s="53" t="s">
        <v>736</v>
      </c>
      <c r="B120" s="54" t="s">
        <v>737</v>
      </c>
      <c r="C120" s="54" t="s">
        <v>738</v>
      </c>
      <c r="D120" s="54" t="s">
        <v>739</v>
      </c>
      <c r="E120" s="54">
        <v>37918</v>
      </c>
      <c r="F120" s="54" t="s">
        <v>350</v>
      </c>
      <c r="G120" s="54" t="s">
        <v>371</v>
      </c>
      <c r="H120" s="54" t="s">
        <v>372</v>
      </c>
      <c r="I120" s="342">
        <v>4</v>
      </c>
      <c r="J120" s="54">
        <v>20</v>
      </c>
      <c r="K120" s="54">
        <v>4</v>
      </c>
      <c r="L120" s="54">
        <v>5</v>
      </c>
      <c r="M120" s="54">
        <v>1</v>
      </c>
      <c r="N120" s="54">
        <v>5</v>
      </c>
      <c r="O120" s="54">
        <v>17</v>
      </c>
      <c r="P120" s="54">
        <v>1</v>
      </c>
      <c r="Q120" s="54">
        <v>7</v>
      </c>
      <c r="R120" s="54">
        <v>2</v>
      </c>
      <c r="S120" s="54">
        <v>3</v>
      </c>
      <c r="T120" s="54">
        <v>5</v>
      </c>
      <c r="U120" s="54">
        <v>20</v>
      </c>
      <c r="V120" s="54">
        <v>12</v>
      </c>
      <c r="W120" s="54" t="s">
        <v>313</v>
      </c>
      <c r="X120" s="56" t="s">
        <v>353</v>
      </c>
      <c r="Y120" s="58">
        <v>45561</v>
      </c>
      <c r="Z120" s="56" t="s">
        <v>392</v>
      </c>
      <c r="AA120" s="56" t="s">
        <v>355</v>
      </c>
    </row>
    <row r="121" spans="1:27" ht="15.6">
      <c r="A121" s="53" t="s">
        <v>740</v>
      </c>
      <c r="B121" s="54" t="s">
        <v>741</v>
      </c>
      <c r="C121" s="54" t="s">
        <v>742</v>
      </c>
      <c r="D121" s="54" t="s">
        <v>387</v>
      </c>
      <c r="E121" s="54">
        <v>33194</v>
      </c>
      <c r="F121" s="54" t="s">
        <v>388</v>
      </c>
      <c r="G121" s="54" t="s">
        <v>439</v>
      </c>
      <c r="H121" s="54" t="s">
        <v>352</v>
      </c>
      <c r="I121" s="342">
        <v>21</v>
      </c>
      <c r="J121" s="54">
        <v>177</v>
      </c>
      <c r="K121" s="54">
        <v>97</v>
      </c>
      <c r="L121" s="54">
        <v>316</v>
      </c>
      <c r="M121" s="54">
        <v>253</v>
      </c>
      <c r="N121" s="54">
        <v>372</v>
      </c>
      <c r="O121" s="54">
        <v>471</v>
      </c>
      <c r="P121" s="54">
        <v>0</v>
      </c>
      <c r="Q121" s="54">
        <v>0</v>
      </c>
      <c r="R121" s="54">
        <v>224</v>
      </c>
      <c r="S121" s="54">
        <v>86</v>
      </c>
      <c r="T121" s="54">
        <v>87</v>
      </c>
      <c r="U121" s="54">
        <v>445</v>
      </c>
      <c r="V121" s="54">
        <v>377</v>
      </c>
      <c r="W121" s="54">
        <v>450</v>
      </c>
      <c r="X121" s="56" t="s">
        <v>353</v>
      </c>
      <c r="Y121" s="58">
        <v>45778</v>
      </c>
      <c r="Z121" s="56" t="s">
        <v>354</v>
      </c>
      <c r="AA121" s="56" t="s">
        <v>355</v>
      </c>
    </row>
    <row r="122" spans="1:27" ht="15.6">
      <c r="A122" s="53" t="s">
        <v>743</v>
      </c>
      <c r="B122" s="54" t="s">
        <v>744</v>
      </c>
      <c r="C122" s="54" t="s">
        <v>745</v>
      </c>
      <c r="D122" s="54" t="s">
        <v>407</v>
      </c>
      <c r="E122" s="54">
        <v>78019</v>
      </c>
      <c r="F122" s="54" t="s">
        <v>572</v>
      </c>
      <c r="G122" s="54" t="s">
        <v>371</v>
      </c>
      <c r="H122" s="54" t="s">
        <v>352</v>
      </c>
      <c r="I122" s="342">
        <v>43</v>
      </c>
      <c r="J122" s="54">
        <v>272</v>
      </c>
      <c r="K122" s="54">
        <v>14</v>
      </c>
      <c r="L122" s="54">
        <v>1</v>
      </c>
      <c r="M122" s="54">
        <v>0</v>
      </c>
      <c r="N122" s="54">
        <v>21</v>
      </c>
      <c r="O122" s="54">
        <v>264</v>
      </c>
      <c r="P122" s="54">
        <v>0</v>
      </c>
      <c r="Q122" s="54">
        <v>2</v>
      </c>
      <c r="R122" s="54">
        <v>1</v>
      </c>
      <c r="S122" s="54">
        <v>2</v>
      </c>
      <c r="T122" s="54">
        <v>21</v>
      </c>
      <c r="U122" s="54">
        <v>263</v>
      </c>
      <c r="V122" s="54">
        <v>133</v>
      </c>
      <c r="W122" s="54" t="s">
        <v>313</v>
      </c>
      <c r="X122" s="56" t="s">
        <v>382</v>
      </c>
      <c r="Y122" s="58">
        <v>45695</v>
      </c>
      <c r="Z122" s="56" t="s">
        <v>392</v>
      </c>
      <c r="AA122" s="56" t="s">
        <v>355</v>
      </c>
    </row>
    <row r="123" spans="1:27" ht="15.6">
      <c r="A123" s="53" t="s">
        <v>746</v>
      </c>
      <c r="B123" s="54" t="s">
        <v>747</v>
      </c>
      <c r="C123" s="54" t="s">
        <v>748</v>
      </c>
      <c r="D123" s="54" t="s">
        <v>387</v>
      </c>
      <c r="E123" s="54">
        <v>32778</v>
      </c>
      <c r="F123" s="54" t="s">
        <v>388</v>
      </c>
      <c r="G123" s="54" t="s">
        <v>376</v>
      </c>
      <c r="H123" s="54" t="s">
        <v>372</v>
      </c>
      <c r="I123" s="342">
        <v>1</v>
      </c>
      <c r="J123" s="54">
        <v>0</v>
      </c>
      <c r="K123" s="54">
        <v>0</v>
      </c>
      <c r="L123" s="54">
        <v>2</v>
      </c>
      <c r="M123" s="54">
        <v>0</v>
      </c>
      <c r="N123" s="54">
        <v>1</v>
      </c>
      <c r="O123" s="54">
        <v>1</v>
      </c>
      <c r="P123" s="54">
        <v>0</v>
      </c>
      <c r="Q123" s="54">
        <v>0</v>
      </c>
      <c r="R123" s="54">
        <v>1</v>
      </c>
      <c r="S123" s="54">
        <v>0</v>
      </c>
      <c r="T123" s="54">
        <v>0</v>
      </c>
      <c r="U123" s="54">
        <v>1</v>
      </c>
      <c r="V123" s="54">
        <v>2</v>
      </c>
      <c r="W123" s="54" t="s">
        <v>313</v>
      </c>
      <c r="X123" s="56" t="s">
        <v>313</v>
      </c>
      <c r="Y123" s="56" t="s">
        <v>313</v>
      </c>
      <c r="Z123" s="56" t="s">
        <v>313</v>
      </c>
      <c r="AA123" s="56" t="s">
        <v>313</v>
      </c>
    </row>
    <row r="124" spans="1:27" ht="15.6">
      <c r="A124" s="53" t="s">
        <v>749</v>
      </c>
      <c r="B124" s="54" t="s">
        <v>750</v>
      </c>
      <c r="C124" s="54" t="s">
        <v>751</v>
      </c>
      <c r="D124" s="54" t="s">
        <v>752</v>
      </c>
      <c r="E124" s="54">
        <v>82001</v>
      </c>
      <c r="F124" s="54" t="s">
        <v>562</v>
      </c>
      <c r="G124" s="54" t="s">
        <v>371</v>
      </c>
      <c r="H124" s="54" t="s">
        <v>372</v>
      </c>
      <c r="I124" s="342">
        <v>3</v>
      </c>
      <c r="J124" s="54">
        <v>3</v>
      </c>
      <c r="K124" s="54">
        <v>1</v>
      </c>
      <c r="L124" s="54">
        <v>1</v>
      </c>
      <c r="M124" s="54">
        <v>0</v>
      </c>
      <c r="N124" s="54">
        <v>1</v>
      </c>
      <c r="O124" s="54">
        <v>4</v>
      </c>
      <c r="P124" s="54">
        <v>0</v>
      </c>
      <c r="Q124" s="54">
        <v>0</v>
      </c>
      <c r="R124" s="54">
        <v>0</v>
      </c>
      <c r="S124" s="54">
        <v>0</v>
      </c>
      <c r="T124" s="54">
        <v>1</v>
      </c>
      <c r="U124" s="54">
        <v>4</v>
      </c>
      <c r="V124" s="54">
        <v>2</v>
      </c>
      <c r="W124" s="54" t="s">
        <v>313</v>
      </c>
      <c r="X124" s="56" t="s">
        <v>313</v>
      </c>
      <c r="Y124" s="56" t="s">
        <v>313</v>
      </c>
      <c r="Z124" s="56" t="s">
        <v>313</v>
      </c>
      <c r="AA124" s="56" t="s">
        <v>313</v>
      </c>
    </row>
    <row r="125" spans="1:27" ht="15.6">
      <c r="A125" s="53" t="s">
        <v>753</v>
      </c>
      <c r="B125" s="54" t="s">
        <v>754</v>
      </c>
      <c r="C125" s="54" t="s">
        <v>755</v>
      </c>
      <c r="D125" s="54" t="s">
        <v>407</v>
      </c>
      <c r="E125" s="54">
        <v>78041</v>
      </c>
      <c r="F125" s="54" t="s">
        <v>424</v>
      </c>
      <c r="G125" s="54" t="s">
        <v>351</v>
      </c>
      <c r="H125" s="54" t="s">
        <v>372</v>
      </c>
      <c r="I125" s="342">
        <v>56</v>
      </c>
      <c r="J125" s="54">
        <v>310</v>
      </c>
      <c r="K125" s="54">
        <v>19</v>
      </c>
      <c r="L125" s="54">
        <v>16</v>
      </c>
      <c r="M125" s="54">
        <v>11</v>
      </c>
      <c r="N125" s="54">
        <v>0</v>
      </c>
      <c r="O125" s="54">
        <v>4</v>
      </c>
      <c r="P125" s="54">
        <v>21</v>
      </c>
      <c r="Q125" s="54">
        <v>331</v>
      </c>
      <c r="R125" s="54">
        <v>7</v>
      </c>
      <c r="S125" s="54">
        <v>7</v>
      </c>
      <c r="T125" s="54">
        <v>14</v>
      </c>
      <c r="U125" s="54">
        <v>328</v>
      </c>
      <c r="V125" s="54">
        <v>187</v>
      </c>
      <c r="W125" s="54" t="s">
        <v>313</v>
      </c>
      <c r="X125" s="56" t="s">
        <v>353</v>
      </c>
      <c r="Y125" s="58">
        <v>45736</v>
      </c>
      <c r="Z125" s="56" t="s">
        <v>392</v>
      </c>
      <c r="AA125" s="56" t="s">
        <v>355</v>
      </c>
    </row>
    <row r="126" spans="1:27" ht="15.6">
      <c r="A126" s="53" t="s">
        <v>756</v>
      </c>
      <c r="B126" s="54" t="s">
        <v>757</v>
      </c>
      <c r="C126" s="54" t="s">
        <v>758</v>
      </c>
      <c r="D126" s="54" t="s">
        <v>412</v>
      </c>
      <c r="E126" s="54">
        <v>40744</v>
      </c>
      <c r="F126" s="54" t="s">
        <v>413</v>
      </c>
      <c r="G126" s="54" t="s">
        <v>376</v>
      </c>
      <c r="H126" s="54" t="s">
        <v>372</v>
      </c>
      <c r="I126" s="342">
        <v>2</v>
      </c>
      <c r="J126" s="54">
        <v>0</v>
      </c>
      <c r="K126" s="54">
        <v>0</v>
      </c>
      <c r="L126" s="54">
        <v>0</v>
      </c>
      <c r="M126" s="54">
        <v>1</v>
      </c>
      <c r="N126" s="54">
        <v>1</v>
      </c>
      <c r="O126" s="54">
        <v>1</v>
      </c>
      <c r="P126" s="54">
        <v>0</v>
      </c>
      <c r="Q126" s="54">
        <v>0</v>
      </c>
      <c r="R126" s="54">
        <v>1</v>
      </c>
      <c r="S126" s="54">
        <v>0</v>
      </c>
      <c r="T126" s="54">
        <v>0</v>
      </c>
      <c r="U126" s="54">
        <v>0</v>
      </c>
      <c r="V126" s="54">
        <v>1</v>
      </c>
      <c r="W126" s="54" t="s">
        <v>313</v>
      </c>
      <c r="X126" s="56" t="s">
        <v>313</v>
      </c>
      <c r="Y126" s="56" t="s">
        <v>313</v>
      </c>
      <c r="Z126" s="56" t="s">
        <v>313</v>
      </c>
      <c r="AA126" s="56" t="s">
        <v>313</v>
      </c>
    </row>
    <row r="127" spans="1:27" ht="15.6">
      <c r="A127" s="53" t="s">
        <v>759</v>
      </c>
      <c r="B127" s="54" t="s">
        <v>760</v>
      </c>
      <c r="C127" s="54" t="s">
        <v>761</v>
      </c>
      <c r="D127" s="54" t="s">
        <v>762</v>
      </c>
      <c r="E127" s="54">
        <v>57732</v>
      </c>
      <c r="F127" s="54" t="s">
        <v>444</v>
      </c>
      <c r="G127" s="54" t="s">
        <v>376</v>
      </c>
      <c r="H127" s="54" t="s">
        <v>372</v>
      </c>
      <c r="I127" s="342">
        <v>31</v>
      </c>
      <c r="J127" s="54">
        <v>7</v>
      </c>
      <c r="K127" s="54">
        <v>1</v>
      </c>
      <c r="L127" s="54">
        <v>2</v>
      </c>
      <c r="M127" s="54">
        <v>0</v>
      </c>
      <c r="N127" s="54">
        <v>1</v>
      </c>
      <c r="O127" s="54">
        <v>8</v>
      </c>
      <c r="P127" s="54">
        <v>0</v>
      </c>
      <c r="Q127" s="54">
        <v>0</v>
      </c>
      <c r="R127" s="54">
        <v>0</v>
      </c>
      <c r="S127" s="54">
        <v>1</v>
      </c>
      <c r="T127" s="54">
        <v>0</v>
      </c>
      <c r="U127" s="54">
        <v>8</v>
      </c>
      <c r="V127" s="54">
        <v>3</v>
      </c>
      <c r="W127" s="54" t="s">
        <v>313</v>
      </c>
      <c r="X127" s="56" t="s">
        <v>313</v>
      </c>
      <c r="Y127" s="56" t="s">
        <v>313</v>
      </c>
      <c r="Z127" s="56" t="s">
        <v>313</v>
      </c>
      <c r="AA127" s="56" t="s">
        <v>313</v>
      </c>
    </row>
    <row r="128" spans="1:27" ht="15.6">
      <c r="A128" s="53" t="s">
        <v>763</v>
      </c>
      <c r="B128" s="54" t="s">
        <v>764</v>
      </c>
      <c r="C128" s="54" t="s">
        <v>765</v>
      </c>
      <c r="D128" s="54" t="s">
        <v>485</v>
      </c>
      <c r="E128" s="54">
        <v>66048</v>
      </c>
      <c r="F128" s="54" t="s">
        <v>413</v>
      </c>
      <c r="G128" s="54" t="s">
        <v>403</v>
      </c>
      <c r="H128" s="54" t="s">
        <v>352</v>
      </c>
      <c r="I128" s="342">
        <v>99</v>
      </c>
      <c r="J128" s="54">
        <v>13</v>
      </c>
      <c r="K128" s="54">
        <v>5</v>
      </c>
      <c r="L128" s="54">
        <v>14</v>
      </c>
      <c r="M128" s="54">
        <v>24</v>
      </c>
      <c r="N128" s="54">
        <v>45</v>
      </c>
      <c r="O128" s="54">
        <v>12</v>
      </c>
      <c r="P128" s="54">
        <v>0</v>
      </c>
      <c r="Q128" s="54">
        <v>0</v>
      </c>
      <c r="R128" s="54">
        <v>32</v>
      </c>
      <c r="S128" s="54">
        <v>6</v>
      </c>
      <c r="T128" s="54">
        <v>7</v>
      </c>
      <c r="U128" s="54">
        <v>12</v>
      </c>
      <c r="V128" s="54">
        <v>47</v>
      </c>
      <c r="W128" s="54" t="s">
        <v>313</v>
      </c>
      <c r="X128" s="56" t="s">
        <v>313</v>
      </c>
      <c r="Y128" s="56" t="s">
        <v>313</v>
      </c>
      <c r="Z128" s="56" t="s">
        <v>313</v>
      </c>
      <c r="AA128" s="56" t="s">
        <v>313</v>
      </c>
    </row>
    <row r="129" spans="1:27" ht="15.6">
      <c r="A129" s="53" t="s">
        <v>766</v>
      </c>
      <c r="B129" s="54" t="s">
        <v>767</v>
      </c>
      <c r="C129" s="54" t="s">
        <v>626</v>
      </c>
      <c r="D129" s="54" t="s">
        <v>768</v>
      </c>
      <c r="E129" s="54">
        <v>29072</v>
      </c>
      <c r="F129" s="54" t="s">
        <v>631</v>
      </c>
      <c r="G129" s="54" t="s">
        <v>371</v>
      </c>
      <c r="H129" s="54" t="s">
        <v>372</v>
      </c>
      <c r="I129" s="342">
        <v>2</v>
      </c>
      <c r="J129" s="54">
        <v>2</v>
      </c>
      <c r="K129" s="54">
        <v>2</v>
      </c>
      <c r="L129" s="54">
        <v>1</v>
      </c>
      <c r="M129" s="54">
        <v>0</v>
      </c>
      <c r="N129" s="54">
        <v>2</v>
      </c>
      <c r="O129" s="54">
        <v>3</v>
      </c>
      <c r="P129" s="54">
        <v>0</v>
      </c>
      <c r="Q129" s="54">
        <v>1</v>
      </c>
      <c r="R129" s="54">
        <v>1</v>
      </c>
      <c r="S129" s="54">
        <v>0</v>
      </c>
      <c r="T129" s="54">
        <v>1</v>
      </c>
      <c r="U129" s="54">
        <v>3</v>
      </c>
      <c r="V129" s="54">
        <v>3</v>
      </c>
      <c r="W129" s="54" t="s">
        <v>313</v>
      </c>
      <c r="X129" s="56" t="s">
        <v>353</v>
      </c>
      <c r="Y129" s="58">
        <v>45512</v>
      </c>
      <c r="Z129" s="56" t="s">
        <v>392</v>
      </c>
      <c r="AA129" s="56" t="s">
        <v>355</v>
      </c>
    </row>
    <row r="130" spans="1:27" ht="15.6">
      <c r="A130" s="53" t="s">
        <v>769</v>
      </c>
      <c r="B130" s="54" t="s">
        <v>770</v>
      </c>
      <c r="C130" s="54" t="s">
        <v>771</v>
      </c>
      <c r="D130" s="54" t="s">
        <v>407</v>
      </c>
      <c r="E130" s="54">
        <v>76642</v>
      </c>
      <c r="F130" s="54" t="s">
        <v>700</v>
      </c>
      <c r="G130" s="54" t="s">
        <v>371</v>
      </c>
      <c r="H130" s="54" t="s">
        <v>352</v>
      </c>
      <c r="I130" s="342">
        <v>35</v>
      </c>
      <c r="J130" s="54">
        <v>141</v>
      </c>
      <c r="K130" s="54">
        <v>99</v>
      </c>
      <c r="L130" s="54">
        <v>2</v>
      </c>
      <c r="M130" s="54">
        <v>1</v>
      </c>
      <c r="N130" s="54">
        <v>39</v>
      </c>
      <c r="O130" s="54">
        <v>204</v>
      </c>
      <c r="P130" s="54">
        <v>0</v>
      </c>
      <c r="Q130" s="54">
        <v>0</v>
      </c>
      <c r="R130" s="54">
        <v>7</v>
      </c>
      <c r="S130" s="54">
        <v>9</v>
      </c>
      <c r="T130" s="54">
        <v>27</v>
      </c>
      <c r="U130" s="54">
        <v>200</v>
      </c>
      <c r="V130" s="54">
        <v>82</v>
      </c>
      <c r="W130" s="54" t="s">
        <v>313</v>
      </c>
      <c r="X130" s="56" t="s">
        <v>353</v>
      </c>
      <c r="Y130" s="58">
        <v>45743</v>
      </c>
      <c r="Z130" s="56" t="s">
        <v>392</v>
      </c>
      <c r="AA130" s="56" t="s">
        <v>355</v>
      </c>
    </row>
    <row r="131" spans="1:27" ht="15.6">
      <c r="A131" s="53" t="s">
        <v>772</v>
      </c>
      <c r="B131" s="54" t="s">
        <v>773</v>
      </c>
      <c r="C131" s="54" t="s">
        <v>774</v>
      </c>
      <c r="D131" s="54" t="s">
        <v>543</v>
      </c>
      <c r="E131" s="54">
        <v>69101</v>
      </c>
      <c r="F131" s="54" t="s">
        <v>444</v>
      </c>
      <c r="G131" s="54" t="s">
        <v>371</v>
      </c>
      <c r="H131" s="54" t="s">
        <v>372</v>
      </c>
      <c r="I131" s="342">
        <v>45</v>
      </c>
      <c r="J131" s="54">
        <v>3</v>
      </c>
      <c r="K131" s="54">
        <v>2</v>
      </c>
      <c r="L131" s="54">
        <v>11</v>
      </c>
      <c r="M131" s="54">
        <v>4</v>
      </c>
      <c r="N131" s="54">
        <v>10</v>
      </c>
      <c r="O131" s="54">
        <v>6</v>
      </c>
      <c r="P131" s="54">
        <v>2</v>
      </c>
      <c r="Q131" s="54">
        <v>2</v>
      </c>
      <c r="R131" s="54">
        <v>3</v>
      </c>
      <c r="S131" s="54">
        <v>6</v>
      </c>
      <c r="T131" s="54">
        <v>3</v>
      </c>
      <c r="U131" s="54">
        <v>7</v>
      </c>
      <c r="V131" s="54">
        <v>11</v>
      </c>
      <c r="W131" s="54" t="s">
        <v>313</v>
      </c>
      <c r="X131" s="56" t="s">
        <v>382</v>
      </c>
      <c r="Y131" s="58">
        <v>45649</v>
      </c>
      <c r="Z131" s="56" t="s">
        <v>392</v>
      </c>
      <c r="AA131" s="56" t="s">
        <v>355</v>
      </c>
    </row>
    <row r="132" spans="1:27" ht="15.6">
      <c r="A132" s="53" t="s">
        <v>775</v>
      </c>
      <c r="B132" s="54" t="s">
        <v>776</v>
      </c>
      <c r="C132" s="54" t="s">
        <v>777</v>
      </c>
      <c r="D132" s="54" t="s">
        <v>685</v>
      </c>
      <c r="E132" s="54">
        <v>52401</v>
      </c>
      <c r="F132" s="54" t="s">
        <v>444</v>
      </c>
      <c r="G132" s="54" t="s">
        <v>371</v>
      </c>
      <c r="H132" s="54" t="s">
        <v>372</v>
      </c>
      <c r="I132" s="342">
        <v>23</v>
      </c>
      <c r="J132" s="54">
        <v>9</v>
      </c>
      <c r="K132" s="54">
        <v>19</v>
      </c>
      <c r="L132" s="54">
        <v>9</v>
      </c>
      <c r="M132" s="54">
        <v>4</v>
      </c>
      <c r="N132" s="54">
        <v>17</v>
      </c>
      <c r="O132" s="54">
        <v>19</v>
      </c>
      <c r="P132" s="54">
        <v>2</v>
      </c>
      <c r="Q132" s="54">
        <v>4</v>
      </c>
      <c r="R132" s="54">
        <v>8</v>
      </c>
      <c r="S132" s="54">
        <v>4</v>
      </c>
      <c r="T132" s="54">
        <v>8</v>
      </c>
      <c r="U132" s="54">
        <v>22</v>
      </c>
      <c r="V132" s="54">
        <v>28</v>
      </c>
      <c r="W132" s="54" t="s">
        <v>313</v>
      </c>
      <c r="X132" s="56" t="s">
        <v>353</v>
      </c>
      <c r="Y132" s="58">
        <v>45197</v>
      </c>
      <c r="Z132" s="56" t="s">
        <v>392</v>
      </c>
      <c r="AA132" s="56" t="s">
        <v>355</v>
      </c>
    </row>
    <row r="133" spans="1:27" ht="15.6">
      <c r="A133" s="53" t="s">
        <v>778</v>
      </c>
      <c r="B133" s="54" t="s">
        <v>779</v>
      </c>
      <c r="C133" s="54" t="s">
        <v>780</v>
      </c>
      <c r="D133" s="54" t="s">
        <v>507</v>
      </c>
      <c r="E133" s="54">
        <v>73044</v>
      </c>
      <c r="F133" s="54" t="s">
        <v>408</v>
      </c>
      <c r="G133" s="54" t="s">
        <v>371</v>
      </c>
      <c r="H133" s="54" t="s">
        <v>372</v>
      </c>
      <c r="I133" s="342">
        <v>2</v>
      </c>
      <c r="J133" s="54">
        <v>4</v>
      </c>
      <c r="K133" s="54">
        <v>1</v>
      </c>
      <c r="L133" s="54">
        <v>0</v>
      </c>
      <c r="M133" s="54">
        <v>0</v>
      </c>
      <c r="N133" s="54">
        <v>1</v>
      </c>
      <c r="O133" s="54">
        <v>4</v>
      </c>
      <c r="P133" s="54">
        <v>0</v>
      </c>
      <c r="Q133" s="54">
        <v>0</v>
      </c>
      <c r="R133" s="54">
        <v>0</v>
      </c>
      <c r="S133" s="54">
        <v>1</v>
      </c>
      <c r="T133" s="54">
        <v>0</v>
      </c>
      <c r="U133" s="54">
        <v>5</v>
      </c>
      <c r="V133" s="54">
        <v>2</v>
      </c>
      <c r="W133" s="54" t="s">
        <v>313</v>
      </c>
      <c r="X133" s="56" t="s">
        <v>382</v>
      </c>
      <c r="Y133" s="58">
        <v>45790</v>
      </c>
      <c r="Z133" s="56" t="s">
        <v>383</v>
      </c>
      <c r="AA133" s="56" t="s">
        <v>355</v>
      </c>
    </row>
    <row r="134" spans="1:27" ht="15.6">
      <c r="A134" s="53" t="s">
        <v>781</v>
      </c>
      <c r="B134" s="54" t="s">
        <v>782</v>
      </c>
      <c r="C134" s="54" t="s">
        <v>783</v>
      </c>
      <c r="D134" s="54" t="s">
        <v>364</v>
      </c>
      <c r="E134" s="54">
        <v>70712</v>
      </c>
      <c r="F134" s="54" t="s">
        <v>350</v>
      </c>
      <c r="G134" s="54" t="s">
        <v>376</v>
      </c>
      <c r="H134" s="54" t="s">
        <v>352</v>
      </c>
      <c r="I134" s="342">
        <v>46</v>
      </c>
      <c r="J134" s="54">
        <v>0</v>
      </c>
      <c r="K134" s="54">
        <v>2</v>
      </c>
      <c r="L134" s="54">
        <v>55</v>
      </c>
      <c r="M134" s="54">
        <v>120</v>
      </c>
      <c r="N134" s="54">
        <v>164</v>
      </c>
      <c r="O134" s="54">
        <v>13</v>
      </c>
      <c r="P134" s="54">
        <v>0</v>
      </c>
      <c r="Q134" s="54">
        <v>0</v>
      </c>
      <c r="R134" s="54">
        <v>147</v>
      </c>
      <c r="S134" s="54">
        <v>14</v>
      </c>
      <c r="T134" s="54">
        <v>4</v>
      </c>
      <c r="U134" s="54">
        <v>13</v>
      </c>
      <c r="V134" s="54">
        <v>152</v>
      </c>
      <c r="W134" s="54">
        <v>208</v>
      </c>
      <c r="X134" s="56" t="s">
        <v>313</v>
      </c>
      <c r="Y134" s="56" t="s">
        <v>313</v>
      </c>
      <c r="Z134" s="56" t="s">
        <v>313</v>
      </c>
      <c r="AA134" s="56" t="s">
        <v>313</v>
      </c>
    </row>
    <row r="135" spans="1:27" ht="15.6">
      <c r="A135" s="53" t="s">
        <v>203</v>
      </c>
      <c r="B135" s="54" t="s">
        <v>784</v>
      </c>
      <c r="C135" s="54" t="s">
        <v>785</v>
      </c>
      <c r="D135" s="54" t="s">
        <v>447</v>
      </c>
      <c r="E135" s="54">
        <v>44503</v>
      </c>
      <c r="F135" s="54" t="s">
        <v>448</v>
      </c>
      <c r="G135" s="54" t="s">
        <v>371</v>
      </c>
      <c r="H135" s="54" t="s">
        <v>372</v>
      </c>
      <c r="I135" s="342">
        <v>17</v>
      </c>
      <c r="J135" s="54">
        <v>70</v>
      </c>
      <c r="K135" s="54">
        <v>13</v>
      </c>
      <c r="L135" s="54">
        <v>6</v>
      </c>
      <c r="M135" s="54">
        <v>2</v>
      </c>
      <c r="N135" s="54">
        <v>10</v>
      </c>
      <c r="O135" s="54">
        <v>44</v>
      </c>
      <c r="P135" s="54">
        <v>4</v>
      </c>
      <c r="Q135" s="54">
        <v>33</v>
      </c>
      <c r="R135" s="54">
        <v>3</v>
      </c>
      <c r="S135" s="54">
        <v>7</v>
      </c>
      <c r="T135" s="54">
        <v>6</v>
      </c>
      <c r="U135" s="54">
        <v>75</v>
      </c>
      <c r="V135" s="54">
        <v>43</v>
      </c>
      <c r="W135" s="54" t="s">
        <v>313</v>
      </c>
      <c r="X135" s="56" t="s">
        <v>313</v>
      </c>
      <c r="Y135" s="56" t="s">
        <v>313</v>
      </c>
      <c r="Z135" s="56" t="s">
        <v>313</v>
      </c>
      <c r="AA135" s="56" t="s">
        <v>313</v>
      </c>
    </row>
    <row r="136" spans="1:27" ht="15.6">
      <c r="A136" s="53" t="s">
        <v>786</v>
      </c>
      <c r="B136" s="54" t="s">
        <v>787</v>
      </c>
      <c r="C136" s="54" t="s">
        <v>788</v>
      </c>
      <c r="D136" s="54" t="s">
        <v>511</v>
      </c>
      <c r="E136" s="54">
        <v>46203</v>
      </c>
      <c r="F136" s="54" t="s">
        <v>413</v>
      </c>
      <c r="G136" s="54" t="s">
        <v>371</v>
      </c>
      <c r="H136" s="54" t="s">
        <v>372</v>
      </c>
      <c r="I136" s="342">
        <v>29</v>
      </c>
      <c r="J136" s="54">
        <v>48</v>
      </c>
      <c r="K136" s="54">
        <v>12</v>
      </c>
      <c r="L136" s="54">
        <v>3</v>
      </c>
      <c r="M136" s="54">
        <v>2</v>
      </c>
      <c r="N136" s="54">
        <v>9</v>
      </c>
      <c r="O136" s="54">
        <v>57</v>
      </c>
      <c r="P136" s="54">
        <v>0</v>
      </c>
      <c r="Q136" s="54">
        <v>0</v>
      </c>
      <c r="R136" s="54">
        <v>2</v>
      </c>
      <c r="S136" s="54">
        <v>3</v>
      </c>
      <c r="T136" s="54">
        <v>6</v>
      </c>
      <c r="U136" s="54">
        <v>54</v>
      </c>
      <c r="V136" s="54">
        <v>33</v>
      </c>
      <c r="W136" s="54" t="s">
        <v>313</v>
      </c>
      <c r="X136" s="56" t="s">
        <v>382</v>
      </c>
      <c r="Y136" s="58">
        <v>45291</v>
      </c>
      <c r="Z136" s="56" t="s">
        <v>383</v>
      </c>
      <c r="AA136" s="56" t="s">
        <v>355</v>
      </c>
    </row>
    <row r="137" spans="1:27" ht="15.6">
      <c r="A137" s="53" t="s">
        <v>789</v>
      </c>
      <c r="B137" s="54" t="s">
        <v>790</v>
      </c>
      <c r="C137" s="54" t="s">
        <v>791</v>
      </c>
      <c r="D137" s="54" t="s">
        <v>387</v>
      </c>
      <c r="E137" s="54">
        <v>34994</v>
      </c>
      <c r="F137" s="54" t="s">
        <v>388</v>
      </c>
      <c r="G137" s="54" t="s">
        <v>371</v>
      </c>
      <c r="H137" s="54" t="s">
        <v>372</v>
      </c>
      <c r="I137" s="342">
        <v>2</v>
      </c>
      <c r="J137" s="54">
        <v>2</v>
      </c>
      <c r="K137" s="54">
        <v>0</v>
      </c>
      <c r="L137" s="54">
        <v>2</v>
      </c>
      <c r="M137" s="54">
        <v>1</v>
      </c>
      <c r="N137" s="54">
        <v>0</v>
      </c>
      <c r="O137" s="54">
        <v>2</v>
      </c>
      <c r="P137" s="54">
        <v>1</v>
      </c>
      <c r="Q137" s="54">
        <v>3</v>
      </c>
      <c r="R137" s="54">
        <v>1</v>
      </c>
      <c r="S137" s="54">
        <v>0</v>
      </c>
      <c r="T137" s="54">
        <v>0</v>
      </c>
      <c r="U137" s="54">
        <v>4</v>
      </c>
      <c r="V137" s="54">
        <v>2</v>
      </c>
      <c r="W137" s="54" t="s">
        <v>313</v>
      </c>
      <c r="X137" s="56" t="s">
        <v>313</v>
      </c>
      <c r="Y137" s="56" t="s">
        <v>313</v>
      </c>
      <c r="Z137" s="56" t="s">
        <v>313</v>
      </c>
      <c r="AA137" s="56" t="s">
        <v>313</v>
      </c>
    </row>
    <row r="138" spans="1:27" ht="15.6">
      <c r="A138" s="53" t="s">
        <v>792</v>
      </c>
      <c r="B138" s="54" t="s">
        <v>793</v>
      </c>
      <c r="C138" s="54" t="s">
        <v>794</v>
      </c>
      <c r="D138" s="54" t="s">
        <v>543</v>
      </c>
      <c r="E138" s="54">
        <v>69001</v>
      </c>
      <c r="F138" s="54" t="s">
        <v>444</v>
      </c>
      <c r="G138" s="54" t="s">
        <v>351</v>
      </c>
      <c r="H138" s="54" t="s">
        <v>313</v>
      </c>
      <c r="I138" s="342">
        <v>12</v>
      </c>
      <c r="J138" s="54">
        <v>13</v>
      </c>
      <c r="K138" s="54">
        <v>4</v>
      </c>
      <c r="L138" s="54">
        <v>8</v>
      </c>
      <c r="M138" s="54">
        <v>4</v>
      </c>
      <c r="N138" s="54">
        <v>15</v>
      </c>
      <c r="O138" s="54">
        <v>13</v>
      </c>
      <c r="P138" s="54">
        <v>0</v>
      </c>
      <c r="Q138" s="54">
        <v>0</v>
      </c>
      <c r="R138" s="54">
        <v>4</v>
      </c>
      <c r="S138" s="54">
        <v>5</v>
      </c>
      <c r="T138" s="54">
        <v>8</v>
      </c>
      <c r="U138" s="54">
        <v>10</v>
      </c>
      <c r="V138" s="54">
        <v>12</v>
      </c>
      <c r="W138" s="54">
        <v>300</v>
      </c>
      <c r="X138" s="56" t="s">
        <v>313</v>
      </c>
      <c r="Y138" s="56" t="s">
        <v>313</v>
      </c>
      <c r="Z138" s="56" t="s">
        <v>313</v>
      </c>
      <c r="AA138" s="56" t="s">
        <v>313</v>
      </c>
    </row>
    <row r="139" spans="1:27" ht="15.6">
      <c r="A139" s="53" t="s">
        <v>795</v>
      </c>
      <c r="B139" s="54" t="s">
        <v>796</v>
      </c>
      <c r="C139" s="54" t="s">
        <v>797</v>
      </c>
      <c r="D139" s="54" t="s">
        <v>358</v>
      </c>
      <c r="E139" s="54">
        <v>93301</v>
      </c>
      <c r="F139" s="54" t="s">
        <v>456</v>
      </c>
      <c r="G139" s="54" t="s">
        <v>360</v>
      </c>
      <c r="H139" s="54" t="s">
        <v>352</v>
      </c>
      <c r="I139" s="342">
        <v>39</v>
      </c>
      <c r="J139" s="54">
        <v>237</v>
      </c>
      <c r="K139" s="54">
        <v>34</v>
      </c>
      <c r="L139" s="54">
        <v>50</v>
      </c>
      <c r="M139" s="54">
        <v>50</v>
      </c>
      <c r="N139" s="54">
        <v>84</v>
      </c>
      <c r="O139" s="54">
        <v>285</v>
      </c>
      <c r="P139" s="54">
        <v>0</v>
      </c>
      <c r="Q139" s="54">
        <v>1</v>
      </c>
      <c r="R139" s="54">
        <v>54</v>
      </c>
      <c r="S139" s="54">
        <v>16</v>
      </c>
      <c r="T139" s="54">
        <v>24</v>
      </c>
      <c r="U139" s="54">
        <v>277</v>
      </c>
      <c r="V139" s="54">
        <v>115</v>
      </c>
      <c r="W139" s="54">
        <v>320</v>
      </c>
      <c r="X139" s="56" t="s">
        <v>353</v>
      </c>
      <c r="Y139" s="58">
        <v>45764</v>
      </c>
      <c r="Z139" s="56" t="s">
        <v>354</v>
      </c>
      <c r="AA139" s="56" t="s">
        <v>355</v>
      </c>
    </row>
    <row r="140" spans="1:27" ht="15.6">
      <c r="A140" s="53" t="s">
        <v>205</v>
      </c>
      <c r="B140" s="54" t="s">
        <v>798</v>
      </c>
      <c r="C140" s="54" t="s">
        <v>799</v>
      </c>
      <c r="D140" s="54" t="s">
        <v>511</v>
      </c>
      <c r="E140" s="54">
        <v>46914</v>
      </c>
      <c r="F140" s="54" t="s">
        <v>413</v>
      </c>
      <c r="G140" s="54" t="s">
        <v>376</v>
      </c>
      <c r="H140" s="54" t="s">
        <v>352</v>
      </c>
      <c r="I140" s="342">
        <v>20</v>
      </c>
      <c r="J140" s="54">
        <v>2</v>
      </c>
      <c r="K140" s="54">
        <v>1</v>
      </c>
      <c r="L140" s="54">
        <v>144</v>
      </c>
      <c r="M140" s="54">
        <v>122</v>
      </c>
      <c r="N140" s="54">
        <v>172</v>
      </c>
      <c r="O140" s="54">
        <v>98</v>
      </c>
      <c r="P140" s="54">
        <v>0</v>
      </c>
      <c r="Q140" s="54">
        <v>0</v>
      </c>
      <c r="R140" s="54">
        <v>121</v>
      </c>
      <c r="S140" s="54">
        <v>43</v>
      </c>
      <c r="T140" s="54">
        <v>27</v>
      </c>
      <c r="U140" s="54">
        <v>78</v>
      </c>
      <c r="V140" s="54">
        <v>138</v>
      </c>
      <c r="W140" s="54" t="s">
        <v>313</v>
      </c>
      <c r="X140" s="56" t="s">
        <v>313</v>
      </c>
      <c r="Y140" s="56" t="s">
        <v>313</v>
      </c>
      <c r="Z140" s="56" t="s">
        <v>313</v>
      </c>
      <c r="AA140" s="56" t="s">
        <v>313</v>
      </c>
    </row>
    <row r="141" spans="1:27" ht="15.6">
      <c r="A141" s="53" t="s">
        <v>800</v>
      </c>
      <c r="B141" s="54" t="s">
        <v>801</v>
      </c>
      <c r="C141" s="54" t="s">
        <v>742</v>
      </c>
      <c r="D141" s="54" t="s">
        <v>387</v>
      </c>
      <c r="E141" s="54">
        <v>33132</v>
      </c>
      <c r="F141" s="54" t="s">
        <v>388</v>
      </c>
      <c r="G141" s="54" t="s">
        <v>403</v>
      </c>
      <c r="H141" s="54" t="s">
        <v>372</v>
      </c>
      <c r="I141" s="342">
        <v>56</v>
      </c>
      <c r="J141" s="54">
        <v>49</v>
      </c>
      <c r="K141" s="54">
        <v>27</v>
      </c>
      <c r="L141" s="54">
        <v>235</v>
      </c>
      <c r="M141" s="54">
        <v>154</v>
      </c>
      <c r="N141" s="54">
        <v>232</v>
      </c>
      <c r="O141" s="54">
        <v>233</v>
      </c>
      <c r="P141" s="54">
        <v>0</v>
      </c>
      <c r="Q141" s="54">
        <v>0</v>
      </c>
      <c r="R141" s="54">
        <v>141</v>
      </c>
      <c r="S141" s="54">
        <v>66</v>
      </c>
      <c r="T141" s="54">
        <v>42</v>
      </c>
      <c r="U141" s="54">
        <v>216</v>
      </c>
      <c r="V141" s="54">
        <v>201</v>
      </c>
      <c r="W141" s="54" t="s">
        <v>313</v>
      </c>
      <c r="X141" s="56" t="s">
        <v>313</v>
      </c>
      <c r="Y141" s="56" t="s">
        <v>313</v>
      </c>
      <c r="Z141" s="56" t="s">
        <v>313</v>
      </c>
      <c r="AA141" s="56" t="s">
        <v>313</v>
      </c>
    </row>
    <row r="142" spans="1:27" ht="15.6">
      <c r="A142" s="53" t="s">
        <v>802</v>
      </c>
      <c r="B142" s="54" t="s">
        <v>803</v>
      </c>
      <c r="C142" s="54" t="s">
        <v>742</v>
      </c>
      <c r="D142" s="54" t="s">
        <v>387</v>
      </c>
      <c r="E142" s="54">
        <v>33101</v>
      </c>
      <c r="F142" s="54" t="s">
        <v>388</v>
      </c>
      <c r="G142" s="54" t="s">
        <v>365</v>
      </c>
      <c r="H142" s="54" t="s">
        <v>372</v>
      </c>
      <c r="I142" s="342">
        <v>1</v>
      </c>
      <c r="J142" s="54">
        <v>7</v>
      </c>
      <c r="K142" s="54">
        <v>2</v>
      </c>
      <c r="L142" s="54">
        <v>2</v>
      </c>
      <c r="M142" s="54">
        <v>1</v>
      </c>
      <c r="N142" s="54">
        <v>2</v>
      </c>
      <c r="O142" s="54">
        <v>10</v>
      </c>
      <c r="P142" s="54">
        <v>0</v>
      </c>
      <c r="Q142" s="54">
        <v>0</v>
      </c>
      <c r="R142" s="54">
        <v>1</v>
      </c>
      <c r="S142" s="54">
        <v>1</v>
      </c>
      <c r="T142" s="54">
        <v>1</v>
      </c>
      <c r="U142" s="54">
        <v>9</v>
      </c>
      <c r="V142" s="54">
        <v>6</v>
      </c>
      <c r="W142" s="54" t="s">
        <v>313</v>
      </c>
      <c r="X142" s="56" t="s">
        <v>313</v>
      </c>
      <c r="Y142" s="56" t="s">
        <v>313</v>
      </c>
      <c r="Z142" s="56" t="s">
        <v>313</v>
      </c>
      <c r="AA142" s="56" t="s">
        <v>313</v>
      </c>
    </row>
    <row r="143" spans="1:27" ht="15.6">
      <c r="A143" s="53" t="s">
        <v>804</v>
      </c>
      <c r="B143" s="54" t="s">
        <v>805</v>
      </c>
      <c r="C143" s="54" t="s">
        <v>806</v>
      </c>
      <c r="D143" s="54" t="s">
        <v>807</v>
      </c>
      <c r="E143" s="54">
        <v>71854</v>
      </c>
      <c r="F143" s="54" t="s">
        <v>350</v>
      </c>
      <c r="G143" s="54" t="s">
        <v>371</v>
      </c>
      <c r="H143" s="54" t="s">
        <v>372</v>
      </c>
      <c r="I143" s="342">
        <v>2</v>
      </c>
      <c r="J143" s="54">
        <v>2</v>
      </c>
      <c r="K143" s="54">
        <v>1</v>
      </c>
      <c r="L143" s="54">
        <v>1</v>
      </c>
      <c r="M143" s="54">
        <v>0</v>
      </c>
      <c r="N143" s="54">
        <v>1</v>
      </c>
      <c r="O143" s="54">
        <v>3</v>
      </c>
      <c r="P143" s="54">
        <v>0</v>
      </c>
      <c r="Q143" s="54">
        <v>0</v>
      </c>
      <c r="R143" s="54">
        <v>1</v>
      </c>
      <c r="S143" s="54">
        <v>0</v>
      </c>
      <c r="T143" s="54">
        <v>0</v>
      </c>
      <c r="U143" s="54">
        <v>3</v>
      </c>
      <c r="V143" s="54">
        <v>2</v>
      </c>
      <c r="W143" s="54" t="s">
        <v>313</v>
      </c>
      <c r="X143" s="56" t="s">
        <v>382</v>
      </c>
      <c r="Y143" s="58">
        <v>45362</v>
      </c>
      <c r="Z143" s="56" t="s">
        <v>383</v>
      </c>
      <c r="AA143" s="56" t="s">
        <v>355</v>
      </c>
    </row>
    <row r="144" spans="1:27" ht="15.6">
      <c r="A144" s="53" t="s">
        <v>808</v>
      </c>
      <c r="B144" s="54" t="s">
        <v>809</v>
      </c>
      <c r="C144" s="54" t="s">
        <v>810</v>
      </c>
      <c r="D144" s="54" t="s">
        <v>609</v>
      </c>
      <c r="E144" s="54">
        <v>83318</v>
      </c>
      <c r="F144" s="54" t="s">
        <v>473</v>
      </c>
      <c r="G144" s="54" t="s">
        <v>371</v>
      </c>
      <c r="H144" s="54" t="s">
        <v>372</v>
      </c>
      <c r="I144" s="342">
        <v>3</v>
      </c>
      <c r="J144" s="54">
        <v>3</v>
      </c>
      <c r="K144" s="54">
        <v>1</v>
      </c>
      <c r="L144" s="54">
        <v>0</v>
      </c>
      <c r="M144" s="54">
        <v>0</v>
      </c>
      <c r="N144" s="54">
        <v>2</v>
      </c>
      <c r="O144" s="54">
        <v>3</v>
      </c>
      <c r="P144" s="54">
        <v>0</v>
      </c>
      <c r="Q144" s="54">
        <v>0</v>
      </c>
      <c r="R144" s="54">
        <v>1</v>
      </c>
      <c r="S144" s="54">
        <v>1</v>
      </c>
      <c r="T144" s="54">
        <v>1</v>
      </c>
      <c r="U144" s="54">
        <v>2</v>
      </c>
      <c r="V144" s="54">
        <v>1</v>
      </c>
      <c r="W144" s="54" t="s">
        <v>313</v>
      </c>
      <c r="X144" s="56" t="s">
        <v>353</v>
      </c>
      <c r="Y144" s="58">
        <v>45498</v>
      </c>
      <c r="Z144" s="56" t="s">
        <v>392</v>
      </c>
      <c r="AA144" s="56" t="s">
        <v>397</v>
      </c>
    </row>
    <row r="145" spans="1:27" ht="15.6">
      <c r="A145" s="53" t="s">
        <v>811</v>
      </c>
      <c r="B145" s="54" t="s">
        <v>812</v>
      </c>
      <c r="C145" s="54" t="s">
        <v>813</v>
      </c>
      <c r="D145" s="54" t="s">
        <v>762</v>
      </c>
      <c r="E145" s="54">
        <v>57104</v>
      </c>
      <c r="F145" s="54" t="s">
        <v>444</v>
      </c>
      <c r="G145" s="54" t="s">
        <v>371</v>
      </c>
      <c r="H145" s="54" t="s">
        <v>372</v>
      </c>
      <c r="I145" s="342">
        <v>3</v>
      </c>
      <c r="J145" s="54">
        <v>2</v>
      </c>
      <c r="K145" s="54">
        <v>2</v>
      </c>
      <c r="L145" s="54">
        <v>1</v>
      </c>
      <c r="M145" s="54">
        <v>0</v>
      </c>
      <c r="N145" s="54">
        <v>1</v>
      </c>
      <c r="O145" s="54">
        <v>4</v>
      </c>
      <c r="P145" s="54">
        <v>0</v>
      </c>
      <c r="Q145" s="54">
        <v>0</v>
      </c>
      <c r="R145" s="54">
        <v>0</v>
      </c>
      <c r="S145" s="54">
        <v>0</v>
      </c>
      <c r="T145" s="54">
        <v>1</v>
      </c>
      <c r="U145" s="54">
        <v>4</v>
      </c>
      <c r="V145" s="54">
        <v>2</v>
      </c>
      <c r="W145" s="54" t="s">
        <v>313</v>
      </c>
      <c r="X145" s="56" t="s">
        <v>382</v>
      </c>
      <c r="Y145" s="58">
        <v>45632</v>
      </c>
      <c r="Z145" s="56" t="s">
        <v>383</v>
      </c>
      <c r="AA145" s="56" t="s">
        <v>355</v>
      </c>
    </row>
    <row r="146" spans="1:27" ht="15.6">
      <c r="A146" s="53" t="s">
        <v>209</v>
      </c>
      <c r="B146" s="54" t="s">
        <v>814</v>
      </c>
      <c r="C146" s="54" t="s">
        <v>815</v>
      </c>
      <c r="D146" s="54" t="s">
        <v>452</v>
      </c>
      <c r="E146" s="54">
        <v>48161</v>
      </c>
      <c r="F146" s="54" t="s">
        <v>448</v>
      </c>
      <c r="G146" s="54" t="s">
        <v>376</v>
      </c>
      <c r="H146" s="54" t="s">
        <v>352</v>
      </c>
      <c r="I146" s="342">
        <v>46</v>
      </c>
      <c r="J146" s="54">
        <v>110</v>
      </c>
      <c r="K146" s="54">
        <v>11</v>
      </c>
      <c r="L146" s="54">
        <v>2</v>
      </c>
      <c r="M146" s="54">
        <v>3</v>
      </c>
      <c r="N146" s="54">
        <v>15</v>
      </c>
      <c r="O146" s="54">
        <v>112</v>
      </c>
      <c r="P146" s="54">
        <v>0</v>
      </c>
      <c r="Q146" s="54">
        <v>0</v>
      </c>
      <c r="R146" s="54">
        <v>3</v>
      </c>
      <c r="S146" s="54">
        <v>1</v>
      </c>
      <c r="T146" s="54">
        <v>10</v>
      </c>
      <c r="U146" s="54">
        <v>112</v>
      </c>
      <c r="V146" s="54">
        <v>50</v>
      </c>
      <c r="W146" s="54" t="s">
        <v>313</v>
      </c>
      <c r="X146" s="56" t="s">
        <v>353</v>
      </c>
      <c r="Y146" s="58">
        <v>45729</v>
      </c>
      <c r="Z146" s="56" t="s">
        <v>392</v>
      </c>
      <c r="AA146" s="56" t="s">
        <v>355</v>
      </c>
    </row>
    <row r="147" spans="1:27" ht="15.6">
      <c r="A147" s="53" t="s">
        <v>816</v>
      </c>
      <c r="B147" s="54" t="s">
        <v>817</v>
      </c>
      <c r="C147" s="54" t="s">
        <v>818</v>
      </c>
      <c r="D147" s="54" t="s">
        <v>369</v>
      </c>
      <c r="E147" s="54">
        <v>12068</v>
      </c>
      <c r="F147" s="54" t="s">
        <v>370</v>
      </c>
      <c r="G147" s="54" t="s">
        <v>478</v>
      </c>
      <c r="H147" s="54" t="s">
        <v>372</v>
      </c>
      <c r="I147" s="342">
        <v>2</v>
      </c>
      <c r="J147" s="54">
        <v>3</v>
      </c>
      <c r="K147" s="54">
        <v>0</v>
      </c>
      <c r="L147" s="54">
        <v>0</v>
      </c>
      <c r="M147" s="54">
        <v>0</v>
      </c>
      <c r="N147" s="54">
        <v>0</v>
      </c>
      <c r="O147" s="54">
        <v>3</v>
      </c>
      <c r="P147" s="54">
        <v>0</v>
      </c>
      <c r="Q147" s="54">
        <v>0</v>
      </c>
      <c r="R147" s="54">
        <v>0</v>
      </c>
      <c r="S147" s="54">
        <v>0</v>
      </c>
      <c r="T147" s="54">
        <v>0</v>
      </c>
      <c r="U147" s="54">
        <v>3</v>
      </c>
      <c r="V147" s="54">
        <v>1</v>
      </c>
      <c r="W147" s="54" t="s">
        <v>313</v>
      </c>
      <c r="X147" s="56" t="s">
        <v>313</v>
      </c>
      <c r="Y147" s="56" t="s">
        <v>313</v>
      </c>
      <c r="Z147" s="56" t="s">
        <v>313</v>
      </c>
      <c r="AA147" s="56" t="s">
        <v>313</v>
      </c>
    </row>
    <row r="148" spans="1:27" ht="15.6">
      <c r="A148" s="53" t="s">
        <v>819</v>
      </c>
      <c r="B148" s="54" t="s">
        <v>820</v>
      </c>
      <c r="C148" s="54" t="s">
        <v>718</v>
      </c>
      <c r="D148" s="54" t="s">
        <v>407</v>
      </c>
      <c r="E148" s="54">
        <v>77301</v>
      </c>
      <c r="F148" s="54" t="s">
        <v>700</v>
      </c>
      <c r="G148" s="54" t="s">
        <v>360</v>
      </c>
      <c r="H148" s="54" t="s">
        <v>352</v>
      </c>
      <c r="I148" s="342">
        <v>15</v>
      </c>
      <c r="J148" s="54">
        <v>364</v>
      </c>
      <c r="K148" s="54">
        <v>506</v>
      </c>
      <c r="L148" s="54">
        <v>221</v>
      </c>
      <c r="M148" s="54">
        <v>70</v>
      </c>
      <c r="N148" s="54">
        <v>307</v>
      </c>
      <c r="O148" s="54">
        <v>595</v>
      </c>
      <c r="P148" s="54">
        <v>28</v>
      </c>
      <c r="Q148" s="54">
        <v>231</v>
      </c>
      <c r="R148" s="54">
        <v>191</v>
      </c>
      <c r="S148" s="54">
        <v>81</v>
      </c>
      <c r="T148" s="54">
        <v>100</v>
      </c>
      <c r="U148" s="54">
        <v>790</v>
      </c>
      <c r="V148" s="54">
        <v>635</v>
      </c>
      <c r="W148" s="54">
        <v>750</v>
      </c>
      <c r="X148" s="56" t="s">
        <v>353</v>
      </c>
      <c r="Y148" s="58">
        <v>45631</v>
      </c>
      <c r="Z148" s="56" t="s">
        <v>354</v>
      </c>
      <c r="AA148" s="56" t="s">
        <v>355</v>
      </c>
    </row>
    <row r="149" spans="1:27" ht="15.6">
      <c r="A149" s="53" t="s">
        <v>211</v>
      </c>
      <c r="B149" s="54" t="s">
        <v>821</v>
      </c>
      <c r="C149" s="54" t="s">
        <v>822</v>
      </c>
      <c r="D149" s="54" t="s">
        <v>460</v>
      </c>
      <c r="E149" s="54">
        <v>16866</v>
      </c>
      <c r="F149" s="54" t="s">
        <v>461</v>
      </c>
      <c r="G149" s="54" t="s">
        <v>351</v>
      </c>
      <c r="H149" s="54" t="s">
        <v>372</v>
      </c>
      <c r="I149" s="342">
        <v>59</v>
      </c>
      <c r="J149" s="54">
        <v>705</v>
      </c>
      <c r="K149" s="54">
        <v>225</v>
      </c>
      <c r="L149" s="54">
        <v>370</v>
      </c>
      <c r="M149" s="54">
        <v>300</v>
      </c>
      <c r="N149" s="54">
        <v>507</v>
      </c>
      <c r="O149" s="55">
        <v>1044</v>
      </c>
      <c r="P149" s="54">
        <v>22</v>
      </c>
      <c r="Q149" s="54">
        <v>27</v>
      </c>
      <c r="R149" s="54">
        <v>340</v>
      </c>
      <c r="S149" s="54">
        <v>111</v>
      </c>
      <c r="T149" s="54">
        <v>116</v>
      </c>
      <c r="U149" s="55">
        <v>1034</v>
      </c>
      <c r="V149" s="54">
        <v>722</v>
      </c>
      <c r="W149" s="54">
        <v>800</v>
      </c>
      <c r="X149" s="56" t="s">
        <v>353</v>
      </c>
      <c r="Y149" s="58">
        <v>45722</v>
      </c>
      <c r="Z149" s="56" t="s">
        <v>354</v>
      </c>
      <c r="AA149" s="56" t="s">
        <v>355</v>
      </c>
    </row>
    <row r="150" spans="1:27" ht="15.6">
      <c r="A150" s="53" t="s">
        <v>823</v>
      </c>
      <c r="B150" s="54" t="s">
        <v>824</v>
      </c>
      <c r="C150" s="54" t="s">
        <v>825</v>
      </c>
      <c r="D150" s="54" t="s">
        <v>685</v>
      </c>
      <c r="E150" s="54">
        <v>52761</v>
      </c>
      <c r="F150" s="54" t="s">
        <v>444</v>
      </c>
      <c r="G150" s="54" t="s">
        <v>371</v>
      </c>
      <c r="H150" s="54" t="s">
        <v>372</v>
      </c>
      <c r="I150" s="342">
        <v>42</v>
      </c>
      <c r="J150" s="54">
        <v>7</v>
      </c>
      <c r="K150" s="54">
        <v>4</v>
      </c>
      <c r="L150" s="54">
        <v>0</v>
      </c>
      <c r="M150" s="54">
        <v>5</v>
      </c>
      <c r="N150" s="54">
        <v>9</v>
      </c>
      <c r="O150" s="54">
        <v>5</v>
      </c>
      <c r="P150" s="54">
        <v>1</v>
      </c>
      <c r="Q150" s="54">
        <v>2</v>
      </c>
      <c r="R150" s="54">
        <v>5</v>
      </c>
      <c r="S150" s="54">
        <v>3</v>
      </c>
      <c r="T150" s="54">
        <v>3</v>
      </c>
      <c r="U150" s="54">
        <v>6</v>
      </c>
      <c r="V150" s="54">
        <v>8</v>
      </c>
      <c r="W150" s="54" t="s">
        <v>313</v>
      </c>
      <c r="X150" s="56" t="s">
        <v>313</v>
      </c>
      <c r="Y150" s="56" t="s">
        <v>313</v>
      </c>
      <c r="Z150" s="56" t="s">
        <v>313</v>
      </c>
      <c r="AA150" s="56" t="s">
        <v>313</v>
      </c>
    </row>
    <row r="151" spans="1:27" ht="15.6">
      <c r="A151" s="53" t="s">
        <v>826</v>
      </c>
      <c r="B151" s="54" t="s">
        <v>827</v>
      </c>
      <c r="C151" s="54" t="s">
        <v>828</v>
      </c>
      <c r="D151" s="54" t="s">
        <v>369</v>
      </c>
      <c r="E151" s="54">
        <v>11554</v>
      </c>
      <c r="F151" s="54" t="s">
        <v>420</v>
      </c>
      <c r="G151" s="54" t="s">
        <v>371</v>
      </c>
      <c r="H151" s="54" t="s">
        <v>372</v>
      </c>
      <c r="I151" s="342">
        <v>2</v>
      </c>
      <c r="J151" s="54">
        <v>4</v>
      </c>
      <c r="K151" s="54">
        <v>0</v>
      </c>
      <c r="L151" s="54">
        <v>0</v>
      </c>
      <c r="M151" s="54">
        <v>0</v>
      </c>
      <c r="N151" s="54">
        <v>0</v>
      </c>
      <c r="O151" s="54">
        <v>4</v>
      </c>
      <c r="P151" s="54">
        <v>0</v>
      </c>
      <c r="Q151" s="54">
        <v>0</v>
      </c>
      <c r="R151" s="54">
        <v>0</v>
      </c>
      <c r="S151" s="54">
        <v>0</v>
      </c>
      <c r="T151" s="54">
        <v>0</v>
      </c>
      <c r="U151" s="54">
        <v>4</v>
      </c>
      <c r="V151" s="54">
        <v>2</v>
      </c>
      <c r="W151" s="54" t="s">
        <v>313</v>
      </c>
      <c r="X151" s="56" t="s">
        <v>313</v>
      </c>
      <c r="Y151" s="56" t="s">
        <v>313</v>
      </c>
      <c r="Z151" s="56" t="s">
        <v>313</v>
      </c>
      <c r="AA151" s="56" t="s">
        <v>313</v>
      </c>
    </row>
    <row r="152" spans="1:27" ht="15.6">
      <c r="A152" s="53" t="s">
        <v>829</v>
      </c>
      <c r="B152" s="54" t="s">
        <v>830</v>
      </c>
      <c r="C152" s="54" t="s">
        <v>831</v>
      </c>
      <c r="D152" s="54" t="s">
        <v>752</v>
      </c>
      <c r="E152" s="54">
        <v>82601</v>
      </c>
      <c r="F152" s="54" t="s">
        <v>562</v>
      </c>
      <c r="G152" s="54" t="s">
        <v>371</v>
      </c>
      <c r="H152" s="54" t="s">
        <v>372</v>
      </c>
      <c r="I152" s="342">
        <v>14</v>
      </c>
      <c r="J152" s="54">
        <v>12</v>
      </c>
      <c r="K152" s="54">
        <v>3</v>
      </c>
      <c r="L152" s="54">
        <v>2</v>
      </c>
      <c r="M152" s="54">
        <v>2</v>
      </c>
      <c r="N152" s="54">
        <v>2</v>
      </c>
      <c r="O152" s="54">
        <v>14</v>
      </c>
      <c r="P152" s="54">
        <v>1</v>
      </c>
      <c r="Q152" s="54">
        <v>1</v>
      </c>
      <c r="R152" s="54">
        <v>1</v>
      </c>
      <c r="S152" s="54">
        <v>2</v>
      </c>
      <c r="T152" s="54">
        <v>0</v>
      </c>
      <c r="U152" s="54">
        <v>15</v>
      </c>
      <c r="V152" s="54">
        <v>10</v>
      </c>
      <c r="W152" s="54" t="s">
        <v>313</v>
      </c>
      <c r="X152" s="56" t="s">
        <v>425</v>
      </c>
      <c r="Y152" s="58">
        <v>45869</v>
      </c>
      <c r="Z152" s="56" t="s">
        <v>392</v>
      </c>
      <c r="AA152" s="56" t="s">
        <v>355</v>
      </c>
    </row>
    <row r="153" spans="1:27" ht="15.6">
      <c r="A153" s="53" t="s">
        <v>832</v>
      </c>
      <c r="B153" s="54" t="s">
        <v>833</v>
      </c>
      <c r="C153" s="54" t="s">
        <v>834</v>
      </c>
      <c r="D153" s="54" t="s">
        <v>689</v>
      </c>
      <c r="E153" s="54">
        <v>89060</v>
      </c>
      <c r="F153" s="54" t="s">
        <v>473</v>
      </c>
      <c r="G153" s="54" t="s">
        <v>478</v>
      </c>
      <c r="H153" s="54" t="s">
        <v>352</v>
      </c>
      <c r="I153" s="342">
        <v>39</v>
      </c>
      <c r="J153" s="54">
        <v>186</v>
      </c>
      <c r="K153" s="54">
        <v>122</v>
      </c>
      <c r="L153" s="54">
        <v>98</v>
      </c>
      <c r="M153" s="54">
        <v>54</v>
      </c>
      <c r="N153" s="54">
        <v>213</v>
      </c>
      <c r="O153" s="54">
        <v>247</v>
      </c>
      <c r="P153" s="54">
        <v>0</v>
      </c>
      <c r="Q153" s="54">
        <v>0</v>
      </c>
      <c r="R153" s="54">
        <v>120</v>
      </c>
      <c r="S153" s="54">
        <v>44</v>
      </c>
      <c r="T153" s="54">
        <v>75</v>
      </c>
      <c r="U153" s="54">
        <v>221</v>
      </c>
      <c r="V153" s="54">
        <v>219</v>
      </c>
      <c r="W153" s="54" t="s">
        <v>313</v>
      </c>
      <c r="X153" s="56" t="s">
        <v>353</v>
      </c>
      <c r="Y153" s="58">
        <v>45743</v>
      </c>
      <c r="Z153" s="56" t="s">
        <v>392</v>
      </c>
      <c r="AA153" s="56" t="s">
        <v>355</v>
      </c>
    </row>
    <row r="154" spans="1:27" ht="15.6">
      <c r="A154" s="53" t="s">
        <v>835</v>
      </c>
      <c r="B154" s="54" t="s">
        <v>836</v>
      </c>
      <c r="C154" s="54" t="s">
        <v>837</v>
      </c>
      <c r="D154" s="54" t="s">
        <v>838</v>
      </c>
      <c r="E154" s="54">
        <v>28429</v>
      </c>
      <c r="F154" s="54" t="s">
        <v>631</v>
      </c>
      <c r="G154" s="54" t="s">
        <v>371</v>
      </c>
      <c r="H154" s="54" t="s">
        <v>372</v>
      </c>
      <c r="I154" s="342">
        <v>2</v>
      </c>
      <c r="J154" s="54">
        <v>2</v>
      </c>
      <c r="K154" s="54">
        <v>1</v>
      </c>
      <c r="L154" s="54">
        <v>1</v>
      </c>
      <c r="M154" s="54">
        <v>0</v>
      </c>
      <c r="N154" s="54">
        <v>1</v>
      </c>
      <c r="O154" s="54">
        <v>3</v>
      </c>
      <c r="P154" s="54">
        <v>0</v>
      </c>
      <c r="Q154" s="54">
        <v>0</v>
      </c>
      <c r="R154" s="54">
        <v>0</v>
      </c>
      <c r="S154" s="54">
        <v>0</v>
      </c>
      <c r="T154" s="54">
        <v>1</v>
      </c>
      <c r="U154" s="54">
        <v>2</v>
      </c>
      <c r="V154" s="54">
        <v>2</v>
      </c>
      <c r="W154" s="54" t="s">
        <v>313</v>
      </c>
      <c r="X154" s="56" t="s">
        <v>353</v>
      </c>
      <c r="Y154" s="58">
        <v>45526</v>
      </c>
      <c r="Z154" s="56" t="s">
        <v>392</v>
      </c>
      <c r="AA154" s="56" t="s">
        <v>355</v>
      </c>
    </row>
    <row r="155" spans="1:27" ht="15.6">
      <c r="A155" s="53" t="s">
        <v>839</v>
      </c>
      <c r="B155" s="54" t="s">
        <v>840</v>
      </c>
      <c r="C155" s="54" t="s">
        <v>841</v>
      </c>
      <c r="D155" s="54" t="s">
        <v>369</v>
      </c>
      <c r="E155" s="54">
        <v>14094</v>
      </c>
      <c r="F155" s="54" t="s">
        <v>370</v>
      </c>
      <c r="G155" s="54" t="s">
        <v>371</v>
      </c>
      <c r="H155" s="54" t="s">
        <v>372</v>
      </c>
      <c r="I155" s="342">
        <v>8</v>
      </c>
      <c r="J155" s="54">
        <v>12</v>
      </c>
      <c r="K155" s="54">
        <v>0</v>
      </c>
      <c r="L155" s="54">
        <v>0</v>
      </c>
      <c r="M155" s="54">
        <v>0</v>
      </c>
      <c r="N155" s="54">
        <v>0</v>
      </c>
      <c r="O155" s="54">
        <v>0</v>
      </c>
      <c r="P155" s="54">
        <v>0</v>
      </c>
      <c r="Q155" s="54">
        <v>12</v>
      </c>
      <c r="R155" s="54">
        <v>0</v>
      </c>
      <c r="S155" s="54">
        <v>0</v>
      </c>
      <c r="T155" s="54">
        <v>0</v>
      </c>
      <c r="U155" s="54">
        <v>12</v>
      </c>
      <c r="V155" s="54">
        <v>4</v>
      </c>
      <c r="W155" s="54" t="s">
        <v>313</v>
      </c>
      <c r="X155" s="56" t="s">
        <v>313</v>
      </c>
      <c r="Y155" s="56" t="s">
        <v>313</v>
      </c>
      <c r="Z155" s="56" t="s">
        <v>313</v>
      </c>
      <c r="AA155" s="56" t="s">
        <v>313</v>
      </c>
    </row>
    <row r="156" spans="1:27" ht="15.6">
      <c r="A156" s="53" t="s">
        <v>213</v>
      </c>
      <c r="B156" s="54" t="s">
        <v>842</v>
      </c>
      <c r="C156" s="54" t="s">
        <v>843</v>
      </c>
      <c r="D156" s="54" t="s">
        <v>452</v>
      </c>
      <c r="E156" s="54">
        <v>49304</v>
      </c>
      <c r="F156" s="54" t="s">
        <v>448</v>
      </c>
      <c r="G156" s="54" t="s">
        <v>360</v>
      </c>
      <c r="H156" s="54" t="s">
        <v>372</v>
      </c>
      <c r="I156" s="342">
        <v>35</v>
      </c>
      <c r="J156" s="55">
        <v>1136</v>
      </c>
      <c r="K156" s="54">
        <v>109</v>
      </c>
      <c r="L156" s="54">
        <v>70</v>
      </c>
      <c r="M156" s="54">
        <v>37</v>
      </c>
      <c r="N156" s="54">
        <v>137</v>
      </c>
      <c r="O156" s="55">
        <v>1106</v>
      </c>
      <c r="P156" s="54">
        <v>6</v>
      </c>
      <c r="Q156" s="54">
        <v>104</v>
      </c>
      <c r="R156" s="54">
        <v>57</v>
      </c>
      <c r="S156" s="54">
        <v>41</v>
      </c>
      <c r="T156" s="54">
        <v>81</v>
      </c>
      <c r="U156" s="55">
        <v>1173</v>
      </c>
      <c r="V156" s="54">
        <v>435</v>
      </c>
      <c r="W156" s="55">
        <v>1800</v>
      </c>
      <c r="X156" s="56" t="s">
        <v>313</v>
      </c>
      <c r="Y156" s="56" t="s">
        <v>313</v>
      </c>
      <c r="Z156" s="56" t="s">
        <v>313</v>
      </c>
      <c r="AA156" s="56" t="s">
        <v>313</v>
      </c>
    </row>
    <row r="157" spans="1:27" ht="15.6">
      <c r="A157" s="53" t="s">
        <v>844</v>
      </c>
      <c r="B157" s="54" t="s">
        <v>845</v>
      </c>
      <c r="C157" s="54" t="s">
        <v>785</v>
      </c>
      <c r="D157" s="54" t="s">
        <v>447</v>
      </c>
      <c r="E157" s="54">
        <v>44505</v>
      </c>
      <c r="F157" s="54" t="s">
        <v>448</v>
      </c>
      <c r="G157" s="54" t="s">
        <v>371</v>
      </c>
      <c r="H157" s="54" t="s">
        <v>352</v>
      </c>
      <c r="I157" s="342">
        <v>31</v>
      </c>
      <c r="J157" s="54">
        <v>140</v>
      </c>
      <c r="K157" s="54">
        <v>37</v>
      </c>
      <c r="L157" s="54">
        <v>29</v>
      </c>
      <c r="M157" s="54">
        <v>14</v>
      </c>
      <c r="N157" s="54">
        <v>51</v>
      </c>
      <c r="O157" s="54">
        <v>170</v>
      </c>
      <c r="P157" s="54">
        <v>0</v>
      </c>
      <c r="Q157" s="54">
        <v>0</v>
      </c>
      <c r="R157" s="54">
        <v>25</v>
      </c>
      <c r="S157" s="54">
        <v>14</v>
      </c>
      <c r="T157" s="54">
        <v>13</v>
      </c>
      <c r="U157" s="54">
        <v>168</v>
      </c>
      <c r="V157" s="54">
        <v>124</v>
      </c>
      <c r="W157" s="54" t="s">
        <v>313</v>
      </c>
      <c r="X157" s="56" t="s">
        <v>313</v>
      </c>
      <c r="Y157" s="56" t="s">
        <v>313</v>
      </c>
      <c r="Z157" s="56" t="s">
        <v>313</v>
      </c>
      <c r="AA157" s="56" t="s">
        <v>313</v>
      </c>
    </row>
    <row r="158" spans="1:27" ht="15.6">
      <c r="A158" s="53" t="s">
        <v>846</v>
      </c>
      <c r="B158" s="54" t="s">
        <v>847</v>
      </c>
      <c r="C158" s="54" t="s">
        <v>848</v>
      </c>
      <c r="D158" s="54" t="s">
        <v>592</v>
      </c>
      <c r="E158" s="54">
        <v>26041</v>
      </c>
      <c r="F158" s="54" t="s">
        <v>461</v>
      </c>
      <c r="G158" s="54" t="s">
        <v>376</v>
      </c>
      <c r="H158" s="54" t="s">
        <v>372</v>
      </c>
      <c r="I158" s="342">
        <v>6</v>
      </c>
      <c r="J158" s="54">
        <v>18</v>
      </c>
      <c r="K158" s="54">
        <v>4</v>
      </c>
      <c r="L158" s="54">
        <v>2</v>
      </c>
      <c r="M158" s="54">
        <v>0</v>
      </c>
      <c r="N158" s="54">
        <v>2</v>
      </c>
      <c r="O158" s="54">
        <v>21</v>
      </c>
      <c r="P158" s="54">
        <v>1</v>
      </c>
      <c r="Q158" s="54">
        <v>1</v>
      </c>
      <c r="R158" s="54">
        <v>1</v>
      </c>
      <c r="S158" s="54">
        <v>1</v>
      </c>
      <c r="T158" s="54">
        <v>1</v>
      </c>
      <c r="U158" s="54">
        <v>22</v>
      </c>
      <c r="V158" s="54">
        <v>11</v>
      </c>
      <c r="W158" s="54" t="s">
        <v>313</v>
      </c>
      <c r="X158" s="56" t="s">
        <v>313</v>
      </c>
      <c r="Y158" s="56" t="s">
        <v>313</v>
      </c>
      <c r="Z158" s="56" t="s">
        <v>313</v>
      </c>
      <c r="AA158" s="56" t="s">
        <v>313</v>
      </c>
    </row>
    <row r="159" spans="1:27" ht="15.6">
      <c r="A159" s="53" t="s">
        <v>849</v>
      </c>
      <c r="B159" s="54" t="s">
        <v>850</v>
      </c>
      <c r="C159" s="54" t="s">
        <v>851</v>
      </c>
      <c r="D159" s="54" t="s">
        <v>852</v>
      </c>
      <c r="E159" s="54">
        <v>98421</v>
      </c>
      <c r="F159" s="54" t="s">
        <v>381</v>
      </c>
      <c r="G159" s="54" t="s">
        <v>360</v>
      </c>
      <c r="H159" s="54" t="s">
        <v>372</v>
      </c>
      <c r="I159" s="342">
        <v>50</v>
      </c>
      <c r="J159" s="54">
        <v>611</v>
      </c>
      <c r="K159" s="54">
        <v>232</v>
      </c>
      <c r="L159" s="54">
        <v>331</v>
      </c>
      <c r="M159" s="54">
        <v>221</v>
      </c>
      <c r="N159" s="54">
        <v>414</v>
      </c>
      <c r="O159" s="54">
        <v>848</v>
      </c>
      <c r="P159" s="54">
        <v>37</v>
      </c>
      <c r="Q159" s="54">
        <v>97</v>
      </c>
      <c r="R159" s="54">
        <v>299</v>
      </c>
      <c r="S159" s="54">
        <v>98</v>
      </c>
      <c r="T159" s="54">
        <v>95</v>
      </c>
      <c r="U159" s="54">
        <v>905</v>
      </c>
      <c r="V159" s="54">
        <v>860</v>
      </c>
      <c r="W159" s="55">
        <v>1181</v>
      </c>
      <c r="X159" s="56" t="s">
        <v>353</v>
      </c>
      <c r="Y159" s="58">
        <v>45687</v>
      </c>
      <c r="Z159" s="56" t="s">
        <v>354</v>
      </c>
      <c r="AA159" s="56" t="s">
        <v>355</v>
      </c>
    </row>
    <row r="160" spans="1:27" ht="15.6">
      <c r="A160" s="53" t="s">
        <v>853</v>
      </c>
      <c r="B160" s="54" t="s">
        <v>854</v>
      </c>
      <c r="C160" s="54" t="s">
        <v>855</v>
      </c>
      <c r="D160" s="54" t="s">
        <v>535</v>
      </c>
      <c r="E160" s="54">
        <v>56716</v>
      </c>
      <c r="F160" s="54" t="s">
        <v>444</v>
      </c>
      <c r="G160" s="54" t="s">
        <v>371</v>
      </c>
      <c r="H160" s="54" t="s">
        <v>372</v>
      </c>
      <c r="I160" s="342">
        <v>20</v>
      </c>
      <c r="J160" s="54">
        <v>3</v>
      </c>
      <c r="K160" s="54">
        <v>6</v>
      </c>
      <c r="L160" s="54">
        <v>3</v>
      </c>
      <c r="M160" s="54">
        <v>0</v>
      </c>
      <c r="N160" s="54">
        <v>1</v>
      </c>
      <c r="O160" s="54">
        <v>10</v>
      </c>
      <c r="P160" s="54">
        <v>0</v>
      </c>
      <c r="Q160" s="54">
        <v>1</v>
      </c>
      <c r="R160" s="54">
        <v>0</v>
      </c>
      <c r="S160" s="54">
        <v>0</v>
      </c>
      <c r="T160" s="54">
        <v>1</v>
      </c>
      <c r="U160" s="54">
        <v>11</v>
      </c>
      <c r="V160" s="54">
        <v>6</v>
      </c>
      <c r="W160" s="54" t="s">
        <v>313</v>
      </c>
      <c r="X160" s="56" t="s">
        <v>382</v>
      </c>
      <c r="Y160" s="58">
        <v>45568</v>
      </c>
      <c r="Z160" s="56" t="s">
        <v>383</v>
      </c>
      <c r="AA160" s="56" t="s">
        <v>355</v>
      </c>
    </row>
    <row r="161" spans="1:27" ht="15.6">
      <c r="A161" s="53" t="s">
        <v>856</v>
      </c>
      <c r="B161" s="54" t="s">
        <v>857</v>
      </c>
      <c r="C161" s="54" t="s">
        <v>858</v>
      </c>
      <c r="D161" s="54" t="s">
        <v>497</v>
      </c>
      <c r="E161" s="54">
        <v>5488</v>
      </c>
      <c r="F161" s="54" t="s">
        <v>402</v>
      </c>
      <c r="G161" s="54" t="s">
        <v>371</v>
      </c>
      <c r="H161" s="54" t="s">
        <v>372</v>
      </c>
      <c r="I161" s="342">
        <v>11</v>
      </c>
      <c r="J161" s="54">
        <v>8</v>
      </c>
      <c r="K161" s="54">
        <v>1</v>
      </c>
      <c r="L161" s="54">
        <v>2</v>
      </c>
      <c r="M161" s="54">
        <v>1</v>
      </c>
      <c r="N161" s="54">
        <v>1</v>
      </c>
      <c r="O161" s="54">
        <v>11</v>
      </c>
      <c r="P161" s="54">
        <v>0</v>
      </c>
      <c r="Q161" s="54">
        <v>0</v>
      </c>
      <c r="R161" s="54">
        <v>1</v>
      </c>
      <c r="S161" s="54">
        <v>0</v>
      </c>
      <c r="T161" s="54">
        <v>1</v>
      </c>
      <c r="U161" s="54">
        <v>10</v>
      </c>
      <c r="V161" s="54">
        <v>5</v>
      </c>
      <c r="W161" s="54" t="s">
        <v>313</v>
      </c>
      <c r="X161" s="56" t="s">
        <v>425</v>
      </c>
      <c r="Y161" s="58">
        <v>45869</v>
      </c>
      <c r="Z161" s="56" t="s">
        <v>426</v>
      </c>
      <c r="AA161" s="56" t="s">
        <v>355</v>
      </c>
    </row>
    <row r="162" spans="1:27" ht="15.6">
      <c r="A162" s="53" t="s">
        <v>859</v>
      </c>
      <c r="B162" s="54" t="s">
        <v>860</v>
      </c>
      <c r="C162" s="54" t="s">
        <v>861</v>
      </c>
      <c r="D162" s="54" t="s">
        <v>412</v>
      </c>
      <c r="E162" s="54">
        <v>40031</v>
      </c>
      <c r="F162" s="54" t="s">
        <v>413</v>
      </c>
      <c r="G162" s="54" t="s">
        <v>371</v>
      </c>
      <c r="H162" s="54" t="s">
        <v>372</v>
      </c>
      <c r="I162" s="342">
        <v>39</v>
      </c>
      <c r="J162" s="54">
        <v>48</v>
      </c>
      <c r="K162" s="54">
        <v>38</v>
      </c>
      <c r="L162" s="54">
        <v>25</v>
      </c>
      <c r="M162" s="54">
        <v>14</v>
      </c>
      <c r="N162" s="54">
        <v>49</v>
      </c>
      <c r="O162" s="54">
        <v>76</v>
      </c>
      <c r="P162" s="54">
        <v>0</v>
      </c>
      <c r="Q162" s="54">
        <v>0</v>
      </c>
      <c r="R162" s="54">
        <v>16</v>
      </c>
      <c r="S162" s="54">
        <v>17</v>
      </c>
      <c r="T162" s="54">
        <v>25</v>
      </c>
      <c r="U162" s="54">
        <v>67</v>
      </c>
      <c r="V162" s="54">
        <v>68</v>
      </c>
      <c r="W162" s="54" t="s">
        <v>313</v>
      </c>
      <c r="X162" s="56" t="s">
        <v>425</v>
      </c>
      <c r="Y162" s="58">
        <v>45834</v>
      </c>
      <c r="Z162" s="56" t="s">
        <v>383</v>
      </c>
      <c r="AA162" s="56" t="s">
        <v>355</v>
      </c>
    </row>
    <row r="163" spans="1:27" ht="15.6">
      <c r="A163" s="53" t="s">
        <v>862</v>
      </c>
      <c r="B163" s="54" t="s">
        <v>863</v>
      </c>
      <c r="C163" s="54" t="s">
        <v>864</v>
      </c>
      <c r="D163" s="54" t="s">
        <v>387</v>
      </c>
      <c r="E163" s="54">
        <v>32839</v>
      </c>
      <c r="F163" s="54" t="s">
        <v>388</v>
      </c>
      <c r="G163" s="54" t="s">
        <v>371</v>
      </c>
      <c r="H163" s="54" t="s">
        <v>372</v>
      </c>
      <c r="I163" s="342">
        <v>3</v>
      </c>
      <c r="J163" s="54">
        <v>16</v>
      </c>
      <c r="K163" s="54">
        <v>11</v>
      </c>
      <c r="L163" s="54">
        <v>12</v>
      </c>
      <c r="M163" s="54">
        <v>4</v>
      </c>
      <c r="N163" s="54">
        <v>4</v>
      </c>
      <c r="O163" s="54">
        <v>21</v>
      </c>
      <c r="P163" s="54">
        <v>2</v>
      </c>
      <c r="Q163" s="54">
        <v>16</v>
      </c>
      <c r="R163" s="54">
        <v>4</v>
      </c>
      <c r="S163" s="54">
        <v>3</v>
      </c>
      <c r="T163" s="54">
        <v>2</v>
      </c>
      <c r="U163" s="54">
        <v>34</v>
      </c>
      <c r="V163" s="54">
        <v>10</v>
      </c>
      <c r="W163" s="54" t="s">
        <v>313</v>
      </c>
      <c r="X163" s="56" t="s">
        <v>353</v>
      </c>
      <c r="Y163" s="58">
        <v>45519</v>
      </c>
      <c r="Z163" s="56" t="s">
        <v>392</v>
      </c>
      <c r="AA163" s="56" t="s">
        <v>355</v>
      </c>
    </row>
    <row r="164" spans="1:27" ht="15.6">
      <c r="A164" s="53" t="s">
        <v>865</v>
      </c>
      <c r="B164" s="54" t="s">
        <v>866</v>
      </c>
      <c r="C164" s="54" t="s">
        <v>867</v>
      </c>
      <c r="D164" s="54" t="s">
        <v>369</v>
      </c>
      <c r="E164" s="54">
        <v>10924</v>
      </c>
      <c r="F164" s="54" t="s">
        <v>420</v>
      </c>
      <c r="G164" s="54" t="s">
        <v>376</v>
      </c>
      <c r="H164" s="54" t="s">
        <v>352</v>
      </c>
      <c r="I164" s="342">
        <v>62</v>
      </c>
      <c r="J164" s="54">
        <v>44</v>
      </c>
      <c r="K164" s="54">
        <v>16</v>
      </c>
      <c r="L164" s="54">
        <v>58</v>
      </c>
      <c r="M164" s="54">
        <v>48</v>
      </c>
      <c r="N164" s="54">
        <v>87</v>
      </c>
      <c r="O164" s="54">
        <v>79</v>
      </c>
      <c r="P164" s="54">
        <v>0</v>
      </c>
      <c r="Q164" s="54">
        <v>0</v>
      </c>
      <c r="R164" s="54">
        <v>34</v>
      </c>
      <c r="S164" s="54">
        <v>36</v>
      </c>
      <c r="T164" s="54">
        <v>24</v>
      </c>
      <c r="U164" s="54">
        <v>72</v>
      </c>
      <c r="V164" s="54">
        <v>63</v>
      </c>
      <c r="W164" s="54" t="s">
        <v>313</v>
      </c>
      <c r="X164" s="56" t="s">
        <v>353</v>
      </c>
      <c r="Y164" s="58">
        <v>45638</v>
      </c>
      <c r="Z164" s="56" t="s">
        <v>392</v>
      </c>
      <c r="AA164" s="56" t="s">
        <v>355</v>
      </c>
    </row>
    <row r="165" spans="1:27" ht="15.6">
      <c r="A165" s="53" t="s">
        <v>217</v>
      </c>
      <c r="B165" s="54" t="s">
        <v>868</v>
      </c>
      <c r="C165" s="54" t="s">
        <v>869</v>
      </c>
      <c r="D165" s="54" t="s">
        <v>358</v>
      </c>
      <c r="E165" s="54">
        <v>92154</v>
      </c>
      <c r="F165" s="54" t="s">
        <v>707</v>
      </c>
      <c r="G165" s="54" t="s">
        <v>360</v>
      </c>
      <c r="H165" s="54" t="s">
        <v>372</v>
      </c>
      <c r="I165" s="342">
        <v>63</v>
      </c>
      <c r="J165" s="54">
        <v>993</v>
      </c>
      <c r="K165" s="54">
        <v>329</v>
      </c>
      <c r="L165" s="54">
        <v>87</v>
      </c>
      <c r="M165" s="54">
        <v>66</v>
      </c>
      <c r="N165" s="54">
        <v>237</v>
      </c>
      <c r="O165" s="54">
        <v>965</v>
      </c>
      <c r="P165" s="54">
        <v>21</v>
      </c>
      <c r="Q165" s="54">
        <v>252</v>
      </c>
      <c r="R165" s="54">
        <v>142</v>
      </c>
      <c r="S165" s="54">
        <v>47</v>
      </c>
      <c r="T165" s="54">
        <v>83</v>
      </c>
      <c r="U165" s="55">
        <v>1203</v>
      </c>
      <c r="V165" s="54">
        <v>511</v>
      </c>
      <c r="W165" s="54">
        <v>750</v>
      </c>
      <c r="X165" s="56" t="s">
        <v>353</v>
      </c>
      <c r="Y165" s="58">
        <v>45603</v>
      </c>
      <c r="Z165" s="56" t="s">
        <v>354</v>
      </c>
      <c r="AA165" s="56" t="s">
        <v>355</v>
      </c>
    </row>
    <row r="166" spans="1:27" ht="15.6">
      <c r="A166" s="53" t="s">
        <v>870</v>
      </c>
      <c r="B166" s="54" t="s">
        <v>871</v>
      </c>
      <c r="C166" s="54" t="s">
        <v>872</v>
      </c>
      <c r="D166" s="54" t="s">
        <v>489</v>
      </c>
      <c r="E166" s="54">
        <v>88081</v>
      </c>
      <c r="F166" s="54" t="s">
        <v>490</v>
      </c>
      <c r="G166" s="54" t="s">
        <v>351</v>
      </c>
      <c r="H166" s="54" t="s">
        <v>372</v>
      </c>
      <c r="I166" s="342">
        <v>61</v>
      </c>
      <c r="J166" s="54">
        <v>612</v>
      </c>
      <c r="K166" s="54">
        <v>116</v>
      </c>
      <c r="L166" s="54">
        <v>70</v>
      </c>
      <c r="M166" s="54">
        <v>48</v>
      </c>
      <c r="N166" s="54">
        <v>140</v>
      </c>
      <c r="O166" s="54">
        <v>592</v>
      </c>
      <c r="P166" s="54">
        <v>12</v>
      </c>
      <c r="Q166" s="54">
        <v>103</v>
      </c>
      <c r="R166" s="54">
        <v>58</v>
      </c>
      <c r="S166" s="54">
        <v>39</v>
      </c>
      <c r="T166" s="54">
        <v>65</v>
      </c>
      <c r="U166" s="54">
        <v>684</v>
      </c>
      <c r="V166" s="54">
        <v>329</v>
      </c>
      <c r="W166" s="54">
        <v>500</v>
      </c>
      <c r="X166" s="56" t="s">
        <v>353</v>
      </c>
      <c r="Y166" s="58">
        <v>45603</v>
      </c>
      <c r="Z166" s="56" t="s">
        <v>354</v>
      </c>
      <c r="AA166" s="56" t="s">
        <v>355</v>
      </c>
    </row>
    <row r="167" spans="1:27" ht="15.6">
      <c r="A167" s="53" t="s">
        <v>873</v>
      </c>
      <c r="B167" s="54" t="s">
        <v>874</v>
      </c>
      <c r="C167" s="54" t="s">
        <v>875</v>
      </c>
      <c r="D167" s="54" t="s">
        <v>675</v>
      </c>
      <c r="E167" s="54">
        <v>65655</v>
      </c>
      <c r="F167" s="54" t="s">
        <v>413</v>
      </c>
      <c r="G167" s="54" t="s">
        <v>376</v>
      </c>
      <c r="H167" s="54" t="s">
        <v>313</v>
      </c>
      <c r="I167" s="342">
        <v>22</v>
      </c>
      <c r="J167" s="54">
        <v>6</v>
      </c>
      <c r="K167" s="54">
        <v>1</v>
      </c>
      <c r="L167" s="54">
        <v>7</v>
      </c>
      <c r="M167" s="54">
        <v>4</v>
      </c>
      <c r="N167" s="54">
        <v>9</v>
      </c>
      <c r="O167" s="54">
        <v>10</v>
      </c>
      <c r="P167" s="54">
        <v>0</v>
      </c>
      <c r="Q167" s="54">
        <v>0</v>
      </c>
      <c r="R167" s="54">
        <v>4</v>
      </c>
      <c r="S167" s="54">
        <v>3</v>
      </c>
      <c r="T167" s="54">
        <v>3</v>
      </c>
      <c r="U167" s="54">
        <v>9</v>
      </c>
      <c r="V167" s="54">
        <v>11</v>
      </c>
      <c r="W167" s="54" t="s">
        <v>313</v>
      </c>
      <c r="X167" s="56" t="s">
        <v>313</v>
      </c>
      <c r="Y167" s="56" t="s">
        <v>313</v>
      </c>
      <c r="Z167" s="56" t="s">
        <v>313</v>
      </c>
      <c r="AA167" s="56" t="s">
        <v>313</v>
      </c>
    </row>
    <row r="168" spans="1:27" ht="15.6">
      <c r="A168" s="53" t="s">
        <v>876</v>
      </c>
      <c r="B168" s="54" t="s">
        <v>877</v>
      </c>
      <c r="C168" s="54" t="s">
        <v>878</v>
      </c>
      <c r="D168" s="54" t="s">
        <v>762</v>
      </c>
      <c r="E168" s="54">
        <v>57701</v>
      </c>
      <c r="F168" s="54" t="s">
        <v>444</v>
      </c>
      <c r="G168" s="54" t="s">
        <v>371</v>
      </c>
      <c r="H168" s="54" t="s">
        <v>372</v>
      </c>
      <c r="I168" s="342">
        <v>4</v>
      </c>
      <c r="J168" s="54">
        <v>2</v>
      </c>
      <c r="K168" s="54">
        <v>0</v>
      </c>
      <c r="L168" s="54">
        <v>0</v>
      </c>
      <c r="M168" s="54">
        <v>0</v>
      </c>
      <c r="N168" s="54">
        <v>0</v>
      </c>
      <c r="O168" s="54">
        <v>2</v>
      </c>
      <c r="P168" s="54">
        <v>0</v>
      </c>
      <c r="Q168" s="54">
        <v>0</v>
      </c>
      <c r="R168" s="54">
        <v>0</v>
      </c>
      <c r="S168" s="54">
        <v>0</v>
      </c>
      <c r="T168" s="54">
        <v>0</v>
      </c>
      <c r="U168" s="54">
        <v>2</v>
      </c>
      <c r="V168" s="54">
        <v>2</v>
      </c>
      <c r="W168" s="54" t="s">
        <v>313</v>
      </c>
      <c r="X168" s="56" t="s">
        <v>382</v>
      </c>
      <c r="Y168" s="58">
        <v>44581</v>
      </c>
      <c r="Z168" s="56" t="s">
        <v>383</v>
      </c>
      <c r="AA168" s="56" t="s">
        <v>355</v>
      </c>
    </row>
    <row r="169" spans="1:27" ht="15.6">
      <c r="A169" s="53" t="s">
        <v>879</v>
      </c>
      <c r="B169" s="54" t="s">
        <v>880</v>
      </c>
      <c r="C169" s="54" t="s">
        <v>881</v>
      </c>
      <c r="D169" s="54" t="s">
        <v>675</v>
      </c>
      <c r="E169" s="54">
        <v>65401</v>
      </c>
      <c r="F169" s="54" t="s">
        <v>413</v>
      </c>
      <c r="G169" s="54" t="s">
        <v>371</v>
      </c>
      <c r="H169" s="54" t="s">
        <v>372</v>
      </c>
      <c r="I169" s="342">
        <v>38</v>
      </c>
      <c r="J169" s="54">
        <v>5</v>
      </c>
      <c r="K169" s="54">
        <v>3</v>
      </c>
      <c r="L169" s="54">
        <v>5</v>
      </c>
      <c r="M169" s="54">
        <v>4</v>
      </c>
      <c r="N169" s="54">
        <v>4</v>
      </c>
      <c r="O169" s="54">
        <v>11</v>
      </c>
      <c r="P169" s="54">
        <v>1</v>
      </c>
      <c r="Q169" s="54">
        <v>0</v>
      </c>
      <c r="R169" s="54">
        <v>2</v>
      </c>
      <c r="S169" s="54">
        <v>2</v>
      </c>
      <c r="T169" s="54">
        <v>2</v>
      </c>
      <c r="U169" s="54">
        <v>10</v>
      </c>
      <c r="V169" s="54">
        <v>7</v>
      </c>
      <c r="W169" s="54" t="s">
        <v>313</v>
      </c>
      <c r="X169" s="56" t="s">
        <v>313</v>
      </c>
      <c r="Y169" s="56" t="s">
        <v>313</v>
      </c>
      <c r="Z169" s="56" t="s">
        <v>313</v>
      </c>
      <c r="AA169" s="56" t="s">
        <v>313</v>
      </c>
    </row>
    <row r="170" spans="1:27" ht="15.6">
      <c r="A170" s="53" t="s">
        <v>882</v>
      </c>
      <c r="B170" s="54" t="s">
        <v>883</v>
      </c>
      <c r="C170" s="54" t="s">
        <v>884</v>
      </c>
      <c r="D170" s="54" t="s">
        <v>543</v>
      </c>
      <c r="E170" s="54">
        <v>68949</v>
      </c>
      <c r="F170" s="54" t="s">
        <v>444</v>
      </c>
      <c r="G170" s="54" t="s">
        <v>371</v>
      </c>
      <c r="H170" s="54" t="s">
        <v>372</v>
      </c>
      <c r="I170" s="342">
        <v>58</v>
      </c>
      <c r="J170" s="54">
        <v>6</v>
      </c>
      <c r="K170" s="54">
        <v>5</v>
      </c>
      <c r="L170" s="54">
        <v>10</v>
      </c>
      <c r="M170" s="54">
        <v>6</v>
      </c>
      <c r="N170" s="54">
        <v>16</v>
      </c>
      <c r="O170" s="54">
        <v>8</v>
      </c>
      <c r="P170" s="54">
        <v>1</v>
      </c>
      <c r="Q170" s="54">
        <v>1</v>
      </c>
      <c r="R170" s="54">
        <v>6</v>
      </c>
      <c r="S170" s="54">
        <v>6</v>
      </c>
      <c r="T170" s="54">
        <v>6</v>
      </c>
      <c r="U170" s="54">
        <v>8</v>
      </c>
      <c r="V170" s="54">
        <v>15</v>
      </c>
      <c r="W170" s="54" t="s">
        <v>313</v>
      </c>
      <c r="X170" s="56" t="s">
        <v>353</v>
      </c>
      <c r="Y170" s="58">
        <v>45694</v>
      </c>
      <c r="Z170" s="56" t="s">
        <v>392</v>
      </c>
      <c r="AA170" s="56" t="s">
        <v>355</v>
      </c>
    </row>
    <row r="171" spans="1:27" ht="15.6">
      <c r="A171" s="53" t="s">
        <v>885</v>
      </c>
      <c r="B171" s="54" t="s">
        <v>886</v>
      </c>
      <c r="C171" s="54" t="s">
        <v>887</v>
      </c>
      <c r="D171" s="54" t="s">
        <v>396</v>
      </c>
      <c r="E171" s="54">
        <v>35447</v>
      </c>
      <c r="F171" s="54" t="s">
        <v>350</v>
      </c>
      <c r="G171" s="54" t="s">
        <v>376</v>
      </c>
      <c r="H171" s="54" t="s">
        <v>372</v>
      </c>
      <c r="I171" s="342">
        <v>4</v>
      </c>
      <c r="J171" s="54">
        <v>26</v>
      </c>
      <c r="K171" s="54">
        <v>7</v>
      </c>
      <c r="L171" s="54">
        <v>4</v>
      </c>
      <c r="M171" s="54">
        <v>2</v>
      </c>
      <c r="N171" s="54">
        <v>5</v>
      </c>
      <c r="O171" s="54">
        <v>30</v>
      </c>
      <c r="P171" s="54">
        <v>2</v>
      </c>
      <c r="Q171" s="54">
        <v>2</v>
      </c>
      <c r="R171" s="54">
        <v>3</v>
      </c>
      <c r="S171" s="54">
        <v>2</v>
      </c>
      <c r="T171" s="54">
        <v>3</v>
      </c>
      <c r="U171" s="54">
        <v>30</v>
      </c>
      <c r="V171" s="54">
        <v>16</v>
      </c>
      <c r="W171" s="54" t="s">
        <v>313</v>
      </c>
      <c r="X171" s="56" t="s">
        <v>353</v>
      </c>
      <c r="Y171" s="58">
        <v>45260</v>
      </c>
      <c r="Z171" s="56" t="s">
        <v>392</v>
      </c>
      <c r="AA171" s="56" t="s">
        <v>355</v>
      </c>
    </row>
    <row r="172" spans="1:27" ht="15.6">
      <c r="A172" s="53" t="s">
        <v>888</v>
      </c>
      <c r="B172" s="54" t="s">
        <v>889</v>
      </c>
      <c r="C172" s="54" t="s">
        <v>890</v>
      </c>
      <c r="D172" s="54" t="s">
        <v>460</v>
      </c>
      <c r="E172" s="54">
        <v>18428</v>
      </c>
      <c r="F172" s="54" t="s">
        <v>461</v>
      </c>
      <c r="G172" s="54" t="s">
        <v>376</v>
      </c>
      <c r="H172" s="54" t="s">
        <v>352</v>
      </c>
      <c r="I172" s="342">
        <v>59</v>
      </c>
      <c r="J172" s="54">
        <v>131</v>
      </c>
      <c r="K172" s="54">
        <v>58</v>
      </c>
      <c r="L172" s="54">
        <v>31</v>
      </c>
      <c r="M172" s="54">
        <v>18</v>
      </c>
      <c r="N172" s="54">
        <v>74</v>
      </c>
      <c r="O172" s="54">
        <v>164</v>
      </c>
      <c r="P172" s="54">
        <v>0</v>
      </c>
      <c r="Q172" s="54">
        <v>0</v>
      </c>
      <c r="R172" s="54">
        <v>31</v>
      </c>
      <c r="S172" s="54">
        <v>21</v>
      </c>
      <c r="T172" s="54">
        <v>29</v>
      </c>
      <c r="U172" s="54">
        <v>157</v>
      </c>
      <c r="V172" s="54">
        <v>104</v>
      </c>
      <c r="W172" s="54">
        <v>100</v>
      </c>
      <c r="X172" s="56" t="s">
        <v>353</v>
      </c>
      <c r="Y172" s="58">
        <v>45715</v>
      </c>
      <c r="Z172" s="56" t="s">
        <v>354</v>
      </c>
      <c r="AA172" s="56" t="s">
        <v>355</v>
      </c>
    </row>
    <row r="173" spans="1:27" ht="15.6">
      <c r="A173" s="53" t="s">
        <v>221</v>
      </c>
      <c r="B173" s="54" t="s">
        <v>891</v>
      </c>
      <c r="C173" s="54" t="s">
        <v>892</v>
      </c>
      <c r="D173" s="54" t="s">
        <v>364</v>
      </c>
      <c r="E173" s="54">
        <v>70576</v>
      </c>
      <c r="F173" s="54" t="s">
        <v>350</v>
      </c>
      <c r="G173" s="54" t="s">
        <v>376</v>
      </c>
      <c r="H173" s="54" t="s">
        <v>352</v>
      </c>
      <c r="I173" s="342">
        <v>14</v>
      </c>
      <c r="J173" s="54">
        <v>506</v>
      </c>
      <c r="K173" s="54">
        <v>144</v>
      </c>
      <c r="L173" s="54">
        <v>153</v>
      </c>
      <c r="M173" s="54">
        <v>106</v>
      </c>
      <c r="N173" s="54">
        <v>242</v>
      </c>
      <c r="O173" s="54">
        <v>666</v>
      </c>
      <c r="P173" s="54">
        <v>0</v>
      </c>
      <c r="Q173" s="54">
        <v>0</v>
      </c>
      <c r="R173" s="54">
        <v>128</v>
      </c>
      <c r="S173" s="54">
        <v>58</v>
      </c>
      <c r="T173" s="54">
        <v>87</v>
      </c>
      <c r="U173" s="54">
        <v>635</v>
      </c>
      <c r="V173" s="54">
        <v>608</v>
      </c>
      <c r="W173" s="54" t="s">
        <v>313</v>
      </c>
      <c r="X173" s="56" t="s">
        <v>353</v>
      </c>
      <c r="Y173" s="58">
        <v>45757</v>
      </c>
      <c r="Z173" s="56" t="s">
        <v>354</v>
      </c>
      <c r="AA173" s="56" t="s">
        <v>355</v>
      </c>
    </row>
    <row r="174" spans="1:27" ht="15.6">
      <c r="A174" s="53" t="s">
        <v>893</v>
      </c>
      <c r="B174" s="54" t="s">
        <v>894</v>
      </c>
      <c r="C174" s="54" t="s">
        <v>895</v>
      </c>
      <c r="D174" s="54" t="s">
        <v>387</v>
      </c>
      <c r="E174" s="54">
        <v>33762</v>
      </c>
      <c r="F174" s="54" t="s">
        <v>388</v>
      </c>
      <c r="G174" s="54" t="s">
        <v>371</v>
      </c>
      <c r="H174" s="54" t="s">
        <v>372</v>
      </c>
      <c r="I174" s="342">
        <v>2</v>
      </c>
      <c r="J174" s="54">
        <v>26</v>
      </c>
      <c r="K174" s="54">
        <v>8</v>
      </c>
      <c r="L174" s="54">
        <v>6</v>
      </c>
      <c r="M174" s="54">
        <v>2</v>
      </c>
      <c r="N174" s="54">
        <v>6</v>
      </c>
      <c r="O174" s="54">
        <v>25</v>
      </c>
      <c r="P174" s="54">
        <v>1</v>
      </c>
      <c r="Q174" s="54">
        <v>10</v>
      </c>
      <c r="R174" s="54">
        <v>5</v>
      </c>
      <c r="S174" s="54">
        <v>2</v>
      </c>
      <c r="T174" s="54">
        <v>3</v>
      </c>
      <c r="U174" s="54">
        <v>32</v>
      </c>
      <c r="V174" s="54">
        <v>14</v>
      </c>
      <c r="W174" s="54" t="s">
        <v>313</v>
      </c>
      <c r="X174" s="56" t="s">
        <v>353</v>
      </c>
      <c r="Y174" s="58">
        <v>45127</v>
      </c>
      <c r="Z174" s="56" t="s">
        <v>392</v>
      </c>
      <c r="AA174" s="56" t="s">
        <v>355</v>
      </c>
    </row>
    <row r="175" spans="1:27" ht="15.6">
      <c r="A175" s="53" t="s">
        <v>896</v>
      </c>
      <c r="B175" s="54" t="s">
        <v>897</v>
      </c>
      <c r="C175" s="54" t="s">
        <v>898</v>
      </c>
      <c r="D175" s="54" t="s">
        <v>752</v>
      </c>
      <c r="E175" s="54">
        <v>82201</v>
      </c>
      <c r="F175" s="54" t="s">
        <v>562</v>
      </c>
      <c r="G175" s="54" t="s">
        <v>371</v>
      </c>
      <c r="H175" s="54" t="s">
        <v>372</v>
      </c>
      <c r="I175" s="342">
        <v>2</v>
      </c>
      <c r="J175" s="54">
        <v>1</v>
      </c>
      <c r="K175" s="54">
        <v>1</v>
      </c>
      <c r="L175" s="54">
        <v>1</v>
      </c>
      <c r="M175" s="54">
        <v>0</v>
      </c>
      <c r="N175" s="54">
        <v>1</v>
      </c>
      <c r="O175" s="54">
        <v>2</v>
      </c>
      <c r="P175" s="54">
        <v>0</v>
      </c>
      <c r="Q175" s="54">
        <v>0</v>
      </c>
      <c r="R175" s="54">
        <v>1</v>
      </c>
      <c r="S175" s="54">
        <v>0</v>
      </c>
      <c r="T175" s="54">
        <v>0</v>
      </c>
      <c r="U175" s="54">
        <v>2</v>
      </c>
      <c r="V175" s="54">
        <v>2</v>
      </c>
      <c r="W175" s="54" t="s">
        <v>313</v>
      </c>
      <c r="X175" s="56" t="s">
        <v>425</v>
      </c>
      <c r="Y175" s="58">
        <v>45820</v>
      </c>
      <c r="Z175" s="56" t="s">
        <v>392</v>
      </c>
      <c r="AA175" s="56" t="s">
        <v>355</v>
      </c>
    </row>
    <row r="176" spans="1:27" ht="15.6">
      <c r="A176" s="53" t="s">
        <v>899</v>
      </c>
      <c r="B176" s="54" t="s">
        <v>900</v>
      </c>
      <c r="C176" s="54" t="s">
        <v>901</v>
      </c>
      <c r="D176" s="54" t="s">
        <v>902</v>
      </c>
      <c r="E176" s="54">
        <v>2360</v>
      </c>
      <c r="F176" s="54" t="s">
        <v>402</v>
      </c>
      <c r="G176" s="54" t="s">
        <v>376</v>
      </c>
      <c r="H176" s="54" t="s">
        <v>352</v>
      </c>
      <c r="I176" s="342">
        <v>42</v>
      </c>
      <c r="J176" s="54">
        <v>207</v>
      </c>
      <c r="K176" s="54">
        <v>31</v>
      </c>
      <c r="L176" s="54">
        <v>155</v>
      </c>
      <c r="M176" s="54">
        <v>116</v>
      </c>
      <c r="N176" s="54">
        <v>139</v>
      </c>
      <c r="O176" s="54">
        <v>370</v>
      </c>
      <c r="P176" s="54">
        <v>0</v>
      </c>
      <c r="Q176" s="54">
        <v>0</v>
      </c>
      <c r="R176" s="54">
        <v>86</v>
      </c>
      <c r="S176" s="54">
        <v>40</v>
      </c>
      <c r="T176" s="54">
        <v>31</v>
      </c>
      <c r="U176" s="54">
        <v>352</v>
      </c>
      <c r="V176" s="54">
        <v>207</v>
      </c>
      <c r="W176" s="54" t="s">
        <v>313</v>
      </c>
      <c r="X176" s="56" t="s">
        <v>353</v>
      </c>
      <c r="Y176" s="58">
        <v>45617</v>
      </c>
      <c r="Z176" s="56" t="s">
        <v>392</v>
      </c>
      <c r="AA176" s="56" t="s">
        <v>355</v>
      </c>
    </row>
    <row r="177" spans="1:27" ht="15.6">
      <c r="A177" s="53" t="s">
        <v>903</v>
      </c>
      <c r="B177" s="54" t="s">
        <v>904</v>
      </c>
      <c r="C177" s="54" t="s">
        <v>905</v>
      </c>
      <c r="D177" s="54" t="s">
        <v>685</v>
      </c>
      <c r="E177" s="54">
        <v>50313</v>
      </c>
      <c r="F177" s="54" t="s">
        <v>444</v>
      </c>
      <c r="G177" s="54" t="s">
        <v>371</v>
      </c>
      <c r="H177" s="54" t="s">
        <v>372</v>
      </c>
      <c r="I177" s="342">
        <v>29</v>
      </c>
      <c r="J177" s="54">
        <v>20</v>
      </c>
      <c r="K177" s="54">
        <v>16</v>
      </c>
      <c r="L177" s="54">
        <v>9</v>
      </c>
      <c r="M177" s="54">
        <v>5</v>
      </c>
      <c r="N177" s="54">
        <v>25</v>
      </c>
      <c r="O177" s="54">
        <v>21</v>
      </c>
      <c r="P177" s="54">
        <v>1</v>
      </c>
      <c r="Q177" s="54">
        <v>3</v>
      </c>
      <c r="R177" s="54">
        <v>10</v>
      </c>
      <c r="S177" s="54">
        <v>9</v>
      </c>
      <c r="T177" s="54">
        <v>14</v>
      </c>
      <c r="U177" s="54">
        <v>17</v>
      </c>
      <c r="V177" s="54">
        <v>29</v>
      </c>
      <c r="W177" s="54" t="s">
        <v>313</v>
      </c>
      <c r="X177" s="56" t="s">
        <v>353</v>
      </c>
      <c r="Y177" s="58">
        <v>45694</v>
      </c>
      <c r="Z177" s="56" t="s">
        <v>392</v>
      </c>
      <c r="AA177" s="56" t="s">
        <v>397</v>
      </c>
    </row>
    <row r="178" spans="1:27" ht="15.6">
      <c r="A178" s="53" t="s">
        <v>906</v>
      </c>
      <c r="B178" s="54" t="s">
        <v>907</v>
      </c>
      <c r="C178" s="54" t="s">
        <v>908</v>
      </c>
      <c r="D178" s="54" t="s">
        <v>407</v>
      </c>
      <c r="E178" s="54">
        <v>78566</v>
      </c>
      <c r="F178" s="54" t="s">
        <v>424</v>
      </c>
      <c r="G178" s="54" t="s">
        <v>439</v>
      </c>
      <c r="H178" s="54" t="s">
        <v>372</v>
      </c>
      <c r="I178" s="342">
        <v>7</v>
      </c>
      <c r="J178" s="54">
        <v>992</v>
      </c>
      <c r="K178" s="54">
        <v>53</v>
      </c>
      <c r="L178" s="54">
        <v>21</v>
      </c>
      <c r="M178" s="54">
        <v>11</v>
      </c>
      <c r="N178" s="54">
        <v>103</v>
      </c>
      <c r="O178" s="54">
        <v>966</v>
      </c>
      <c r="P178" s="54">
        <v>1</v>
      </c>
      <c r="Q178" s="54">
        <v>7</v>
      </c>
      <c r="R178" s="54">
        <v>27</v>
      </c>
      <c r="S178" s="54">
        <v>28</v>
      </c>
      <c r="T178" s="54">
        <v>69</v>
      </c>
      <c r="U178" s="54">
        <v>953</v>
      </c>
      <c r="V178" s="54">
        <v>456</v>
      </c>
      <c r="W178" s="54">
        <v>650</v>
      </c>
      <c r="X178" s="56" t="s">
        <v>353</v>
      </c>
      <c r="Y178" s="58">
        <v>45743</v>
      </c>
      <c r="Z178" s="56" t="s">
        <v>354</v>
      </c>
      <c r="AA178" s="56" t="s">
        <v>355</v>
      </c>
    </row>
    <row r="179" spans="1:27" ht="15.6">
      <c r="A179" s="53" t="s">
        <v>909</v>
      </c>
      <c r="B179" s="54" t="s">
        <v>910</v>
      </c>
      <c r="C179" s="54" t="s">
        <v>911</v>
      </c>
      <c r="D179" s="54" t="s">
        <v>685</v>
      </c>
      <c r="E179" s="54">
        <v>51501</v>
      </c>
      <c r="F179" s="54" t="s">
        <v>444</v>
      </c>
      <c r="G179" s="54" t="s">
        <v>371</v>
      </c>
      <c r="H179" s="54" t="s">
        <v>372</v>
      </c>
      <c r="I179" s="342">
        <v>25</v>
      </c>
      <c r="J179" s="54">
        <v>7</v>
      </c>
      <c r="K179" s="54">
        <v>4</v>
      </c>
      <c r="L179" s="54">
        <v>7</v>
      </c>
      <c r="M179" s="54">
        <v>16</v>
      </c>
      <c r="N179" s="54">
        <v>22</v>
      </c>
      <c r="O179" s="54">
        <v>9</v>
      </c>
      <c r="P179" s="54">
        <v>1</v>
      </c>
      <c r="Q179" s="54">
        <v>2</v>
      </c>
      <c r="R179" s="54">
        <v>13</v>
      </c>
      <c r="S179" s="54">
        <v>6</v>
      </c>
      <c r="T179" s="54">
        <v>9</v>
      </c>
      <c r="U179" s="54">
        <v>7</v>
      </c>
      <c r="V179" s="54">
        <v>26</v>
      </c>
      <c r="W179" s="54" t="s">
        <v>313</v>
      </c>
      <c r="X179" s="56" t="s">
        <v>353</v>
      </c>
      <c r="Y179" s="58">
        <v>45589</v>
      </c>
      <c r="Z179" s="56" t="s">
        <v>392</v>
      </c>
      <c r="AA179" s="56" t="s">
        <v>355</v>
      </c>
    </row>
    <row r="180" spans="1:27" ht="15.6">
      <c r="A180" s="53" t="s">
        <v>223</v>
      </c>
      <c r="B180" s="54" t="s">
        <v>912</v>
      </c>
      <c r="C180" s="54" t="s">
        <v>913</v>
      </c>
      <c r="D180" s="54" t="s">
        <v>407</v>
      </c>
      <c r="E180" s="54">
        <v>76009</v>
      </c>
      <c r="F180" s="54" t="s">
        <v>408</v>
      </c>
      <c r="G180" s="54" t="s">
        <v>351</v>
      </c>
      <c r="H180" s="54" t="s">
        <v>372</v>
      </c>
      <c r="I180" s="342">
        <v>19</v>
      </c>
      <c r="J180" s="54">
        <v>632</v>
      </c>
      <c r="K180" s="54">
        <v>112</v>
      </c>
      <c r="L180" s="54">
        <v>157</v>
      </c>
      <c r="M180" s="54">
        <v>59</v>
      </c>
      <c r="N180" s="54">
        <v>155</v>
      </c>
      <c r="O180" s="54">
        <v>670</v>
      </c>
      <c r="P180" s="54">
        <v>31</v>
      </c>
      <c r="Q180" s="54">
        <v>104</v>
      </c>
      <c r="R180" s="54">
        <v>101</v>
      </c>
      <c r="S180" s="54">
        <v>36</v>
      </c>
      <c r="T180" s="54">
        <v>59</v>
      </c>
      <c r="U180" s="54">
        <v>763</v>
      </c>
      <c r="V180" s="54">
        <v>503</v>
      </c>
      <c r="W180" s="54">
        <v>525</v>
      </c>
      <c r="X180" s="56" t="s">
        <v>353</v>
      </c>
      <c r="Y180" s="58">
        <v>45645</v>
      </c>
      <c r="Z180" s="56" t="s">
        <v>354</v>
      </c>
      <c r="AA180" s="56" t="s">
        <v>355</v>
      </c>
    </row>
    <row r="181" spans="1:27" ht="15.6">
      <c r="A181" s="53" t="s">
        <v>914</v>
      </c>
      <c r="B181" s="54" t="s">
        <v>915</v>
      </c>
      <c r="C181" s="54" t="s">
        <v>916</v>
      </c>
      <c r="D181" s="54" t="s">
        <v>739</v>
      </c>
      <c r="E181" s="54">
        <v>38501</v>
      </c>
      <c r="F181" s="54" t="s">
        <v>350</v>
      </c>
      <c r="G181" s="54" t="s">
        <v>371</v>
      </c>
      <c r="H181" s="54" t="s">
        <v>313</v>
      </c>
      <c r="I181" s="342">
        <v>2</v>
      </c>
      <c r="J181" s="54">
        <v>10</v>
      </c>
      <c r="K181" s="54">
        <v>4</v>
      </c>
      <c r="L181" s="54">
        <v>3</v>
      </c>
      <c r="M181" s="54">
        <v>1</v>
      </c>
      <c r="N181" s="54">
        <v>5</v>
      </c>
      <c r="O181" s="54">
        <v>14</v>
      </c>
      <c r="P181" s="54">
        <v>0</v>
      </c>
      <c r="Q181" s="54">
        <v>0</v>
      </c>
      <c r="R181" s="54">
        <v>3</v>
      </c>
      <c r="S181" s="54">
        <v>3</v>
      </c>
      <c r="T181" s="54">
        <v>3</v>
      </c>
      <c r="U181" s="54">
        <v>10</v>
      </c>
      <c r="V181" s="54">
        <v>10</v>
      </c>
      <c r="W181" s="54" t="s">
        <v>313</v>
      </c>
      <c r="X181" s="56" t="s">
        <v>313</v>
      </c>
      <c r="Y181" s="56" t="s">
        <v>313</v>
      </c>
      <c r="Z181" s="56" t="s">
        <v>313</v>
      </c>
      <c r="AA181" s="56" t="s">
        <v>313</v>
      </c>
    </row>
    <row r="182" spans="1:27" ht="15.6">
      <c r="A182" s="53" t="s">
        <v>917</v>
      </c>
      <c r="B182" s="54" t="s">
        <v>918</v>
      </c>
      <c r="C182" s="54" t="s">
        <v>815</v>
      </c>
      <c r="D182" s="54" t="s">
        <v>364</v>
      </c>
      <c r="E182" s="54">
        <v>71202</v>
      </c>
      <c r="F182" s="54" t="s">
        <v>350</v>
      </c>
      <c r="G182" s="54" t="s">
        <v>376</v>
      </c>
      <c r="H182" s="54" t="s">
        <v>372</v>
      </c>
      <c r="I182" s="342">
        <v>54</v>
      </c>
      <c r="J182" s="54">
        <v>885</v>
      </c>
      <c r="K182" s="54">
        <v>136</v>
      </c>
      <c r="L182" s="54">
        <v>48</v>
      </c>
      <c r="M182" s="54">
        <v>32</v>
      </c>
      <c r="N182" s="54">
        <v>74</v>
      </c>
      <c r="O182" s="54">
        <v>282</v>
      </c>
      <c r="P182" s="54">
        <v>49</v>
      </c>
      <c r="Q182" s="54">
        <v>695</v>
      </c>
      <c r="R182" s="54">
        <v>50</v>
      </c>
      <c r="S182" s="54">
        <v>31</v>
      </c>
      <c r="T182" s="54">
        <v>56</v>
      </c>
      <c r="U182" s="54">
        <v>964</v>
      </c>
      <c r="V182" s="54">
        <v>697</v>
      </c>
      <c r="W182" s="54">
        <v>677</v>
      </c>
      <c r="X182" s="56" t="s">
        <v>353</v>
      </c>
      <c r="Y182" s="58">
        <v>45603</v>
      </c>
      <c r="Z182" s="56" t="s">
        <v>354</v>
      </c>
      <c r="AA182" s="56" t="s">
        <v>355</v>
      </c>
    </row>
    <row r="183" spans="1:27" ht="15.6">
      <c r="A183" s="53" t="s">
        <v>919</v>
      </c>
      <c r="B183" s="54" t="s">
        <v>920</v>
      </c>
      <c r="C183" s="54" t="s">
        <v>755</v>
      </c>
      <c r="D183" s="54" t="s">
        <v>407</v>
      </c>
      <c r="E183" s="54">
        <v>78046</v>
      </c>
      <c r="F183" s="54" t="s">
        <v>424</v>
      </c>
      <c r="G183" s="54" t="s">
        <v>478</v>
      </c>
      <c r="H183" s="54" t="s">
        <v>352</v>
      </c>
      <c r="I183" s="342">
        <v>63</v>
      </c>
      <c r="J183" s="54">
        <v>543</v>
      </c>
      <c r="K183" s="54">
        <v>55</v>
      </c>
      <c r="L183" s="54">
        <v>1</v>
      </c>
      <c r="M183" s="54">
        <v>0</v>
      </c>
      <c r="N183" s="54">
        <v>54</v>
      </c>
      <c r="O183" s="54">
        <v>545</v>
      </c>
      <c r="P183" s="54">
        <v>0</v>
      </c>
      <c r="Q183" s="54">
        <v>0</v>
      </c>
      <c r="R183" s="54">
        <v>3</v>
      </c>
      <c r="S183" s="54">
        <v>18</v>
      </c>
      <c r="T183" s="54">
        <v>44</v>
      </c>
      <c r="U183" s="54">
        <v>533</v>
      </c>
      <c r="V183" s="54">
        <v>320</v>
      </c>
      <c r="W183" s="54">
        <v>275</v>
      </c>
      <c r="X183" s="56" t="s">
        <v>353</v>
      </c>
      <c r="Y183" s="58">
        <v>45666</v>
      </c>
      <c r="Z183" s="56" t="s">
        <v>392</v>
      </c>
      <c r="AA183" s="56" t="s">
        <v>355</v>
      </c>
    </row>
    <row r="184" spans="1:27" ht="15.6">
      <c r="A184" s="53" t="s">
        <v>921</v>
      </c>
      <c r="B184" s="54" t="s">
        <v>922</v>
      </c>
      <c r="C184" s="54" t="s">
        <v>923</v>
      </c>
      <c r="D184" s="54" t="s">
        <v>364</v>
      </c>
      <c r="E184" s="54">
        <v>71334</v>
      </c>
      <c r="F184" s="54" t="s">
        <v>350</v>
      </c>
      <c r="G184" s="54" t="s">
        <v>376</v>
      </c>
      <c r="H184" s="54" t="s">
        <v>352</v>
      </c>
      <c r="I184" s="342">
        <v>61</v>
      </c>
      <c r="J184" s="54">
        <v>485</v>
      </c>
      <c r="K184" s="54">
        <v>87</v>
      </c>
      <c r="L184" s="54">
        <v>26</v>
      </c>
      <c r="M184" s="54">
        <v>4</v>
      </c>
      <c r="N184" s="54">
        <v>55</v>
      </c>
      <c r="O184" s="54">
        <v>546</v>
      </c>
      <c r="P184" s="54">
        <v>0</v>
      </c>
      <c r="Q184" s="54">
        <v>0</v>
      </c>
      <c r="R184" s="54">
        <v>9</v>
      </c>
      <c r="S184" s="54">
        <v>17</v>
      </c>
      <c r="T184" s="54">
        <v>40</v>
      </c>
      <c r="U184" s="54">
        <v>537</v>
      </c>
      <c r="V184" s="54">
        <v>346</v>
      </c>
      <c r="W184" s="54">
        <v>361</v>
      </c>
      <c r="X184" s="56" t="s">
        <v>353</v>
      </c>
      <c r="Y184" s="58">
        <v>45617</v>
      </c>
      <c r="Z184" s="56" t="s">
        <v>354</v>
      </c>
      <c r="AA184" s="56" t="s">
        <v>355</v>
      </c>
    </row>
    <row r="185" spans="1:27" ht="15.6">
      <c r="A185" s="53" t="s">
        <v>924</v>
      </c>
      <c r="B185" s="54" t="s">
        <v>925</v>
      </c>
      <c r="C185" s="54" t="s">
        <v>926</v>
      </c>
      <c r="D185" s="54" t="s">
        <v>467</v>
      </c>
      <c r="E185" s="54">
        <v>23860</v>
      </c>
      <c r="F185" s="54" t="s">
        <v>468</v>
      </c>
      <c r="G185" s="54" t="s">
        <v>371</v>
      </c>
      <c r="H185" s="54" t="s">
        <v>372</v>
      </c>
      <c r="I185" s="342">
        <v>3</v>
      </c>
      <c r="J185" s="54">
        <v>35</v>
      </c>
      <c r="K185" s="54">
        <v>51</v>
      </c>
      <c r="L185" s="54">
        <v>6</v>
      </c>
      <c r="M185" s="54">
        <v>2</v>
      </c>
      <c r="N185" s="54">
        <v>13</v>
      </c>
      <c r="O185" s="54">
        <v>80</v>
      </c>
      <c r="P185" s="54">
        <v>0</v>
      </c>
      <c r="Q185" s="54">
        <v>1</v>
      </c>
      <c r="R185" s="54">
        <v>5</v>
      </c>
      <c r="S185" s="54">
        <v>5</v>
      </c>
      <c r="T185" s="54">
        <v>8</v>
      </c>
      <c r="U185" s="54">
        <v>77</v>
      </c>
      <c r="V185" s="54">
        <v>38</v>
      </c>
      <c r="W185" s="54" t="s">
        <v>313</v>
      </c>
      <c r="X185" s="56" t="s">
        <v>313</v>
      </c>
      <c r="Y185" s="56" t="s">
        <v>313</v>
      </c>
      <c r="Z185" s="56" t="s">
        <v>313</v>
      </c>
      <c r="AA185" s="56" t="s">
        <v>313</v>
      </c>
    </row>
    <row r="186" spans="1:27" ht="15.6">
      <c r="A186" s="53" t="s">
        <v>927</v>
      </c>
      <c r="B186" s="54" t="s">
        <v>928</v>
      </c>
      <c r="C186" s="54" t="s">
        <v>929</v>
      </c>
      <c r="D186" s="54" t="s">
        <v>467</v>
      </c>
      <c r="E186" s="54">
        <v>24016</v>
      </c>
      <c r="F186" s="54" t="s">
        <v>468</v>
      </c>
      <c r="G186" s="54" t="s">
        <v>371</v>
      </c>
      <c r="H186" s="54" t="s">
        <v>372</v>
      </c>
      <c r="I186" s="342">
        <v>2</v>
      </c>
      <c r="J186" s="54">
        <v>1</v>
      </c>
      <c r="K186" s="54">
        <v>0</v>
      </c>
      <c r="L186" s="54">
        <v>0</v>
      </c>
      <c r="M186" s="54">
        <v>0</v>
      </c>
      <c r="N186" s="54">
        <v>0</v>
      </c>
      <c r="O186" s="54">
        <v>1</v>
      </c>
      <c r="P186" s="54">
        <v>0</v>
      </c>
      <c r="Q186" s="54">
        <v>0</v>
      </c>
      <c r="R186" s="54">
        <v>0</v>
      </c>
      <c r="S186" s="54">
        <v>0</v>
      </c>
      <c r="T186" s="54">
        <v>0</v>
      </c>
      <c r="U186" s="54">
        <v>1</v>
      </c>
      <c r="V186" s="54">
        <v>1</v>
      </c>
      <c r="W186" s="54" t="s">
        <v>313</v>
      </c>
      <c r="X186" s="56" t="s">
        <v>313</v>
      </c>
      <c r="Y186" s="56" t="s">
        <v>313</v>
      </c>
      <c r="Z186" s="56" t="s">
        <v>313</v>
      </c>
      <c r="AA186" s="56" t="s">
        <v>313</v>
      </c>
    </row>
    <row r="187" spans="1:27" ht="15.6">
      <c r="A187" s="53" t="s">
        <v>930</v>
      </c>
      <c r="B187" s="54" t="s">
        <v>931</v>
      </c>
      <c r="C187" s="54" t="s">
        <v>932</v>
      </c>
      <c r="D187" s="54" t="s">
        <v>630</v>
      </c>
      <c r="E187" s="54">
        <v>30250</v>
      </c>
      <c r="F187" s="54" t="s">
        <v>631</v>
      </c>
      <c r="G187" s="54" t="s">
        <v>478</v>
      </c>
      <c r="H187" s="54" t="s">
        <v>352</v>
      </c>
      <c r="I187" s="342">
        <v>3</v>
      </c>
      <c r="J187" s="54">
        <v>3</v>
      </c>
      <c r="K187" s="54">
        <v>4</v>
      </c>
      <c r="L187" s="54">
        <v>1</v>
      </c>
      <c r="M187" s="54">
        <v>1</v>
      </c>
      <c r="N187" s="54">
        <v>3</v>
      </c>
      <c r="O187" s="54">
        <v>6</v>
      </c>
      <c r="P187" s="54">
        <v>0</v>
      </c>
      <c r="Q187" s="54">
        <v>0</v>
      </c>
      <c r="R187" s="54">
        <v>2</v>
      </c>
      <c r="S187" s="54">
        <v>1</v>
      </c>
      <c r="T187" s="54">
        <v>1</v>
      </c>
      <c r="U187" s="54">
        <v>5</v>
      </c>
      <c r="V187" s="54">
        <v>5</v>
      </c>
      <c r="W187" s="54" t="s">
        <v>313</v>
      </c>
      <c r="X187" s="56" t="s">
        <v>353</v>
      </c>
      <c r="Y187" s="58">
        <v>45246</v>
      </c>
      <c r="Z187" s="56" t="s">
        <v>392</v>
      </c>
      <c r="AA187" s="56" t="s">
        <v>355</v>
      </c>
    </row>
    <row r="188" spans="1:27" ht="15.6">
      <c r="A188" s="53" t="s">
        <v>933</v>
      </c>
      <c r="B188" s="54" t="s">
        <v>934</v>
      </c>
      <c r="C188" s="54" t="s">
        <v>935</v>
      </c>
      <c r="D188" s="54" t="s">
        <v>467</v>
      </c>
      <c r="E188" s="54">
        <v>22801</v>
      </c>
      <c r="F188" s="54" t="s">
        <v>468</v>
      </c>
      <c r="G188" s="54" t="s">
        <v>371</v>
      </c>
      <c r="H188" s="54" t="s">
        <v>372</v>
      </c>
      <c r="I188" s="342">
        <v>2</v>
      </c>
      <c r="J188" s="54">
        <v>1</v>
      </c>
      <c r="K188" s="54">
        <v>0</v>
      </c>
      <c r="L188" s="54">
        <v>1</v>
      </c>
      <c r="M188" s="54">
        <v>0</v>
      </c>
      <c r="N188" s="54">
        <v>0</v>
      </c>
      <c r="O188" s="54">
        <v>1</v>
      </c>
      <c r="P188" s="54">
        <v>0</v>
      </c>
      <c r="Q188" s="54">
        <v>0</v>
      </c>
      <c r="R188" s="54">
        <v>0</v>
      </c>
      <c r="S188" s="54">
        <v>0</v>
      </c>
      <c r="T188" s="54">
        <v>0</v>
      </c>
      <c r="U188" s="54">
        <v>1</v>
      </c>
      <c r="V188" s="54">
        <v>1</v>
      </c>
      <c r="W188" s="54" t="s">
        <v>313</v>
      </c>
      <c r="X188" s="56" t="s">
        <v>313</v>
      </c>
      <c r="Y188" s="56" t="s">
        <v>313</v>
      </c>
      <c r="Z188" s="56" t="s">
        <v>313</v>
      </c>
      <c r="AA188" s="56" t="s">
        <v>313</v>
      </c>
    </row>
    <row r="189" spans="1:27" ht="15.6">
      <c r="A189" s="53" t="s">
        <v>936</v>
      </c>
      <c r="B189" s="54" t="s">
        <v>937</v>
      </c>
      <c r="C189" s="54" t="s">
        <v>938</v>
      </c>
      <c r="D189" s="54" t="s">
        <v>939</v>
      </c>
      <c r="E189" s="54">
        <v>96950</v>
      </c>
      <c r="F189" s="54" t="s">
        <v>456</v>
      </c>
      <c r="G189" s="54" t="s">
        <v>371</v>
      </c>
      <c r="H189" s="54" t="s">
        <v>372</v>
      </c>
      <c r="I189" s="342">
        <v>47</v>
      </c>
      <c r="J189" s="54">
        <v>4</v>
      </c>
      <c r="K189" s="54">
        <v>13</v>
      </c>
      <c r="L189" s="54">
        <v>5</v>
      </c>
      <c r="M189" s="54">
        <v>0</v>
      </c>
      <c r="N189" s="54">
        <v>4</v>
      </c>
      <c r="O189" s="54">
        <v>15</v>
      </c>
      <c r="P189" s="54">
        <v>1</v>
      </c>
      <c r="Q189" s="54">
        <v>2</v>
      </c>
      <c r="R189" s="54">
        <v>5</v>
      </c>
      <c r="S189" s="54">
        <v>1</v>
      </c>
      <c r="T189" s="54">
        <v>1</v>
      </c>
      <c r="U189" s="54">
        <v>16</v>
      </c>
      <c r="V189" s="54">
        <v>15</v>
      </c>
      <c r="W189" s="54" t="s">
        <v>313</v>
      </c>
      <c r="X189" s="56" t="s">
        <v>382</v>
      </c>
      <c r="Y189" s="58">
        <v>45758</v>
      </c>
      <c r="Z189" s="56" t="s">
        <v>383</v>
      </c>
      <c r="AA189" s="56" t="s">
        <v>355</v>
      </c>
    </row>
    <row r="190" spans="1:27" ht="15.6">
      <c r="A190" s="53" t="s">
        <v>940</v>
      </c>
      <c r="B190" s="54" t="s">
        <v>941</v>
      </c>
      <c r="C190" s="54" t="s">
        <v>942</v>
      </c>
      <c r="D190" s="54" t="s">
        <v>553</v>
      </c>
      <c r="E190" s="54">
        <v>84119</v>
      </c>
      <c r="F190" s="54" t="s">
        <v>473</v>
      </c>
      <c r="G190" s="54" t="s">
        <v>371</v>
      </c>
      <c r="H190" s="54" t="s">
        <v>372</v>
      </c>
      <c r="I190" s="342">
        <v>2</v>
      </c>
      <c r="J190" s="54">
        <v>0</v>
      </c>
      <c r="K190" s="54">
        <v>1</v>
      </c>
      <c r="L190" s="54">
        <v>0</v>
      </c>
      <c r="M190" s="54">
        <v>0</v>
      </c>
      <c r="N190" s="54">
        <v>0</v>
      </c>
      <c r="O190" s="54">
        <v>1</v>
      </c>
      <c r="P190" s="54">
        <v>0</v>
      </c>
      <c r="Q190" s="54">
        <v>0</v>
      </c>
      <c r="R190" s="54">
        <v>0</v>
      </c>
      <c r="S190" s="54">
        <v>0</v>
      </c>
      <c r="T190" s="54">
        <v>0</v>
      </c>
      <c r="U190" s="54">
        <v>1</v>
      </c>
      <c r="V190" s="54">
        <v>1</v>
      </c>
      <c r="W190" s="54" t="s">
        <v>313</v>
      </c>
      <c r="X190" s="56" t="s">
        <v>353</v>
      </c>
      <c r="Y190" s="58">
        <v>45919</v>
      </c>
      <c r="Z190" s="56" t="s">
        <v>426</v>
      </c>
      <c r="AA190" s="56" t="s">
        <v>355</v>
      </c>
    </row>
    <row r="191" spans="1:27" ht="15.6">
      <c r="A191" s="53" t="s">
        <v>943</v>
      </c>
      <c r="B191" s="54" t="s">
        <v>944</v>
      </c>
      <c r="C191" s="54" t="s">
        <v>869</v>
      </c>
      <c r="D191" s="54" t="s">
        <v>358</v>
      </c>
      <c r="E191" s="54">
        <v>92101</v>
      </c>
      <c r="F191" s="54" t="s">
        <v>707</v>
      </c>
      <c r="G191" s="54" t="s">
        <v>365</v>
      </c>
      <c r="H191" s="54" t="s">
        <v>372</v>
      </c>
      <c r="I191" s="342">
        <v>1</v>
      </c>
      <c r="J191" s="54">
        <v>7</v>
      </c>
      <c r="K191" s="54">
        <v>8</v>
      </c>
      <c r="L191" s="54">
        <v>0</v>
      </c>
      <c r="M191" s="54">
        <v>0</v>
      </c>
      <c r="N191" s="54">
        <v>4</v>
      </c>
      <c r="O191" s="54">
        <v>8</v>
      </c>
      <c r="P191" s="54">
        <v>0</v>
      </c>
      <c r="Q191" s="54">
        <v>3</v>
      </c>
      <c r="R191" s="54">
        <v>2</v>
      </c>
      <c r="S191" s="54">
        <v>1</v>
      </c>
      <c r="T191" s="54">
        <v>2</v>
      </c>
      <c r="U191" s="54">
        <v>10</v>
      </c>
      <c r="V191" s="54">
        <v>8</v>
      </c>
      <c r="W191" s="54" t="s">
        <v>313</v>
      </c>
      <c r="X191" s="56" t="s">
        <v>313</v>
      </c>
      <c r="Y191" s="56" t="s">
        <v>313</v>
      </c>
      <c r="Z191" s="56" t="s">
        <v>313</v>
      </c>
      <c r="AA191" s="56" t="s">
        <v>313</v>
      </c>
    </row>
    <row r="192" spans="1:27" ht="15.6">
      <c r="A192" s="53" t="s">
        <v>945</v>
      </c>
      <c r="B192" s="54" t="s">
        <v>946</v>
      </c>
      <c r="C192" s="54" t="s">
        <v>947</v>
      </c>
      <c r="D192" s="54" t="s">
        <v>948</v>
      </c>
      <c r="E192" s="54">
        <v>965</v>
      </c>
      <c r="F192" s="54" t="s">
        <v>388</v>
      </c>
      <c r="G192" s="54" t="s">
        <v>365</v>
      </c>
      <c r="H192" s="54" t="s">
        <v>372</v>
      </c>
      <c r="I192" s="342">
        <v>3</v>
      </c>
      <c r="J192" s="54">
        <v>15</v>
      </c>
      <c r="K192" s="54">
        <v>4</v>
      </c>
      <c r="L192" s="54">
        <v>2</v>
      </c>
      <c r="M192" s="54">
        <v>1</v>
      </c>
      <c r="N192" s="54">
        <v>2</v>
      </c>
      <c r="O192" s="54">
        <v>18</v>
      </c>
      <c r="P192" s="54">
        <v>0</v>
      </c>
      <c r="Q192" s="54">
        <v>2</v>
      </c>
      <c r="R192" s="54">
        <v>2</v>
      </c>
      <c r="S192" s="54">
        <v>1</v>
      </c>
      <c r="T192" s="54">
        <v>1</v>
      </c>
      <c r="U192" s="54">
        <v>18</v>
      </c>
      <c r="V192" s="54">
        <v>12</v>
      </c>
      <c r="W192" s="54">
        <v>100</v>
      </c>
      <c r="X192" s="56" t="s">
        <v>313</v>
      </c>
      <c r="Y192" s="56" t="s">
        <v>313</v>
      </c>
      <c r="Z192" s="56" t="s">
        <v>313</v>
      </c>
      <c r="AA192" s="56" t="s">
        <v>313</v>
      </c>
    </row>
    <row r="193" spans="1:27" ht="15.6">
      <c r="A193" s="53" t="s">
        <v>949</v>
      </c>
      <c r="B193" s="54" t="s">
        <v>950</v>
      </c>
      <c r="C193" s="54" t="s">
        <v>951</v>
      </c>
      <c r="D193" s="54" t="s">
        <v>476</v>
      </c>
      <c r="E193" s="54">
        <v>85349</v>
      </c>
      <c r="F193" s="54" t="s">
        <v>707</v>
      </c>
      <c r="G193" s="54" t="s">
        <v>376</v>
      </c>
      <c r="H193" s="54" t="s">
        <v>372</v>
      </c>
      <c r="I193" s="342">
        <v>73</v>
      </c>
      <c r="J193" s="54">
        <v>267</v>
      </c>
      <c r="K193" s="54">
        <v>41</v>
      </c>
      <c r="L193" s="54">
        <v>26</v>
      </c>
      <c r="M193" s="54">
        <v>33</v>
      </c>
      <c r="N193" s="54">
        <v>71</v>
      </c>
      <c r="O193" s="54">
        <v>229</v>
      </c>
      <c r="P193" s="54">
        <v>3</v>
      </c>
      <c r="Q193" s="54">
        <v>63</v>
      </c>
      <c r="R193" s="54">
        <v>48</v>
      </c>
      <c r="S193" s="54">
        <v>12</v>
      </c>
      <c r="T193" s="54">
        <v>16</v>
      </c>
      <c r="U193" s="54">
        <v>291</v>
      </c>
      <c r="V193" s="54">
        <v>159</v>
      </c>
      <c r="W193" s="54">
        <v>100</v>
      </c>
      <c r="X193" s="56" t="s">
        <v>353</v>
      </c>
      <c r="Y193" s="58">
        <v>45407</v>
      </c>
      <c r="Z193" s="56" t="s">
        <v>392</v>
      </c>
      <c r="AA193" s="56" t="s">
        <v>355</v>
      </c>
    </row>
    <row r="194" spans="1:27" ht="15.6">
      <c r="A194" s="53" t="s">
        <v>952</v>
      </c>
      <c r="B194" s="54" t="s">
        <v>953</v>
      </c>
      <c r="C194" s="54" t="s">
        <v>954</v>
      </c>
      <c r="D194" s="54" t="s">
        <v>543</v>
      </c>
      <c r="E194" s="54">
        <v>68046</v>
      </c>
      <c r="F194" s="54" t="s">
        <v>444</v>
      </c>
      <c r="G194" s="54" t="s">
        <v>371</v>
      </c>
      <c r="H194" s="54" t="s">
        <v>372</v>
      </c>
      <c r="I194" s="342">
        <v>26</v>
      </c>
      <c r="J194" s="54">
        <v>4</v>
      </c>
      <c r="K194" s="54">
        <v>5</v>
      </c>
      <c r="L194" s="54">
        <v>6</v>
      </c>
      <c r="M194" s="54">
        <v>6</v>
      </c>
      <c r="N194" s="54">
        <v>12</v>
      </c>
      <c r="O194" s="54">
        <v>6</v>
      </c>
      <c r="P194" s="54">
        <v>1</v>
      </c>
      <c r="Q194" s="54">
        <v>1</v>
      </c>
      <c r="R194" s="54">
        <v>4</v>
      </c>
      <c r="S194" s="54">
        <v>6</v>
      </c>
      <c r="T194" s="54">
        <v>5</v>
      </c>
      <c r="U194" s="54">
        <v>5</v>
      </c>
      <c r="V194" s="54">
        <v>12</v>
      </c>
      <c r="W194" s="54" t="s">
        <v>313</v>
      </c>
      <c r="X194" s="56" t="s">
        <v>313</v>
      </c>
      <c r="Y194" s="59" t="s">
        <v>74</v>
      </c>
      <c r="Z194" s="61" t="s">
        <v>426</v>
      </c>
      <c r="AA194" s="56" t="s">
        <v>313</v>
      </c>
    </row>
    <row r="195" spans="1:27" ht="15.6">
      <c r="A195" s="53" t="s">
        <v>955</v>
      </c>
      <c r="B195" s="54" t="s">
        <v>956</v>
      </c>
      <c r="C195" s="54" t="s">
        <v>957</v>
      </c>
      <c r="D195" s="54" t="s">
        <v>578</v>
      </c>
      <c r="E195" s="54">
        <v>53913</v>
      </c>
      <c r="F195" s="54" t="s">
        <v>413</v>
      </c>
      <c r="G195" s="54" t="s">
        <v>371</v>
      </c>
      <c r="H195" s="54" t="s">
        <v>372</v>
      </c>
      <c r="I195" s="342">
        <v>15</v>
      </c>
      <c r="J195" s="54">
        <v>6</v>
      </c>
      <c r="K195" s="54">
        <v>1</v>
      </c>
      <c r="L195" s="54">
        <v>6</v>
      </c>
      <c r="M195" s="54">
        <v>3</v>
      </c>
      <c r="N195" s="54">
        <v>4</v>
      </c>
      <c r="O195" s="54">
        <v>13</v>
      </c>
      <c r="P195" s="54">
        <v>0</v>
      </c>
      <c r="Q195" s="54">
        <v>0</v>
      </c>
      <c r="R195" s="54">
        <v>1</v>
      </c>
      <c r="S195" s="54">
        <v>2</v>
      </c>
      <c r="T195" s="54">
        <v>1</v>
      </c>
      <c r="U195" s="54">
        <v>13</v>
      </c>
      <c r="V195" s="54">
        <v>7</v>
      </c>
      <c r="W195" s="54" t="s">
        <v>313</v>
      </c>
      <c r="X195" s="56" t="s">
        <v>313</v>
      </c>
      <c r="Y195" s="56" t="s">
        <v>313</v>
      </c>
      <c r="Z195" s="56" t="s">
        <v>313</v>
      </c>
      <c r="AA195" s="56" t="s">
        <v>313</v>
      </c>
    </row>
    <row r="196" spans="1:27" ht="15.6">
      <c r="A196" s="53" t="s">
        <v>958</v>
      </c>
      <c r="B196" s="54" t="s">
        <v>959</v>
      </c>
      <c r="C196" s="54" t="s">
        <v>960</v>
      </c>
      <c r="D196" s="54" t="s">
        <v>685</v>
      </c>
      <c r="E196" s="54">
        <v>52801</v>
      </c>
      <c r="F196" s="54" t="s">
        <v>413</v>
      </c>
      <c r="G196" s="54" t="s">
        <v>371</v>
      </c>
      <c r="H196" s="54" t="s">
        <v>372</v>
      </c>
      <c r="I196" s="342">
        <v>2</v>
      </c>
      <c r="J196" s="54">
        <v>0</v>
      </c>
      <c r="K196" s="54">
        <v>0</v>
      </c>
      <c r="L196" s="54">
        <v>0</v>
      </c>
      <c r="M196" s="54">
        <v>1</v>
      </c>
      <c r="N196" s="54">
        <v>1</v>
      </c>
      <c r="O196" s="54">
        <v>0</v>
      </c>
      <c r="P196" s="54">
        <v>0</v>
      </c>
      <c r="Q196" s="54">
        <v>0</v>
      </c>
      <c r="R196" s="54">
        <v>1</v>
      </c>
      <c r="S196" s="54">
        <v>0</v>
      </c>
      <c r="T196" s="54">
        <v>0</v>
      </c>
      <c r="U196" s="54">
        <v>0</v>
      </c>
      <c r="V196" s="54">
        <v>1</v>
      </c>
      <c r="W196" s="54" t="s">
        <v>313</v>
      </c>
      <c r="X196" s="56" t="s">
        <v>313</v>
      </c>
      <c r="Y196" s="56" t="s">
        <v>313</v>
      </c>
      <c r="Z196" s="56" t="s">
        <v>313</v>
      </c>
      <c r="AA196" s="56" t="s">
        <v>313</v>
      </c>
    </row>
    <row r="197" spans="1:27" ht="15.6">
      <c r="A197" s="53" t="s">
        <v>961</v>
      </c>
      <c r="B197" s="54" t="s">
        <v>962</v>
      </c>
      <c r="C197" s="54" t="s">
        <v>963</v>
      </c>
      <c r="D197" s="54" t="s">
        <v>807</v>
      </c>
      <c r="E197" s="54">
        <v>72901</v>
      </c>
      <c r="F197" s="54" t="s">
        <v>350</v>
      </c>
      <c r="G197" s="54" t="s">
        <v>371</v>
      </c>
      <c r="H197" s="54" t="s">
        <v>372</v>
      </c>
      <c r="I197" s="342">
        <v>2</v>
      </c>
      <c r="J197" s="54">
        <v>2</v>
      </c>
      <c r="K197" s="54">
        <v>0</v>
      </c>
      <c r="L197" s="54">
        <v>0</v>
      </c>
      <c r="M197" s="54">
        <v>0</v>
      </c>
      <c r="N197" s="54">
        <v>0</v>
      </c>
      <c r="O197" s="54">
        <v>2</v>
      </c>
      <c r="P197" s="54">
        <v>0</v>
      </c>
      <c r="Q197" s="54">
        <v>0</v>
      </c>
      <c r="R197" s="54">
        <v>0</v>
      </c>
      <c r="S197" s="54">
        <v>0</v>
      </c>
      <c r="T197" s="54">
        <v>0</v>
      </c>
      <c r="U197" s="54">
        <v>2</v>
      </c>
      <c r="V197" s="54">
        <v>2</v>
      </c>
      <c r="W197" s="54" t="s">
        <v>313</v>
      </c>
      <c r="X197" s="56" t="s">
        <v>425</v>
      </c>
      <c r="Y197" s="58">
        <v>45820</v>
      </c>
      <c r="Z197" s="56" t="s">
        <v>392</v>
      </c>
      <c r="AA197" s="56" t="s">
        <v>355</v>
      </c>
    </row>
    <row r="198" spans="1:27" ht="15.6">
      <c r="A198" s="53" t="s">
        <v>964</v>
      </c>
      <c r="B198" s="54" t="s">
        <v>965</v>
      </c>
      <c r="C198" s="54" t="s">
        <v>966</v>
      </c>
      <c r="D198" s="54" t="s">
        <v>447</v>
      </c>
      <c r="E198" s="54">
        <v>44883</v>
      </c>
      <c r="F198" s="54" t="s">
        <v>448</v>
      </c>
      <c r="G198" s="54" t="s">
        <v>376</v>
      </c>
      <c r="H198" s="54" t="s">
        <v>372</v>
      </c>
      <c r="I198" s="342">
        <v>25</v>
      </c>
      <c r="J198" s="54">
        <v>35</v>
      </c>
      <c r="K198" s="54">
        <v>14</v>
      </c>
      <c r="L198" s="54">
        <v>9</v>
      </c>
      <c r="M198" s="54">
        <v>4</v>
      </c>
      <c r="N198" s="54">
        <v>14</v>
      </c>
      <c r="O198" s="54">
        <v>43</v>
      </c>
      <c r="P198" s="54">
        <v>1</v>
      </c>
      <c r="Q198" s="54">
        <v>4</v>
      </c>
      <c r="R198" s="54">
        <v>1</v>
      </c>
      <c r="S198" s="54">
        <v>2</v>
      </c>
      <c r="T198" s="54">
        <v>12</v>
      </c>
      <c r="U198" s="54">
        <v>47</v>
      </c>
      <c r="V198" s="54">
        <v>25</v>
      </c>
      <c r="W198" s="54" t="s">
        <v>313</v>
      </c>
      <c r="X198" s="56" t="s">
        <v>353</v>
      </c>
      <c r="Y198" s="58">
        <v>45596</v>
      </c>
      <c r="Z198" s="56" t="s">
        <v>392</v>
      </c>
      <c r="AA198" s="56" t="s">
        <v>355</v>
      </c>
    </row>
    <row r="199" spans="1:27" ht="15.6">
      <c r="A199" s="53" t="s">
        <v>967</v>
      </c>
      <c r="B199" s="54" t="s">
        <v>968</v>
      </c>
      <c r="C199" s="54" t="s">
        <v>969</v>
      </c>
      <c r="D199" s="54" t="s">
        <v>535</v>
      </c>
      <c r="E199" s="54">
        <v>55330</v>
      </c>
      <c r="F199" s="54" t="s">
        <v>444</v>
      </c>
      <c r="G199" s="54" t="s">
        <v>371</v>
      </c>
      <c r="H199" s="54" t="s">
        <v>352</v>
      </c>
      <c r="I199" s="342">
        <v>24</v>
      </c>
      <c r="J199" s="54">
        <v>24</v>
      </c>
      <c r="K199" s="54">
        <v>23</v>
      </c>
      <c r="L199" s="54">
        <v>38</v>
      </c>
      <c r="M199" s="54">
        <v>12</v>
      </c>
      <c r="N199" s="54">
        <v>35</v>
      </c>
      <c r="O199" s="54">
        <v>57</v>
      </c>
      <c r="P199" s="54">
        <v>5</v>
      </c>
      <c r="Q199" s="54">
        <v>2</v>
      </c>
      <c r="R199" s="54">
        <v>21</v>
      </c>
      <c r="S199" s="54">
        <v>8</v>
      </c>
      <c r="T199" s="54">
        <v>14</v>
      </c>
      <c r="U199" s="54">
        <v>55</v>
      </c>
      <c r="V199" s="54">
        <v>56</v>
      </c>
      <c r="W199" s="54" t="s">
        <v>313</v>
      </c>
      <c r="X199" s="56" t="s">
        <v>353</v>
      </c>
      <c r="Y199" s="58">
        <v>45414</v>
      </c>
      <c r="Z199" s="56" t="s">
        <v>392</v>
      </c>
      <c r="AA199" s="56" t="s">
        <v>355</v>
      </c>
    </row>
    <row r="200" spans="1:27" ht="15.6">
      <c r="A200" s="53" t="s">
        <v>970</v>
      </c>
      <c r="B200" s="54" t="s">
        <v>971</v>
      </c>
      <c r="C200" s="54" t="s">
        <v>972</v>
      </c>
      <c r="D200" s="54" t="s">
        <v>685</v>
      </c>
      <c r="E200" s="54">
        <v>51041</v>
      </c>
      <c r="F200" s="54" t="s">
        <v>444</v>
      </c>
      <c r="G200" s="54" t="s">
        <v>371</v>
      </c>
      <c r="H200" s="54" t="s">
        <v>372</v>
      </c>
      <c r="I200" s="342">
        <v>27</v>
      </c>
      <c r="J200" s="54">
        <v>3</v>
      </c>
      <c r="K200" s="54">
        <v>1</v>
      </c>
      <c r="L200" s="54">
        <v>1</v>
      </c>
      <c r="M200" s="54">
        <v>3</v>
      </c>
      <c r="N200" s="54">
        <v>5</v>
      </c>
      <c r="O200" s="54">
        <v>3</v>
      </c>
      <c r="P200" s="54">
        <v>0</v>
      </c>
      <c r="Q200" s="54">
        <v>0</v>
      </c>
      <c r="R200" s="54">
        <v>2</v>
      </c>
      <c r="S200" s="54">
        <v>1</v>
      </c>
      <c r="T200" s="54">
        <v>2</v>
      </c>
      <c r="U200" s="54">
        <v>3</v>
      </c>
      <c r="V200" s="54">
        <v>5</v>
      </c>
      <c r="W200" s="54" t="s">
        <v>313</v>
      </c>
      <c r="X200" s="56" t="s">
        <v>313</v>
      </c>
      <c r="Y200" s="56" t="s">
        <v>313</v>
      </c>
      <c r="Z200" s="56" t="s">
        <v>313</v>
      </c>
      <c r="AA200" s="56" t="s">
        <v>313</v>
      </c>
    </row>
    <row r="201" spans="1:27" ht="15.6">
      <c r="A201" s="53" t="s">
        <v>973</v>
      </c>
      <c r="B201" s="54" t="s">
        <v>974</v>
      </c>
      <c r="C201" s="54" t="s">
        <v>975</v>
      </c>
      <c r="D201" s="54" t="s">
        <v>592</v>
      </c>
      <c r="E201" s="54">
        <v>25309</v>
      </c>
      <c r="F201" s="54" t="s">
        <v>461</v>
      </c>
      <c r="G201" s="54" t="s">
        <v>376</v>
      </c>
      <c r="H201" s="54" t="s">
        <v>352</v>
      </c>
      <c r="I201" s="342">
        <v>10</v>
      </c>
      <c r="J201" s="54">
        <v>4</v>
      </c>
      <c r="K201" s="54">
        <v>11</v>
      </c>
      <c r="L201" s="54">
        <v>5</v>
      </c>
      <c r="M201" s="54">
        <v>2</v>
      </c>
      <c r="N201" s="54">
        <v>6</v>
      </c>
      <c r="O201" s="54">
        <v>15</v>
      </c>
      <c r="P201" s="54">
        <v>0</v>
      </c>
      <c r="Q201" s="54">
        <v>1</v>
      </c>
      <c r="R201" s="54">
        <v>3</v>
      </c>
      <c r="S201" s="54">
        <v>2</v>
      </c>
      <c r="T201" s="54">
        <v>2</v>
      </c>
      <c r="U201" s="54">
        <v>15</v>
      </c>
      <c r="V201" s="54">
        <v>9</v>
      </c>
      <c r="W201" s="54" t="s">
        <v>313</v>
      </c>
      <c r="X201" s="56" t="s">
        <v>353</v>
      </c>
      <c r="Y201" s="58">
        <v>45561</v>
      </c>
      <c r="Z201" s="56" t="s">
        <v>392</v>
      </c>
      <c r="AA201" s="56" t="s">
        <v>355</v>
      </c>
    </row>
    <row r="202" spans="1:27" ht="15.6">
      <c r="A202" s="53" t="s">
        <v>976</v>
      </c>
      <c r="B202" s="54" t="s">
        <v>977</v>
      </c>
      <c r="C202" s="54" t="s">
        <v>978</v>
      </c>
      <c r="D202" s="54" t="s">
        <v>364</v>
      </c>
      <c r="E202" s="54">
        <v>70515</v>
      </c>
      <c r="F202" s="54" t="s">
        <v>350</v>
      </c>
      <c r="G202" s="54" t="s">
        <v>376</v>
      </c>
      <c r="H202" s="54" t="s">
        <v>372</v>
      </c>
      <c r="I202" s="342">
        <v>38</v>
      </c>
      <c r="J202" s="54">
        <v>609</v>
      </c>
      <c r="K202" s="54">
        <v>131</v>
      </c>
      <c r="L202" s="54">
        <v>202</v>
      </c>
      <c r="M202" s="54">
        <v>52</v>
      </c>
      <c r="N202" s="54">
        <v>0</v>
      </c>
      <c r="O202" s="54">
        <v>2</v>
      </c>
      <c r="P202" s="54">
        <v>160</v>
      </c>
      <c r="Q202" s="54">
        <v>832</v>
      </c>
      <c r="R202" s="54">
        <v>89</v>
      </c>
      <c r="S202" s="54">
        <v>38</v>
      </c>
      <c r="T202" s="54">
        <v>48</v>
      </c>
      <c r="U202" s="54">
        <v>818</v>
      </c>
      <c r="V202" s="54">
        <v>541</v>
      </c>
      <c r="W202" s="54">
        <v>700</v>
      </c>
      <c r="X202" s="56" t="s">
        <v>353</v>
      </c>
      <c r="Y202" s="58">
        <v>45722</v>
      </c>
      <c r="Z202" s="56" t="s">
        <v>354</v>
      </c>
      <c r="AA202" s="56" t="s">
        <v>355</v>
      </c>
    </row>
    <row r="203" spans="1:27" ht="15.6">
      <c r="A203" s="53" t="s">
        <v>229</v>
      </c>
      <c r="B203" s="54" t="s">
        <v>979</v>
      </c>
      <c r="C203" s="54" t="s">
        <v>980</v>
      </c>
      <c r="D203" s="54" t="s">
        <v>407</v>
      </c>
      <c r="E203" s="54">
        <v>78061</v>
      </c>
      <c r="F203" s="54" t="s">
        <v>572</v>
      </c>
      <c r="G203" s="54" t="s">
        <v>360</v>
      </c>
      <c r="H203" s="54" t="s">
        <v>372</v>
      </c>
      <c r="I203" s="342">
        <v>44</v>
      </c>
      <c r="J203" s="54">
        <v>952</v>
      </c>
      <c r="K203" s="54">
        <v>333</v>
      </c>
      <c r="L203" s="54">
        <v>295</v>
      </c>
      <c r="M203" s="54">
        <v>152</v>
      </c>
      <c r="N203" s="54">
        <v>523</v>
      </c>
      <c r="O203" s="55">
        <v>1060</v>
      </c>
      <c r="P203" s="54">
        <v>52</v>
      </c>
      <c r="Q203" s="54">
        <v>97</v>
      </c>
      <c r="R203" s="54">
        <v>176</v>
      </c>
      <c r="S203" s="54">
        <v>106</v>
      </c>
      <c r="T203" s="54">
        <v>351</v>
      </c>
      <c r="U203" s="55">
        <v>1100</v>
      </c>
      <c r="V203" s="54">
        <v>986</v>
      </c>
      <c r="W203" s="55">
        <v>1350</v>
      </c>
      <c r="X203" s="56" t="s">
        <v>353</v>
      </c>
      <c r="Y203" s="58">
        <v>45694</v>
      </c>
      <c r="Z203" s="56" t="s">
        <v>354</v>
      </c>
      <c r="AA203" s="56" t="s">
        <v>355</v>
      </c>
    </row>
    <row r="204" spans="1:27" ht="15.6">
      <c r="A204" s="53" t="s">
        <v>981</v>
      </c>
      <c r="B204" s="54" t="s">
        <v>982</v>
      </c>
      <c r="C204" s="54" t="s">
        <v>983</v>
      </c>
      <c r="D204" s="54" t="s">
        <v>452</v>
      </c>
      <c r="E204" s="54">
        <v>48060</v>
      </c>
      <c r="F204" s="54" t="s">
        <v>448</v>
      </c>
      <c r="G204" s="54" t="s">
        <v>376</v>
      </c>
      <c r="H204" s="54" t="s">
        <v>352</v>
      </c>
      <c r="I204" s="342">
        <v>40</v>
      </c>
      <c r="J204" s="54">
        <v>30</v>
      </c>
      <c r="K204" s="54">
        <v>7</v>
      </c>
      <c r="L204" s="54">
        <v>2</v>
      </c>
      <c r="M204" s="54">
        <v>3</v>
      </c>
      <c r="N204" s="54">
        <v>10</v>
      </c>
      <c r="O204" s="54">
        <v>32</v>
      </c>
      <c r="P204" s="54">
        <v>0</v>
      </c>
      <c r="Q204" s="54">
        <v>0</v>
      </c>
      <c r="R204" s="54">
        <v>4</v>
      </c>
      <c r="S204" s="54">
        <v>3</v>
      </c>
      <c r="T204" s="54">
        <v>4</v>
      </c>
      <c r="U204" s="54">
        <v>31</v>
      </c>
      <c r="V204" s="54">
        <v>22</v>
      </c>
      <c r="W204" s="54" t="s">
        <v>313</v>
      </c>
      <c r="X204" s="56" t="s">
        <v>353</v>
      </c>
      <c r="Y204" s="58">
        <v>45554</v>
      </c>
      <c r="Z204" s="56" t="s">
        <v>392</v>
      </c>
      <c r="AA204" s="56" t="s">
        <v>355</v>
      </c>
    </row>
    <row r="205" spans="1:27" ht="15.6">
      <c r="A205" s="53" t="s">
        <v>984</v>
      </c>
      <c r="B205" s="54" t="s">
        <v>985</v>
      </c>
      <c r="C205" s="54" t="s">
        <v>986</v>
      </c>
      <c r="D205" s="54" t="s">
        <v>675</v>
      </c>
      <c r="E205" s="54">
        <v>63670</v>
      </c>
      <c r="F205" s="54" t="s">
        <v>413</v>
      </c>
      <c r="G205" s="54" t="s">
        <v>371</v>
      </c>
      <c r="H205" s="54" t="s">
        <v>372</v>
      </c>
      <c r="I205" s="342">
        <v>17</v>
      </c>
      <c r="J205" s="54">
        <v>63</v>
      </c>
      <c r="K205" s="54">
        <v>10</v>
      </c>
      <c r="L205" s="54">
        <v>15</v>
      </c>
      <c r="M205" s="54">
        <v>6</v>
      </c>
      <c r="N205" s="54">
        <v>15</v>
      </c>
      <c r="O205" s="54">
        <v>70</v>
      </c>
      <c r="P205" s="54">
        <v>1</v>
      </c>
      <c r="Q205" s="54">
        <v>7</v>
      </c>
      <c r="R205" s="54">
        <v>5</v>
      </c>
      <c r="S205" s="54">
        <v>6</v>
      </c>
      <c r="T205" s="54">
        <v>13</v>
      </c>
      <c r="U205" s="54">
        <v>69</v>
      </c>
      <c r="V205" s="54">
        <v>49</v>
      </c>
      <c r="W205" s="54" t="s">
        <v>313</v>
      </c>
      <c r="X205" s="56" t="s">
        <v>313</v>
      </c>
      <c r="Y205" s="56" t="s">
        <v>313</v>
      </c>
      <c r="Z205" s="56" t="s">
        <v>313</v>
      </c>
      <c r="AA205" s="56" t="s">
        <v>313</v>
      </c>
    </row>
    <row r="206" spans="1:27" ht="15.6">
      <c r="A206" s="53" t="s">
        <v>231</v>
      </c>
      <c r="B206" s="54" t="s">
        <v>987</v>
      </c>
      <c r="C206" s="54" t="s">
        <v>988</v>
      </c>
      <c r="D206" s="54" t="s">
        <v>630</v>
      </c>
      <c r="E206" s="54">
        <v>31815</v>
      </c>
      <c r="F206" s="54" t="s">
        <v>631</v>
      </c>
      <c r="G206" s="54" t="s">
        <v>351</v>
      </c>
      <c r="H206" s="54" t="s">
        <v>372</v>
      </c>
      <c r="I206" s="342">
        <v>51</v>
      </c>
      <c r="J206" s="54">
        <v>864</v>
      </c>
      <c r="K206" s="54">
        <v>556</v>
      </c>
      <c r="L206" s="54">
        <v>334</v>
      </c>
      <c r="M206" s="54">
        <v>290</v>
      </c>
      <c r="N206" s="54">
        <v>667</v>
      </c>
      <c r="O206" s="55">
        <v>1081</v>
      </c>
      <c r="P206" s="54">
        <v>64</v>
      </c>
      <c r="Q206" s="54">
        <v>232</v>
      </c>
      <c r="R206" s="54">
        <v>353</v>
      </c>
      <c r="S206" s="54">
        <v>231</v>
      </c>
      <c r="T206" s="54">
        <v>246</v>
      </c>
      <c r="U206" s="55">
        <v>1214</v>
      </c>
      <c r="V206" s="55">
        <v>1264</v>
      </c>
      <c r="W206" s="55">
        <v>1600</v>
      </c>
      <c r="X206" s="56" t="s">
        <v>353</v>
      </c>
      <c r="Y206" s="58">
        <v>45736</v>
      </c>
      <c r="Z206" s="56" t="s">
        <v>354</v>
      </c>
      <c r="AA206" s="56" t="s">
        <v>355</v>
      </c>
    </row>
    <row r="207" spans="1:27" ht="15.6">
      <c r="A207" s="53" t="s">
        <v>989</v>
      </c>
      <c r="B207" s="54" t="s">
        <v>990</v>
      </c>
      <c r="C207" s="54" t="s">
        <v>991</v>
      </c>
      <c r="D207" s="54" t="s">
        <v>401</v>
      </c>
      <c r="E207" s="54">
        <v>3820</v>
      </c>
      <c r="F207" s="54" t="s">
        <v>402</v>
      </c>
      <c r="G207" s="54" t="s">
        <v>376</v>
      </c>
      <c r="H207" s="54" t="s">
        <v>372</v>
      </c>
      <c r="I207" s="342">
        <v>37</v>
      </c>
      <c r="J207" s="54">
        <v>37</v>
      </c>
      <c r="K207" s="54">
        <v>3</v>
      </c>
      <c r="L207" s="54">
        <v>61</v>
      </c>
      <c r="M207" s="54">
        <v>41</v>
      </c>
      <c r="N207" s="54">
        <v>42</v>
      </c>
      <c r="O207" s="54">
        <v>78</v>
      </c>
      <c r="P207" s="54">
        <v>1</v>
      </c>
      <c r="Q207" s="54">
        <v>21</v>
      </c>
      <c r="R207" s="54">
        <v>24</v>
      </c>
      <c r="S207" s="54">
        <v>12</v>
      </c>
      <c r="T207" s="54">
        <v>10</v>
      </c>
      <c r="U207" s="54">
        <v>96</v>
      </c>
      <c r="V207" s="54">
        <v>58</v>
      </c>
      <c r="W207" s="54" t="s">
        <v>313</v>
      </c>
      <c r="X207" s="56" t="s">
        <v>353</v>
      </c>
      <c r="Y207" s="58">
        <v>45743</v>
      </c>
      <c r="Z207" s="56" t="s">
        <v>392</v>
      </c>
      <c r="AA207" s="56" t="s">
        <v>355</v>
      </c>
    </row>
    <row r="208" spans="1:27" ht="15.6">
      <c r="A208" s="53" t="s">
        <v>992</v>
      </c>
      <c r="B208" s="54" t="s">
        <v>993</v>
      </c>
      <c r="C208" s="54" t="s">
        <v>994</v>
      </c>
      <c r="D208" s="54" t="s">
        <v>752</v>
      </c>
      <c r="E208" s="54">
        <v>82935</v>
      </c>
      <c r="F208" s="54" t="s">
        <v>562</v>
      </c>
      <c r="G208" s="54" t="s">
        <v>371</v>
      </c>
      <c r="H208" s="54" t="s">
        <v>372</v>
      </c>
      <c r="I208" s="342">
        <v>8</v>
      </c>
      <c r="J208" s="54">
        <v>2</v>
      </c>
      <c r="K208" s="54">
        <v>3</v>
      </c>
      <c r="L208" s="54">
        <v>3</v>
      </c>
      <c r="M208" s="54">
        <v>1</v>
      </c>
      <c r="N208" s="54">
        <v>5</v>
      </c>
      <c r="O208" s="54">
        <v>4</v>
      </c>
      <c r="P208" s="54">
        <v>0</v>
      </c>
      <c r="Q208" s="54">
        <v>0</v>
      </c>
      <c r="R208" s="54">
        <v>4</v>
      </c>
      <c r="S208" s="54">
        <v>0</v>
      </c>
      <c r="T208" s="54">
        <v>1</v>
      </c>
      <c r="U208" s="54">
        <v>4</v>
      </c>
      <c r="V208" s="54">
        <v>7</v>
      </c>
      <c r="W208" s="54" t="s">
        <v>313</v>
      </c>
      <c r="X208" s="56" t="s">
        <v>425</v>
      </c>
      <c r="Y208" s="58">
        <v>45785</v>
      </c>
      <c r="Z208" s="56" t="s">
        <v>392</v>
      </c>
      <c r="AA208" s="56" t="s">
        <v>355</v>
      </c>
    </row>
    <row r="209" spans="1:27" ht="15.6">
      <c r="A209" s="53" t="s">
        <v>233</v>
      </c>
      <c r="B209" s="54" t="s">
        <v>995</v>
      </c>
      <c r="C209" s="54" t="s">
        <v>996</v>
      </c>
      <c r="D209" s="54" t="s">
        <v>407</v>
      </c>
      <c r="E209" s="54">
        <v>76574</v>
      </c>
      <c r="F209" s="54" t="s">
        <v>572</v>
      </c>
      <c r="G209" s="54" t="s">
        <v>360</v>
      </c>
      <c r="H209" s="54" t="s">
        <v>352</v>
      </c>
      <c r="I209" s="342">
        <v>41</v>
      </c>
      <c r="J209" s="54">
        <v>242</v>
      </c>
      <c r="K209" s="54">
        <v>47</v>
      </c>
      <c r="L209" s="54">
        <v>100</v>
      </c>
      <c r="M209" s="54">
        <v>55</v>
      </c>
      <c r="N209" s="54">
        <v>135</v>
      </c>
      <c r="O209" s="54">
        <v>309</v>
      </c>
      <c r="P209" s="54">
        <v>0</v>
      </c>
      <c r="Q209" s="54">
        <v>0</v>
      </c>
      <c r="R209" s="54">
        <v>59</v>
      </c>
      <c r="S209" s="54">
        <v>48</v>
      </c>
      <c r="T209" s="54">
        <v>59</v>
      </c>
      <c r="U209" s="54">
        <v>278</v>
      </c>
      <c r="V209" s="54">
        <v>225</v>
      </c>
      <c r="W209" s="54">
        <v>461</v>
      </c>
      <c r="X209" s="56" t="s">
        <v>353</v>
      </c>
      <c r="Y209" s="58">
        <v>45645</v>
      </c>
      <c r="Z209" s="56" t="s">
        <v>354</v>
      </c>
      <c r="AA209" s="56" t="s">
        <v>355</v>
      </c>
    </row>
    <row r="210" spans="1:27" ht="15.6">
      <c r="A210" s="53" t="s">
        <v>997</v>
      </c>
      <c r="B210" s="54" t="s">
        <v>998</v>
      </c>
      <c r="C210" s="54" t="s">
        <v>999</v>
      </c>
      <c r="D210" s="54" t="s">
        <v>553</v>
      </c>
      <c r="E210" s="54">
        <v>84074</v>
      </c>
      <c r="F210" s="54" t="s">
        <v>473</v>
      </c>
      <c r="G210" s="54" t="s">
        <v>371</v>
      </c>
      <c r="H210" s="54" t="s">
        <v>372</v>
      </c>
      <c r="I210" s="342">
        <v>3</v>
      </c>
      <c r="J210" s="54">
        <v>3</v>
      </c>
      <c r="K210" s="54">
        <v>5</v>
      </c>
      <c r="L210" s="54">
        <v>1</v>
      </c>
      <c r="M210" s="54">
        <v>1</v>
      </c>
      <c r="N210" s="54">
        <v>3</v>
      </c>
      <c r="O210" s="54">
        <v>6</v>
      </c>
      <c r="P210" s="54">
        <v>0</v>
      </c>
      <c r="Q210" s="54">
        <v>1</v>
      </c>
      <c r="R210" s="54">
        <v>2</v>
      </c>
      <c r="S210" s="54">
        <v>2</v>
      </c>
      <c r="T210" s="54">
        <v>3</v>
      </c>
      <c r="U210" s="54">
        <v>4</v>
      </c>
      <c r="V210" s="54">
        <v>4</v>
      </c>
      <c r="W210" s="54" t="s">
        <v>313</v>
      </c>
      <c r="X210" s="56" t="s">
        <v>382</v>
      </c>
      <c r="Y210" s="58">
        <v>45636</v>
      </c>
      <c r="Z210" s="56" t="s">
        <v>392</v>
      </c>
      <c r="AA210" s="56" t="s">
        <v>355</v>
      </c>
    </row>
    <row r="211" spans="1:27" ht="15.6">
      <c r="A211" s="53" t="s">
        <v>1000</v>
      </c>
      <c r="B211" s="54" t="s">
        <v>1001</v>
      </c>
      <c r="C211" s="54" t="s">
        <v>1002</v>
      </c>
      <c r="D211" s="54" t="s">
        <v>489</v>
      </c>
      <c r="E211" s="54">
        <v>87016</v>
      </c>
      <c r="F211" s="54" t="s">
        <v>490</v>
      </c>
      <c r="G211" s="54" t="s">
        <v>376</v>
      </c>
      <c r="H211" s="54" t="s">
        <v>352</v>
      </c>
      <c r="I211" s="342">
        <v>97</v>
      </c>
      <c r="J211" s="54">
        <v>348</v>
      </c>
      <c r="K211" s="54">
        <v>92</v>
      </c>
      <c r="L211" s="54">
        <v>0</v>
      </c>
      <c r="M211" s="54">
        <v>0</v>
      </c>
      <c r="N211" s="54">
        <v>59</v>
      </c>
      <c r="O211" s="54">
        <v>381</v>
      </c>
      <c r="P211" s="54">
        <v>0</v>
      </c>
      <c r="Q211" s="54">
        <v>0</v>
      </c>
      <c r="R211" s="54">
        <v>8</v>
      </c>
      <c r="S211" s="54">
        <v>10</v>
      </c>
      <c r="T211" s="54">
        <v>40</v>
      </c>
      <c r="U211" s="54">
        <v>381</v>
      </c>
      <c r="V211" s="54">
        <v>145</v>
      </c>
      <c r="W211" s="54">
        <v>505</v>
      </c>
      <c r="X211" s="56" t="s">
        <v>353</v>
      </c>
      <c r="Y211" s="58">
        <v>45589</v>
      </c>
      <c r="Z211" s="56" t="s">
        <v>354</v>
      </c>
      <c r="AA211" s="56" t="s">
        <v>355</v>
      </c>
    </row>
    <row r="212" spans="1:27" ht="15.6">
      <c r="A212" s="53" t="s">
        <v>1003</v>
      </c>
      <c r="B212" s="54" t="s">
        <v>1004</v>
      </c>
      <c r="C212" s="54" t="s">
        <v>1005</v>
      </c>
      <c r="D212" s="54" t="s">
        <v>507</v>
      </c>
      <c r="E212" s="54">
        <v>74103</v>
      </c>
      <c r="F212" s="54" t="s">
        <v>408</v>
      </c>
      <c r="G212" s="54" t="s">
        <v>376</v>
      </c>
      <c r="H212" s="54" t="s">
        <v>372</v>
      </c>
      <c r="I212" s="342">
        <v>6</v>
      </c>
      <c r="J212" s="54">
        <v>41</v>
      </c>
      <c r="K212" s="54">
        <v>7</v>
      </c>
      <c r="L212" s="54">
        <v>4</v>
      </c>
      <c r="M212" s="54">
        <v>1</v>
      </c>
      <c r="N212" s="54">
        <v>7</v>
      </c>
      <c r="O212" s="54">
        <v>38</v>
      </c>
      <c r="P212" s="54">
        <v>1</v>
      </c>
      <c r="Q212" s="54">
        <v>7</v>
      </c>
      <c r="R212" s="54">
        <v>3</v>
      </c>
      <c r="S212" s="54">
        <v>4</v>
      </c>
      <c r="T212" s="54">
        <v>4</v>
      </c>
      <c r="U212" s="54">
        <v>43</v>
      </c>
      <c r="V212" s="54">
        <v>16</v>
      </c>
      <c r="W212" s="54" t="s">
        <v>313</v>
      </c>
      <c r="X212" s="56" t="s">
        <v>353</v>
      </c>
      <c r="Y212" s="58">
        <v>45554</v>
      </c>
      <c r="Z212" s="56" t="s">
        <v>392</v>
      </c>
      <c r="AA212" s="56" t="s">
        <v>355</v>
      </c>
    </row>
    <row r="213" spans="1:27" ht="15.6">
      <c r="A213" s="53" t="s">
        <v>1006</v>
      </c>
      <c r="B213" s="54" t="s">
        <v>1007</v>
      </c>
      <c r="C213" s="54" t="s">
        <v>742</v>
      </c>
      <c r="D213" s="54" t="s">
        <v>387</v>
      </c>
      <c r="E213" s="54">
        <v>33166</v>
      </c>
      <c r="F213" s="54" t="s">
        <v>388</v>
      </c>
      <c r="G213" s="54" t="s">
        <v>376</v>
      </c>
      <c r="H213" s="54" t="s">
        <v>372</v>
      </c>
      <c r="I213" s="342">
        <v>1</v>
      </c>
      <c r="J213" s="54">
        <v>3</v>
      </c>
      <c r="K213" s="54">
        <v>1</v>
      </c>
      <c r="L213" s="54">
        <v>3</v>
      </c>
      <c r="M213" s="54">
        <v>2</v>
      </c>
      <c r="N213" s="54">
        <v>2</v>
      </c>
      <c r="O213" s="54">
        <v>6</v>
      </c>
      <c r="P213" s="54">
        <v>0</v>
      </c>
      <c r="Q213" s="54">
        <v>1</v>
      </c>
      <c r="R213" s="54">
        <v>1</v>
      </c>
      <c r="S213" s="54">
        <v>0</v>
      </c>
      <c r="T213" s="54">
        <v>0</v>
      </c>
      <c r="U213" s="54">
        <v>7</v>
      </c>
      <c r="V213" s="54">
        <v>3</v>
      </c>
      <c r="W213" s="54" t="s">
        <v>313</v>
      </c>
      <c r="X213" s="56" t="s">
        <v>313</v>
      </c>
      <c r="Y213" s="56" t="s">
        <v>313</v>
      </c>
      <c r="Z213" s="56" t="s">
        <v>313</v>
      </c>
      <c r="AA213" s="56" t="s">
        <v>313</v>
      </c>
    </row>
    <row r="214" spans="1:27" ht="15.6">
      <c r="A214" s="53" t="s">
        <v>1008</v>
      </c>
      <c r="B214" s="54" t="s">
        <v>1009</v>
      </c>
      <c r="C214" s="54" t="s">
        <v>1010</v>
      </c>
      <c r="D214" s="54" t="s">
        <v>539</v>
      </c>
      <c r="E214" s="54">
        <v>4578</v>
      </c>
      <c r="F214" s="54" t="s">
        <v>402</v>
      </c>
      <c r="G214" s="54" t="s">
        <v>371</v>
      </c>
      <c r="H214" s="54" t="s">
        <v>352</v>
      </c>
      <c r="I214" s="342">
        <v>98</v>
      </c>
      <c r="J214" s="54">
        <v>0</v>
      </c>
      <c r="K214" s="54">
        <v>0</v>
      </c>
      <c r="L214" s="54">
        <v>5</v>
      </c>
      <c r="M214" s="54">
        <v>5</v>
      </c>
      <c r="N214" s="54">
        <v>3</v>
      </c>
      <c r="O214" s="54">
        <v>7</v>
      </c>
      <c r="P214" s="54">
        <v>0</v>
      </c>
      <c r="Q214" s="54">
        <v>0</v>
      </c>
      <c r="R214" s="54">
        <v>2</v>
      </c>
      <c r="S214" s="54">
        <v>0</v>
      </c>
      <c r="T214" s="54">
        <v>1</v>
      </c>
      <c r="U214" s="54">
        <v>7</v>
      </c>
      <c r="V214" s="54">
        <v>7</v>
      </c>
      <c r="W214" s="54" t="s">
        <v>313</v>
      </c>
      <c r="X214" s="56" t="s">
        <v>313</v>
      </c>
      <c r="Y214" s="56" t="s">
        <v>313</v>
      </c>
      <c r="Z214" s="56" t="s">
        <v>313</v>
      </c>
      <c r="AA214" s="56" t="s">
        <v>313</v>
      </c>
    </row>
    <row r="215" spans="1:27" ht="15.6">
      <c r="A215" s="53" t="s">
        <v>1011</v>
      </c>
      <c r="B215" s="54" t="s">
        <v>1012</v>
      </c>
      <c r="C215" s="54" t="s">
        <v>1013</v>
      </c>
      <c r="D215" s="54" t="s">
        <v>752</v>
      </c>
      <c r="E215" s="54">
        <v>82930</v>
      </c>
      <c r="F215" s="54" t="s">
        <v>473</v>
      </c>
      <c r="G215" s="54" t="s">
        <v>376</v>
      </c>
      <c r="H215" s="54" t="s">
        <v>372</v>
      </c>
      <c r="I215" s="342">
        <v>3</v>
      </c>
      <c r="J215" s="54">
        <v>7</v>
      </c>
      <c r="K215" s="54">
        <v>8</v>
      </c>
      <c r="L215" s="54">
        <v>2</v>
      </c>
      <c r="M215" s="54">
        <v>1</v>
      </c>
      <c r="N215" s="54">
        <v>4</v>
      </c>
      <c r="O215" s="54">
        <v>13</v>
      </c>
      <c r="P215" s="54">
        <v>0</v>
      </c>
      <c r="Q215" s="54">
        <v>1</v>
      </c>
      <c r="R215" s="54">
        <v>3</v>
      </c>
      <c r="S215" s="54">
        <v>2</v>
      </c>
      <c r="T215" s="54">
        <v>4</v>
      </c>
      <c r="U215" s="54">
        <v>9</v>
      </c>
      <c r="V215" s="54">
        <v>9</v>
      </c>
      <c r="W215" s="54" t="s">
        <v>313</v>
      </c>
      <c r="X215" s="56"/>
      <c r="Y215" s="58">
        <v>45831</v>
      </c>
      <c r="Z215" s="56" t="s">
        <v>426</v>
      </c>
      <c r="AA215" s="56" t="s">
        <v>355</v>
      </c>
    </row>
    <row r="216" spans="1:27" ht="15.6">
      <c r="A216" s="53" t="s">
        <v>1014</v>
      </c>
      <c r="B216" s="54" t="s">
        <v>1015</v>
      </c>
      <c r="C216" s="54" t="s">
        <v>1016</v>
      </c>
      <c r="D216" s="54" t="s">
        <v>407</v>
      </c>
      <c r="E216" s="54">
        <v>77901</v>
      </c>
      <c r="F216" s="54" t="s">
        <v>700</v>
      </c>
      <c r="G216" s="54" t="s">
        <v>371</v>
      </c>
      <c r="H216" s="54" t="s">
        <v>372</v>
      </c>
      <c r="I216" s="342" t="s">
        <v>313</v>
      </c>
      <c r="J216" s="54">
        <v>0</v>
      </c>
      <c r="K216" s="54">
        <v>14</v>
      </c>
      <c r="L216" s="54">
        <v>0</v>
      </c>
      <c r="M216" s="54">
        <v>0</v>
      </c>
      <c r="N216" s="54">
        <v>0</v>
      </c>
      <c r="O216" s="54">
        <v>14</v>
      </c>
      <c r="P216" s="54">
        <v>0</v>
      </c>
      <c r="Q216" s="54">
        <v>0</v>
      </c>
      <c r="R216" s="54">
        <v>0</v>
      </c>
      <c r="S216" s="54">
        <v>0</v>
      </c>
      <c r="T216" s="54">
        <v>0</v>
      </c>
      <c r="U216" s="54">
        <v>14</v>
      </c>
      <c r="V216" s="54">
        <v>0</v>
      </c>
      <c r="W216" s="54" t="s">
        <v>313</v>
      </c>
      <c r="X216" s="56" t="s">
        <v>382</v>
      </c>
      <c r="Y216" s="58">
        <v>45765</v>
      </c>
      <c r="Z216" s="56" t="s">
        <v>383</v>
      </c>
      <c r="AA216" s="56" t="s">
        <v>355</v>
      </c>
    </row>
    <row r="217" spans="1:27" ht="15.6">
      <c r="A217" s="53" t="s">
        <v>1017</v>
      </c>
      <c r="B217" s="54" t="s">
        <v>1018</v>
      </c>
      <c r="C217" s="54" t="s">
        <v>1019</v>
      </c>
      <c r="D217" s="54" t="s">
        <v>387</v>
      </c>
      <c r="E217" s="54">
        <v>32433</v>
      </c>
      <c r="F217" s="54" t="s">
        <v>388</v>
      </c>
      <c r="G217" s="54" t="s">
        <v>371</v>
      </c>
      <c r="H217" s="54" t="s">
        <v>372</v>
      </c>
      <c r="I217" s="342">
        <v>2</v>
      </c>
      <c r="J217" s="54">
        <v>13</v>
      </c>
      <c r="K217" s="54">
        <v>6</v>
      </c>
      <c r="L217" s="54">
        <v>2</v>
      </c>
      <c r="M217" s="54">
        <v>2</v>
      </c>
      <c r="N217" s="54">
        <v>4</v>
      </c>
      <c r="O217" s="54">
        <v>19</v>
      </c>
      <c r="P217" s="54">
        <v>0</v>
      </c>
      <c r="Q217" s="54">
        <v>0</v>
      </c>
      <c r="R217" s="54">
        <v>3</v>
      </c>
      <c r="S217" s="54">
        <v>1</v>
      </c>
      <c r="T217" s="54">
        <v>2</v>
      </c>
      <c r="U217" s="54">
        <v>17</v>
      </c>
      <c r="V217" s="54">
        <v>9</v>
      </c>
      <c r="W217" s="54" t="s">
        <v>313</v>
      </c>
      <c r="X217" s="56" t="s">
        <v>313</v>
      </c>
      <c r="Y217" s="56" t="s">
        <v>313</v>
      </c>
      <c r="Z217" s="56" t="s">
        <v>313</v>
      </c>
      <c r="AA217" s="56" t="s">
        <v>313</v>
      </c>
    </row>
    <row r="218" spans="1:27" ht="15.6">
      <c r="A218" s="53" t="s">
        <v>1020</v>
      </c>
      <c r="B218" s="54" t="s">
        <v>1021</v>
      </c>
      <c r="C218" s="54" t="s">
        <v>1022</v>
      </c>
      <c r="D218" s="54" t="s">
        <v>443</v>
      </c>
      <c r="E218" s="54">
        <v>58702</v>
      </c>
      <c r="F218" s="54" t="s">
        <v>444</v>
      </c>
      <c r="G218" s="54" t="s">
        <v>371</v>
      </c>
      <c r="H218" s="54" t="s">
        <v>372</v>
      </c>
      <c r="I218" s="342">
        <v>4</v>
      </c>
      <c r="J218" s="54">
        <v>0</v>
      </c>
      <c r="K218" s="54">
        <v>1</v>
      </c>
      <c r="L218" s="54">
        <v>0</v>
      </c>
      <c r="M218" s="54">
        <v>0</v>
      </c>
      <c r="N218" s="54">
        <v>0</v>
      </c>
      <c r="O218" s="54">
        <v>1</v>
      </c>
      <c r="P218" s="54">
        <v>0</v>
      </c>
      <c r="Q218" s="54">
        <v>0</v>
      </c>
      <c r="R218" s="54">
        <v>0</v>
      </c>
      <c r="S218" s="54">
        <v>0</v>
      </c>
      <c r="T218" s="54">
        <v>0</v>
      </c>
      <c r="U218" s="54">
        <v>1</v>
      </c>
      <c r="V218" s="54">
        <v>1</v>
      </c>
      <c r="W218" s="54" t="s">
        <v>313</v>
      </c>
      <c r="X218" s="56" t="s">
        <v>382</v>
      </c>
      <c r="Y218" s="58">
        <v>45645</v>
      </c>
      <c r="Z218" s="56" t="s">
        <v>383</v>
      </c>
      <c r="AA218" s="56" t="s">
        <v>355</v>
      </c>
    </row>
    <row r="219" spans="1:27" ht="15.6">
      <c r="A219" s="53" t="s">
        <v>1023</v>
      </c>
      <c r="B219" s="54" t="s">
        <v>1024</v>
      </c>
      <c r="C219" s="54" t="s">
        <v>1025</v>
      </c>
      <c r="D219" s="54" t="s">
        <v>807</v>
      </c>
      <c r="E219" s="54">
        <v>72701</v>
      </c>
      <c r="F219" s="54" t="s">
        <v>350</v>
      </c>
      <c r="G219" s="54" t="s">
        <v>371</v>
      </c>
      <c r="H219" s="54" t="s">
        <v>372</v>
      </c>
      <c r="I219" s="342">
        <v>2</v>
      </c>
      <c r="J219" s="54">
        <v>1</v>
      </c>
      <c r="K219" s="54">
        <v>3</v>
      </c>
      <c r="L219" s="54">
        <v>2</v>
      </c>
      <c r="M219" s="54">
        <v>0</v>
      </c>
      <c r="N219" s="54">
        <v>1</v>
      </c>
      <c r="O219" s="54">
        <v>5</v>
      </c>
      <c r="P219" s="54">
        <v>0</v>
      </c>
      <c r="Q219" s="54">
        <v>0</v>
      </c>
      <c r="R219" s="54">
        <v>1</v>
      </c>
      <c r="S219" s="54">
        <v>1</v>
      </c>
      <c r="T219" s="54">
        <v>0</v>
      </c>
      <c r="U219" s="54">
        <v>5</v>
      </c>
      <c r="V219" s="54">
        <v>3</v>
      </c>
      <c r="W219" s="54" t="s">
        <v>313</v>
      </c>
      <c r="X219" s="56" t="s">
        <v>425</v>
      </c>
      <c r="Y219" s="58">
        <v>45771</v>
      </c>
      <c r="Z219" s="56" t="s">
        <v>392</v>
      </c>
      <c r="AA219" s="56" t="s">
        <v>355</v>
      </c>
    </row>
    <row r="220" spans="1:27" ht="31.2">
      <c r="A220" s="53" t="s">
        <v>1026</v>
      </c>
      <c r="B220" s="54" t="s">
        <v>1027</v>
      </c>
      <c r="C220" s="54" t="s">
        <v>1028</v>
      </c>
      <c r="D220" s="54" t="s">
        <v>553</v>
      </c>
      <c r="E220" s="54">
        <v>84737</v>
      </c>
      <c r="F220" s="54" t="s">
        <v>473</v>
      </c>
      <c r="G220" s="54" t="s">
        <v>371</v>
      </c>
      <c r="H220" s="54" t="s">
        <v>372</v>
      </c>
      <c r="I220" s="342">
        <v>5</v>
      </c>
      <c r="J220" s="54">
        <v>6</v>
      </c>
      <c r="K220" s="54">
        <v>5</v>
      </c>
      <c r="L220" s="54">
        <v>0</v>
      </c>
      <c r="M220" s="54">
        <v>0</v>
      </c>
      <c r="N220" s="54">
        <v>3</v>
      </c>
      <c r="O220" s="54">
        <v>7</v>
      </c>
      <c r="P220" s="54">
        <v>0</v>
      </c>
      <c r="Q220" s="54">
        <v>0</v>
      </c>
      <c r="R220" s="54">
        <v>3</v>
      </c>
      <c r="S220" s="54">
        <v>1</v>
      </c>
      <c r="T220" s="54">
        <v>3</v>
      </c>
      <c r="U220" s="54">
        <v>5</v>
      </c>
      <c r="V220" s="54">
        <v>5</v>
      </c>
      <c r="W220" s="54" t="s">
        <v>313</v>
      </c>
      <c r="X220" s="56" t="s">
        <v>382</v>
      </c>
      <c r="Y220" s="58">
        <v>44602</v>
      </c>
      <c r="Z220" s="56" t="s">
        <v>383</v>
      </c>
      <c r="AA220" s="56" t="s">
        <v>355</v>
      </c>
    </row>
    <row r="221" spans="1:27" ht="15.6">
      <c r="A221" s="53" t="s">
        <v>1029</v>
      </c>
      <c r="B221" s="54" t="s">
        <v>1030</v>
      </c>
      <c r="C221" s="54" t="s">
        <v>1031</v>
      </c>
      <c r="D221" s="54" t="s">
        <v>689</v>
      </c>
      <c r="E221" s="54">
        <v>89506</v>
      </c>
      <c r="F221" s="54" t="s">
        <v>473</v>
      </c>
      <c r="G221" s="54" t="s">
        <v>371</v>
      </c>
      <c r="H221" s="54" t="s">
        <v>372</v>
      </c>
      <c r="I221" s="342">
        <v>17</v>
      </c>
      <c r="J221" s="54">
        <v>5</v>
      </c>
      <c r="K221" s="54">
        <v>16</v>
      </c>
      <c r="L221" s="54">
        <v>14</v>
      </c>
      <c r="M221" s="54">
        <v>14</v>
      </c>
      <c r="N221" s="54">
        <v>23</v>
      </c>
      <c r="O221" s="54">
        <v>26</v>
      </c>
      <c r="P221" s="54">
        <v>0</v>
      </c>
      <c r="Q221" s="54">
        <v>1</v>
      </c>
      <c r="R221" s="54">
        <v>18</v>
      </c>
      <c r="S221" s="54">
        <v>4</v>
      </c>
      <c r="T221" s="54">
        <v>7</v>
      </c>
      <c r="U221" s="54">
        <v>21</v>
      </c>
      <c r="V221" s="54">
        <v>22</v>
      </c>
      <c r="W221" s="54" t="s">
        <v>313</v>
      </c>
      <c r="X221" s="56" t="s">
        <v>353</v>
      </c>
      <c r="Y221" s="58">
        <v>45603</v>
      </c>
      <c r="Z221" s="56" t="s">
        <v>392</v>
      </c>
      <c r="AA221" s="56" t="s">
        <v>355</v>
      </c>
    </row>
    <row r="222" spans="1:27" ht="15.6">
      <c r="A222" s="53" t="s">
        <v>1032</v>
      </c>
      <c r="B222" s="54" t="s">
        <v>1033</v>
      </c>
      <c r="C222" s="54" t="s">
        <v>1034</v>
      </c>
      <c r="D222" s="54" t="s">
        <v>578</v>
      </c>
      <c r="E222" s="54">
        <v>53186</v>
      </c>
      <c r="F222" s="54" t="s">
        <v>413</v>
      </c>
      <c r="G222" s="54" t="s">
        <v>371</v>
      </c>
      <c r="H222" s="54" t="s">
        <v>372</v>
      </c>
      <c r="I222" s="342">
        <v>2</v>
      </c>
      <c r="J222" s="54">
        <v>1</v>
      </c>
      <c r="K222" s="54">
        <v>0</v>
      </c>
      <c r="L222" s="54">
        <v>1</v>
      </c>
      <c r="M222" s="54">
        <v>1</v>
      </c>
      <c r="N222" s="54">
        <v>1</v>
      </c>
      <c r="O222" s="54">
        <v>2</v>
      </c>
      <c r="P222" s="54">
        <v>0</v>
      </c>
      <c r="Q222" s="54">
        <v>0</v>
      </c>
      <c r="R222" s="54">
        <v>0</v>
      </c>
      <c r="S222" s="54">
        <v>1</v>
      </c>
      <c r="T222" s="54">
        <v>0</v>
      </c>
      <c r="U222" s="54">
        <v>2</v>
      </c>
      <c r="V222" s="54">
        <v>2</v>
      </c>
      <c r="W222" s="54" t="s">
        <v>313</v>
      </c>
      <c r="X222" s="56" t="s">
        <v>425</v>
      </c>
      <c r="Y222" s="58">
        <v>45848</v>
      </c>
      <c r="Z222" s="56" t="s">
        <v>383</v>
      </c>
      <c r="AA222" s="56" t="s">
        <v>355</v>
      </c>
    </row>
    <row r="223" spans="1:27" ht="15.6">
      <c r="A223" s="53" t="s">
        <v>1035</v>
      </c>
      <c r="B223" s="54" t="s">
        <v>1036</v>
      </c>
      <c r="C223" s="54" t="s">
        <v>755</v>
      </c>
      <c r="D223" s="54" t="s">
        <v>407</v>
      </c>
      <c r="E223" s="54">
        <v>78041</v>
      </c>
      <c r="F223" s="54" t="s">
        <v>424</v>
      </c>
      <c r="G223" s="54" t="s">
        <v>351</v>
      </c>
      <c r="H223" s="54" t="s">
        <v>372</v>
      </c>
      <c r="I223" s="342">
        <v>94</v>
      </c>
      <c r="J223" s="54">
        <v>313</v>
      </c>
      <c r="K223" s="54">
        <v>20</v>
      </c>
      <c r="L223" s="54">
        <v>45</v>
      </c>
      <c r="M223" s="54">
        <v>51</v>
      </c>
      <c r="N223" s="54">
        <v>52</v>
      </c>
      <c r="O223" s="54">
        <v>364</v>
      </c>
      <c r="P223" s="54">
        <v>3</v>
      </c>
      <c r="Q223" s="54">
        <v>9</v>
      </c>
      <c r="R223" s="54">
        <v>20</v>
      </c>
      <c r="S223" s="54">
        <v>15</v>
      </c>
      <c r="T223" s="54">
        <v>25</v>
      </c>
      <c r="U223" s="54">
        <v>368</v>
      </c>
      <c r="V223" s="54">
        <v>232</v>
      </c>
      <c r="W223" s="54">
        <v>250</v>
      </c>
      <c r="X223" s="56" t="s">
        <v>353</v>
      </c>
      <c r="Y223" s="58">
        <v>45694</v>
      </c>
      <c r="Z223" s="56" t="s">
        <v>354</v>
      </c>
      <c r="AA223" s="56" t="s">
        <v>355</v>
      </c>
    </row>
    <row r="224" spans="1:27" ht="15.6">
      <c r="A224" s="53" t="s">
        <v>1037</v>
      </c>
      <c r="B224" s="54" t="s">
        <v>1038</v>
      </c>
      <c r="C224" s="54" t="s">
        <v>1039</v>
      </c>
      <c r="D224" s="54" t="s">
        <v>553</v>
      </c>
      <c r="E224" s="54">
        <v>84404</v>
      </c>
      <c r="F224" s="54" t="s">
        <v>473</v>
      </c>
      <c r="G224" s="54" t="s">
        <v>371</v>
      </c>
      <c r="H224" s="54" t="s">
        <v>372</v>
      </c>
      <c r="I224" s="342">
        <v>3</v>
      </c>
      <c r="J224" s="54">
        <v>3</v>
      </c>
      <c r="K224" s="54">
        <v>3</v>
      </c>
      <c r="L224" s="54">
        <v>0</v>
      </c>
      <c r="M224" s="54">
        <v>0</v>
      </c>
      <c r="N224" s="54">
        <v>2</v>
      </c>
      <c r="O224" s="54">
        <v>4</v>
      </c>
      <c r="P224" s="54">
        <v>0</v>
      </c>
      <c r="Q224" s="54">
        <v>0</v>
      </c>
      <c r="R224" s="54">
        <v>1</v>
      </c>
      <c r="S224" s="54">
        <v>1</v>
      </c>
      <c r="T224" s="54">
        <v>1</v>
      </c>
      <c r="U224" s="54">
        <v>2</v>
      </c>
      <c r="V224" s="54">
        <v>3</v>
      </c>
      <c r="W224" s="54" t="s">
        <v>313</v>
      </c>
      <c r="X224" s="56" t="s">
        <v>313</v>
      </c>
      <c r="Y224" s="56" t="s">
        <v>313</v>
      </c>
      <c r="Z224" s="56" t="s">
        <v>313</v>
      </c>
      <c r="AA224" s="56" t="s">
        <v>313</v>
      </c>
    </row>
    <row r="225" spans="1:27" ht="15.6">
      <c r="A225" s="53" t="s">
        <v>1040</v>
      </c>
      <c r="B225" s="54" t="s">
        <v>1041</v>
      </c>
      <c r="C225" s="54" t="s">
        <v>1042</v>
      </c>
      <c r="D225" s="54" t="s">
        <v>739</v>
      </c>
      <c r="E225" s="54">
        <v>38049</v>
      </c>
      <c r="F225" s="54" t="s">
        <v>350</v>
      </c>
      <c r="G225" s="54" t="s">
        <v>351</v>
      </c>
      <c r="H225" s="54" t="s">
        <v>372</v>
      </c>
      <c r="I225" s="342">
        <v>7</v>
      </c>
      <c r="J225" s="54">
        <v>107</v>
      </c>
      <c r="K225" s="54">
        <v>16</v>
      </c>
      <c r="L225" s="54">
        <v>15</v>
      </c>
      <c r="M225" s="54">
        <v>5</v>
      </c>
      <c r="N225" s="54">
        <v>18</v>
      </c>
      <c r="O225" s="54">
        <v>125</v>
      </c>
      <c r="P225" s="54">
        <v>0</v>
      </c>
      <c r="Q225" s="54">
        <v>0</v>
      </c>
      <c r="R225" s="54">
        <v>10</v>
      </c>
      <c r="S225" s="54">
        <v>5</v>
      </c>
      <c r="T225" s="54">
        <v>12</v>
      </c>
      <c r="U225" s="54">
        <v>115</v>
      </c>
      <c r="V225" s="54">
        <v>43</v>
      </c>
      <c r="W225" s="54">
        <v>450</v>
      </c>
      <c r="X225" s="56" t="s">
        <v>313</v>
      </c>
      <c r="Y225" s="56" t="s">
        <v>313</v>
      </c>
      <c r="Z225" s="56" t="s">
        <v>313</v>
      </c>
      <c r="AA225" s="56" t="s">
        <v>313</v>
      </c>
    </row>
    <row r="226" spans="1:27" ht="15.6">
      <c r="A226" s="53" t="s">
        <v>1043</v>
      </c>
      <c r="B226" s="54" t="s">
        <v>1044</v>
      </c>
      <c r="C226" s="54" t="s">
        <v>1045</v>
      </c>
      <c r="D226" s="54" t="s">
        <v>467</v>
      </c>
      <c r="E226" s="54">
        <v>24153</v>
      </c>
      <c r="F226" s="54" t="s">
        <v>468</v>
      </c>
      <c r="G226" s="54" t="s">
        <v>371</v>
      </c>
      <c r="H226" s="54" t="s">
        <v>372</v>
      </c>
      <c r="I226" s="342">
        <v>2</v>
      </c>
      <c r="J226" s="54">
        <v>1</v>
      </c>
      <c r="K226" s="54">
        <v>0</v>
      </c>
      <c r="L226" s="54">
        <v>0</v>
      </c>
      <c r="M226" s="54">
        <v>0</v>
      </c>
      <c r="N226" s="54">
        <v>1</v>
      </c>
      <c r="O226" s="54">
        <v>1</v>
      </c>
      <c r="P226" s="54">
        <v>0</v>
      </c>
      <c r="Q226" s="54">
        <v>0</v>
      </c>
      <c r="R226" s="54">
        <v>0</v>
      </c>
      <c r="S226" s="54">
        <v>0</v>
      </c>
      <c r="T226" s="54">
        <v>0</v>
      </c>
      <c r="U226" s="54">
        <v>1</v>
      </c>
      <c r="V226" s="54">
        <v>1</v>
      </c>
      <c r="W226" s="54" t="s">
        <v>313</v>
      </c>
      <c r="X226" s="56" t="s">
        <v>313</v>
      </c>
      <c r="Y226" s="56" t="s">
        <v>313</v>
      </c>
      <c r="Z226" s="56" t="s">
        <v>313</v>
      </c>
      <c r="AA226" s="56" t="s">
        <v>313</v>
      </c>
    </row>
    <row r="227" spans="1:27" ht="15.6">
      <c r="A227" s="53" t="s">
        <v>235</v>
      </c>
      <c r="B227" s="54" t="s">
        <v>1046</v>
      </c>
      <c r="C227" s="54" t="s">
        <v>1047</v>
      </c>
      <c r="D227" s="54" t="s">
        <v>364</v>
      </c>
      <c r="E227" s="54">
        <v>71483</v>
      </c>
      <c r="F227" s="54" t="s">
        <v>350</v>
      </c>
      <c r="G227" s="54" t="s">
        <v>351</v>
      </c>
      <c r="H227" s="54" t="s">
        <v>352</v>
      </c>
      <c r="I227" s="342">
        <v>38</v>
      </c>
      <c r="J227" s="54">
        <v>922</v>
      </c>
      <c r="K227" s="54">
        <v>174</v>
      </c>
      <c r="L227" s="54">
        <v>259</v>
      </c>
      <c r="M227" s="54">
        <v>179</v>
      </c>
      <c r="N227" s="54">
        <v>385</v>
      </c>
      <c r="O227" s="55">
        <v>1150</v>
      </c>
      <c r="P227" s="54">
        <v>0</v>
      </c>
      <c r="Q227" s="54">
        <v>0</v>
      </c>
      <c r="R227" s="54">
        <v>195</v>
      </c>
      <c r="S227" s="54">
        <v>102</v>
      </c>
      <c r="T227" s="54">
        <v>128</v>
      </c>
      <c r="U227" s="55">
        <v>1110</v>
      </c>
      <c r="V227" s="54">
        <v>964</v>
      </c>
      <c r="W227" s="54">
        <v>946</v>
      </c>
      <c r="X227" s="56" t="s">
        <v>353</v>
      </c>
      <c r="Y227" s="58">
        <v>45673</v>
      </c>
      <c r="Z227" s="56" t="s">
        <v>354</v>
      </c>
      <c r="AA227" s="56" t="s">
        <v>355</v>
      </c>
    </row>
    <row r="228" spans="1:27" ht="15.6">
      <c r="A228" s="53" t="s">
        <v>1048</v>
      </c>
      <c r="B228" s="54" t="s">
        <v>1049</v>
      </c>
      <c r="C228" s="54" t="s">
        <v>1050</v>
      </c>
      <c r="D228" s="54" t="s">
        <v>685</v>
      </c>
      <c r="E228" s="54">
        <v>51101</v>
      </c>
      <c r="F228" s="54" t="s">
        <v>444</v>
      </c>
      <c r="G228" s="54" t="s">
        <v>371</v>
      </c>
      <c r="H228" s="54" t="s">
        <v>372</v>
      </c>
      <c r="I228" s="342">
        <v>25</v>
      </c>
      <c r="J228" s="54">
        <v>21</v>
      </c>
      <c r="K228" s="54">
        <v>13</v>
      </c>
      <c r="L228" s="54">
        <v>9</v>
      </c>
      <c r="M228" s="54">
        <v>9</v>
      </c>
      <c r="N228" s="54">
        <v>21</v>
      </c>
      <c r="O228" s="54">
        <v>27</v>
      </c>
      <c r="P228" s="54">
        <v>1</v>
      </c>
      <c r="Q228" s="54">
        <v>3</v>
      </c>
      <c r="R228" s="54">
        <v>7</v>
      </c>
      <c r="S228" s="54">
        <v>7</v>
      </c>
      <c r="T228" s="54">
        <v>11</v>
      </c>
      <c r="U228" s="54">
        <v>28</v>
      </c>
      <c r="V228" s="54">
        <v>30</v>
      </c>
      <c r="W228" s="54" t="s">
        <v>313</v>
      </c>
      <c r="X228" s="56" t="s">
        <v>425</v>
      </c>
      <c r="Y228" s="58">
        <v>45834</v>
      </c>
      <c r="Z228" s="56" t="s">
        <v>426</v>
      </c>
      <c r="AA228" s="56" t="s">
        <v>355</v>
      </c>
    </row>
    <row r="229" spans="1:27" ht="15.6">
      <c r="A229" s="53" t="s">
        <v>1051</v>
      </c>
      <c r="B229" s="54" t="s">
        <v>1052</v>
      </c>
      <c r="C229" s="54" t="s">
        <v>1053</v>
      </c>
      <c r="D229" s="54" t="s">
        <v>1054</v>
      </c>
      <c r="E229" s="54">
        <v>2863</v>
      </c>
      <c r="F229" s="54" t="s">
        <v>402</v>
      </c>
      <c r="G229" s="54" t="s">
        <v>371</v>
      </c>
      <c r="H229" s="54" t="s">
        <v>372</v>
      </c>
      <c r="I229" s="342">
        <v>34</v>
      </c>
      <c r="J229" s="54">
        <v>42</v>
      </c>
      <c r="K229" s="54">
        <v>5</v>
      </c>
      <c r="L229" s="54">
        <v>38</v>
      </c>
      <c r="M229" s="54">
        <v>30</v>
      </c>
      <c r="N229" s="54">
        <v>37</v>
      </c>
      <c r="O229" s="54">
        <v>79</v>
      </c>
      <c r="P229" s="54">
        <v>0</v>
      </c>
      <c r="Q229" s="54">
        <v>0</v>
      </c>
      <c r="R229" s="54">
        <v>26</v>
      </c>
      <c r="S229" s="54">
        <v>5</v>
      </c>
      <c r="T229" s="54">
        <v>10</v>
      </c>
      <c r="U229" s="54">
        <v>74</v>
      </c>
      <c r="V229" s="54">
        <v>47</v>
      </c>
      <c r="W229" s="54" t="s">
        <v>313</v>
      </c>
      <c r="X229" s="56" t="s">
        <v>353</v>
      </c>
      <c r="Y229" s="58">
        <v>45554</v>
      </c>
      <c r="Z229" s="56" t="s">
        <v>392</v>
      </c>
      <c r="AA229" s="56" t="s">
        <v>355</v>
      </c>
    </row>
  </sheetData>
  <autoFilter ref="A10:AA229" xr:uid="{00000000-0001-0000-0600-000000000000}"/>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1"/>
  <sheetViews>
    <sheetView topLeftCell="A39" zoomScale="80" zoomScaleNormal="80" workbookViewId="0">
      <selection sqref="A1:B4"/>
    </sheetView>
  </sheetViews>
  <sheetFormatPr defaultColWidth="9" defaultRowHeight="14.4"/>
  <cols>
    <col min="1" max="1" width="52.33203125" customWidth="1"/>
    <col min="2" max="2" width="40.6640625" customWidth="1"/>
  </cols>
  <sheetData>
    <row r="1" spans="1:6" ht="26.1" customHeight="1">
      <c r="A1" s="421" t="s">
        <v>1055</v>
      </c>
      <c r="B1" s="421"/>
      <c r="C1" s="41"/>
      <c r="D1" s="41"/>
      <c r="E1" s="41"/>
      <c r="F1" s="41"/>
    </row>
    <row r="2" spans="1:6" ht="15" customHeight="1">
      <c r="A2" s="421"/>
      <c r="B2" s="421"/>
    </row>
    <row r="3" spans="1:6">
      <c r="A3" s="421"/>
      <c r="B3" s="421"/>
    </row>
    <row r="4" spans="1:6">
      <c r="A4" s="422"/>
      <c r="B4" s="422"/>
    </row>
    <row r="5" spans="1:6">
      <c r="A5" s="419" t="s">
        <v>1056</v>
      </c>
      <c r="B5" s="420"/>
    </row>
    <row r="6" spans="1:6">
      <c r="A6" s="42" t="s">
        <v>1057</v>
      </c>
      <c r="B6" s="42" t="s">
        <v>1058</v>
      </c>
    </row>
    <row r="7" spans="1:6">
      <c r="A7" s="43" t="s">
        <v>229</v>
      </c>
      <c r="B7" s="44">
        <v>145</v>
      </c>
    </row>
    <row r="8" spans="1:6">
      <c r="A8" s="43" t="s">
        <v>211</v>
      </c>
      <c r="B8" s="44">
        <v>105</v>
      </c>
    </row>
    <row r="9" spans="1:6">
      <c r="A9" s="43" t="s">
        <v>145</v>
      </c>
      <c r="B9" s="44">
        <v>89</v>
      </c>
    </row>
    <row r="10" spans="1:6">
      <c r="A10" s="43" t="s">
        <v>169</v>
      </c>
      <c r="B10" s="44">
        <v>83</v>
      </c>
    </row>
    <row r="11" spans="1:6">
      <c r="A11" s="43" t="s">
        <v>849</v>
      </c>
      <c r="B11" s="44">
        <v>65</v>
      </c>
    </row>
    <row r="12" spans="1:6">
      <c r="A12" s="43" t="s">
        <v>610</v>
      </c>
      <c r="B12" s="44">
        <v>64</v>
      </c>
    </row>
    <row r="13" spans="1:6">
      <c r="A13" s="43" t="s">
        <v>436</v>
      </c>
      <c r="B13" s="44">
        <v>50</v>
      </c>
    </row>
    <row r="14" spans="1:6">
      <c r="A14" s="43" t="s">
        <v>161</v>
      </c>
      <c r="B14" s="44">
        <v>44</v>
      </c>
    </row>
    <row r="15" spans="1:6">
      <c r="A15" s="43" t="s">
        <v>479</v>
      </c>
      <c r="B15" s="44">
        <v>40</v>
      </c>
    </row>
    <row r="16" spans="1:6">
      <c r="A16" s="43" t="s">
        <v>598</v>
      </c>
      <c r="B16" s="44">
        <v>39</v>
      </c>
    </row>
    <row r="17" spans="1:2">
      <c r="A17" s="43" t="s">
        <v>638</v>
      </c>
      <c r="B17" s="44">
        <v>27</v>
      </c>
    </row>
    <row r="18" spans="1:2">
      <c r="A18" s="43" t="s">
        <v>819</v>
      </c>
      <c r="B18" s="44">
        <v>26</v>
      </c>
    </row>
    <row r="19" spans="1:2">
      <c r="A19" s="43" t="s">
        <v>600</v>
      </c>
      <c r="B19" s="44">
        <v>25</v>
      </c>
    </row>
    <row r="20" spans="1:2">
      <c r="A20" s="43" t="s">
        <v>870</v>
      </c>
      <c r="B20" s="44">
        <v>23</v>
      </c>
    </row>
    <row r="21" spans="1:2">
      <c r="A21" s="43" t="s">
        <v>223</v>
      </c>
      <c r="B21" s="44">
        <v>22</v>
      </c>
    </row>
    <row r="22" spans="1:2">
      <c r="A22" s="43" t="s">
        <v>404</v>
      </c>
      <c r="B22" s="44">
        <v>22</v>
      </c>
    </row>
    <row r="23" spans="1:2">
      <c r="A23" s="43" t="s">
        <v>697</v>
      </c>
      <c r="B23" s="44">
        <v>19</v>
      </c>
    </row>
    <row r="24" spans="1:2">
      <c r="A24" s="43" t="s">
        <v>640</v>
      </c>
      <c r="B24" s="44">
        <v>18</v>
      </c>
    </row>
    <row r="25" spans="1:2">
      <c r="A25" s="43" t="s">
        <v>621</v>
      </c>
      <c r="B25" s="44">
        <v>18</v>
      </c>
    </row>
    <row r="26" spans="1:2">
      <c r="A26" s="43" t="s">
        <v>899</v>
      </c>
      <c r="B26" s="44">
        <v>17</v>
      </c>
    </row>
    <row r="27" spans="1:2">
      <c r="A27" s="43" t="s">
        <v>165</v>
      </c>
      <c r="B27" s="44">
        <v>17</v>
      </c>
    </row>
    <row r="28" spans="1:2">
      <c r="A28" s="43" t="s">
        <v>740</v>
      </c>
      <c r="B28" s="44">
        <v>15</v>
      </c>
    </row>
    <row r="29" spans="1:2">
      <c r="A29" s="43" t="s">
        <v>221</v>
      </c>
      <c r="B29" s="44">
        <v>14</v>
      </c>
    </row>
    <row r="30" spans="1:2">
      <c r="A30" s="43" t="s">
        <v>704</v>
      </c>
      <c r="B30" s="44">
        <v>11</v>
      </c>
    </row>
    <row r="31" spans="1:2">
      <c r="A31" s="43" t="s">
        <v>1035</v>
      </c>
      <c r="B31" s="44">
        <v>10</v>
      </c>
    </row>
    <row r="32" spans="1:2">
      <c r="A32" s="43" t="s">
        <v>191</v>
      </c>
      <c r="B32" s="44">
        <v>10</v>
      </c>
    </row>
    <row r="33" spans="1:2">
      <c r="A33" s="43" t="s">
        <v>217</v>
      </c>
      <c r="B33" s="44">
        <v>7</v>
      </c>
    </row>
    <row r="34" spans="1:2">
      <c r="A34" s="43" t="s">
        <v>453</v>
      </c>
      <c r="B34" s="44">
        <v>7</v>
      </c>
    </row>
    <row r="35" spans="1:2">
      <c r="A35" s="43" t="s">
        <v>844</v>
      </c>
      <c r="B35" s="44">
        <v>7</v>
      </c>
    </row>
    <row r="36" spans="1:2">
      <c r="A36" s="43" t="s">
        <v>964</v>
      </c>
      <c r="B36" s="44">
        <v>5</v>
      </c>
    </row>
    <row r="37" spans="1:2">
      <c r="A37" s="43" t="s">
        <v>664</v>
      </c>
      <c r="B37" s="44">
        <v>5</v>
      </c>
    </row>
    <row r="38" spans="1:2">
      <c r="A38" s="43" t="s">
        <v>976</v>
      </c>
      <c r="B38" s="44">
        <v>5</v>
      </c>
    </row>
    <row r="39" spans="1:2">
      <c r="A39" s="43" t="s">
        <v>603</v>
      </c>
      <c r="B39" s="44">
        <v>5</v>
      </c>
    </row>
    <row r="40" spans="1:2">
      <c r="A40" s="43" t="s">
        <v>235</v>
      </c>
      <c r="B40" s="44">
        <v>5</v>
      </c>
    </row>
    <row r="41" spans="1:2">
      <c r="A41" s="43" t="s">
        <v>659</v>
      </c>
      <c r="B41" s="44">
        <v>4</v>
      </c>
    </row>
    <row r="42" spans="1:2">
      <c r="A42" s="43" t="s">
        <v>491</v>
      </c>
      <c r="B42" s="44">
        <v>4</v>
      </c>
    </row>
    <row r="43" spans="1:2">
      <c r="A43" s="43" t="s">
        <v>753</v>
      </c>
      <c r="B43" s="44">
        <v>4</v>
      </c>
    </row>
    <row r="44" spans="1:2">
      <c r="A44" s="43" t="s">
        <v>567</v>
      </c>
      <c r="B44" s="44">
        <v>4</v>
      </c>
    </row>
    <row r="45" spans="1:2">
      <c r="A45" s="43" t="s">
        <v>919</v>
      </c>
      <c r="B45" s="44">
        <v>3</v>
      </c>
    </row>
    <row r="46" spans="1:2">
      <c r="A46" s="43" t="s">
        <v>231</v>
      </c>
      <c r="B46" s="44">
        <v>3</v>
      </c>
    </row>
    <row r="47" spans="1:2">
      <c r="A47" s="43" t="s">
        <v>769</v>
      </c>
      <c r="B47" s="44">
        <v>2</v>
      </c>
    </row>
    <row r="48" spans="1:2">
      <c r="A48" s="43" t="s">
        <v>449</v>
      </c>
      <c r="B48" s="44">
        <v>2</v>
      </c>
    </row>
    <row r="49" spans="1:2">
      <c r="A49" s="43" t="s">
        <v>149</v>
      </c>
      <c r="B49" s="44">
        <v>2</v>
      </c>
    </row>
    <row r="50" spans="1:2">
      <c r="A50" s="43" t="s">
        <v>482</v>
      </c>
      <c r="B50" s="44">
        <v>2</v>
      </c>
    </row>
    <row r="51" spans="1:2">
      <c r="A51" s="43" t="s">
        <v>906</v>
      </c>
      <c r="B51" s="44">
        <v>1</v>
      </c>
    </row>
    <row r="52" spans="1:2">
      <c r="A52" s="43" t="s">
        <v>373</v>
      </c>
      <c r="B52" s="44">
        <v>1</v>
      </c>
    </row>
    <row r="53" spans="1:2">
      <c r="A53" s="43" t="s">
        <v>967</v>
      </c>
      <c r="B53" s="44">
        <v>1</v>
      </c>
    </row>
    <row r="54" spans="1:2">
      <c r="A54" s="43" t="s">
        <v>917</v>
      </c>
      <c r="B54" s="44">
        <v>1</v>
      </c>
    </row>
    <row r="55" spans="1:2">
      <c r="A55" s="43" t="s">
        <v>716</v>
      </c>
      <c r="B55" s="44">
        <v>1</v>
      </c>
    </row>
    <row r="56" spans="1:2">
      <c r="A56" s="43" t="s">
        <v>832</v>
      </c>
      <c r="B56" s="44">
        <v>1</v>
      </c>
    </row>
    <row r="57" spans="1:2">
      <c r="A57" s="43" t="s">
        <v>205</v>
      </c>
      <c r="B57" s="44">
        <v>1</v>
      </c>
    </row>
    <row r="58" spans="1:2">
      <c r="A58" s="43" t="s">
        <v>213</v>
      </c>
      <c r="B58" s="44">
        <v>1</v>
      </c>
    </row>
    <row r="59" spans="1:2">
      <c r="A59" s="43" t="s">
        <v>686</v>
      </c>
      <c r="B59" s="44">
        <v>1</v>
      </c>
    </row>
    <row r="60" spans="1:2">
      <c r="A60" s="43" t="s">
        <v>177</v>
      </c>
      <c r="B60" s="44">
        <v>1</v>
      </c>
    </row>
    <row r="61" spans="1:2">
      <c r="A61" s="45" t="s">
        <v>1059</v>
      </c>
      <c r="B61" s="46">
        <v>1104</v>
      </c>
    </row>
  </sheetData>
  <mergeCells count="2">
    <mergeCell ref="A5:B5"/>
    <mergeCell ref="A1:B4"/>
  </mergeCells>
  <pageMargins left="0.7" right="0.7" top="0.75" bottom="0.75" header="0.3" footer="0.3"/>
  <pageSetup orientation="portrai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6"/>
  <dimension ref="A1:BD308"/>
  <sheetViews>
    <sheetView topLeftCell="A158" zoomScale="80" zoomScaleNormal="80" workbookViewId="0">
      <selection activeCell="A2" sqref="A2:H2"/>
    </sheetView>
  </sheetViews>
  <sheetFormatPr defaultColWidth="9" defaultRowHeight="15.6"/>
  <cols>
    <col min="1" max="1" width="23.44140625" customWidth="1"/>
    <col min="2" max="2" width="16.6640625" customWidth="1"/>
    <col min="3" max="3" width="37.33203125" customWidth="1"/>
    <col min="4" max="4" width="34.6640625" customWidth="1"/>
    <col min="5" max="9" width="19.5546875" customWidth="1"/>
    <col min="10" max="10" width="15" customWidth="1"/>
    <col min="13" max="13" width="8.6640625" style="18"/>
  </cols>
  <sheetData>
    <row r="1" spans="1:56" ht="26.25" customHeight="1">
      <c r="A1" s="423" t="s">
        <v>1060</v>
      </c>
      <c r="B1" s="424"/>
      <c r="C1" s="424"/>
      <c r="D1" s="424"/>
      <c r="E1" s="19"/>
      <c r="F1" s="19"/>
      <c r="G1" s="19"/>
      <c r="H1" s="20"/>
      <c r="I1" s="18"/>
      <c r="J1" s="18"/>
      <c r="K1" s="18"/>
      <c r="L1" s="18"/>
      <c r="N1" s="18"/>
      <c r="O1" s="18"/>
      <c r="P1" s="18"/>
      <c r="Q1" s="18"/>
      <c r="R1" s="18"/>
      <c r="S1" s="18"/>
      <c r="T1" s="18"/>
      <c r="U1" s="18"/>
      <c r="V1" s="18"/>
      <c r="W1" s="18"/>
      <c r="X1" s="18"/>
      <c r="Y1" s="18"/>
      <c r="Z1" s="18"/>
      <c r="AA1" s="18"/>
      <c r="AB1" s="18"/>
      <c r="AC1" s="18"/>
      <c r="AD1" s="18"/>
      <c r="AE1" s="18"/>
      <c r="AF1" s="18"/>
      <c r="AG1" s="18"/>
      <c r="AH1" s="18"/>
      <c r="AI1" s="18"/>
      <c r="AJ1" s="18"/>
      <c r="AK1" s="18"/>
      <c r="AL1" s="18"/>
      <c r="AM1" s="18"/>
      <c r="AN1" s="18"/>
      <c r="AO1" s="18"/>
      <c r="AP1" s="18"/>
      <c r="AQ1" s="18"/>
      <c r="AR1" s="18"/>
      <c r="AS1" s="18"/>
      <c r="AT1" s="18"/>
      <c r="AU1" s="18"/>
      <c r="AV1" s="18"/>
      <c r="AW1" s="18"/>
      <c r="AX1" s="18"/>
    </row>
    <row r="2" spans="1:56" ht="109.5" customHeight="1">
      <c r="A2" s="425" t="s">
        <v>1061</v>
      </c>
      <c r="B2" s="426"/>
      <c r="C2" s="426"/>
      <c r="D2" s="426"/>
      <c r="E2" s="426"/>
      <c r="F2" s="426"/>
      <c r="G2" s="426"/>
      <c r="H2" s="427"/>
      <c r="I2" s="18"/>
      <c r="J2" s="18"/>
      <c r="K2" s="18"/>
      <c r="L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row>
    <row r="3" spans="1:56">
      <c r="I3" s="18"/>
      <c r="J3" s="18"/>
      <c r="K3" s="18"/>
      <c r="L3" s="18"/>
      <c r="N3" s="18"/>
      <c r="O3" s="18"/>
      <c r="P3" s="18"/>
      <c r="Q3" s="18"/>
      <c r="R3" s="18"/>
      <c r="S3" s="18"/>
      <c r="T3" s="18"/>
      <c r="U3" s="18"/>
      <c r="V3" s="18"/>
      <c r="W3" s="18"/>
      <c r="X3" s="18"/>
      <c r="Y3" s="18"/>
      <c r="Z3" s="18"/>
      <c r="AA3" s="18"/>
      <c r="AB3" s="18"/>
      <c r="AC3" s="18"/>
      <c r="AD3" s="18"/>
      <c r="AE3" s="18"/>
      <c r="AF3" s="18"/>
      <c r="AG3" s="18"/>
      <c r="AH3" s="18"/>
      <c r="AI3" s="18"/>
      <c r="AJ3" s="18"/>
      <c r="AK3" s="18"/>
      <c r="AL3" s="18"/>
      <c r="AM3" s="18"/>
      <c r="AN3" s="18"/>
      <c r="AO3" s="18"/>
      <c r="AP3" s="18"/>
      <c r="AQ3" s="18"/>
      <c r="AR3" s="18"/>
      <c r="AS3" s="18"/>
      <c r="AT3" s="18"/>
      <c r="AU3" s="18"/>
      <c r="AV3" s="18"/>
      <c r="AW3" s="18"/>
      <c r="AX3" s="18"/>
    </row>
    <row r="4" spans="1:56">
      <c r="A4" s="21"/>
      <c r="I4" s="18"/>
      <c r="J4" s="18"/>
      <c r="K4" s="18"/>
      <c r="L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row>
    <row r="5" spans="1:56" ht="29.25" customHeight="1">
      <c r="A5" s="423" t="s">
        <v>1062</v>
      </c>
      <c r="B5" s="424"/>
      <c r="C5" s="424"/>
      <c r="D5" s="428"/>
      <c r="I5" s="18"/>
      <c r="J5" s="18"/>
      <c r="K5" s="18"/>
      <c r="L5" s="18"/>
      <c r="N5" s="18"/>
      <c r="O5" s="18"/>
      <c r="P5" s="18"/>
      <c r="Q5" s="18"/>
      <c r="R5" s="18"/>
      <c r="S5" s="18"/>
      <c r="T5" s="18"/>
      <c r="U5" s="18"/>
      <c r="V5" s="18"/>
      <c r="W5" s="18"/>
      <c r="X5" s="18"/>
      <c r="Y5" s="18"/>
      <c r="Z5" s="18"/>
      <c r="AA5" s="18"/>
      <c r="AB5" s="18"/>
      <c r="AC5" s="18"/>
      <c r="AD5" s="18"/>
      <c r="AE5" s="18"/>
      <c r="AF5" s="18"/>
      <c r="AG5" s="18"/>
      <c r="AH5" s="18"/>
      <c r="AI5" s="18"/>
      <c r="AJ5" s="18"/>
      <c r="AK5" s="18"/>
      <c r="AL5" s="18"/>
      <c r="AM5" s="18"/>
      <c r="AN5" s="18"/>
      <c r="AO5" s="18"/>
      <c r="AP5" s="18"/>
      <c r="AQ5" s="18"/>
      <c r="AR5" s="18"/>
      <c r="AS5" s="18"/>
      <c r="AT5" s="18"/>
      <c r="AU5" s="18"/>
      <c r="AV5" s="18"/>
      <c r="AW5" s="18"/>
      <c r="AX5" s="18"/>
    </row>
    <row r="6" spans="1:56" ht="48" customHeight="1">
      <c r="A6" s="22" t="s">
        <v>1063</v>
      </c>
      <c r="B6" s="23" t="s">
        <v>1064</v>
      </c>
      <c r="C6" s="23" t="s">
        <v>1065</v>
      </c>
      <c r="D6" s="23" t="s">
        <v>1066</v>
      </c>
      <c r="G6" s="24" t="s">
        <v>1067</v>
      </c>
      <c r="I6" s="18"/>
      <c r="J6" s="18"/>
      <c r="K6" s="18"/>
      <c r="L6" s="18"/>
      <c r="N6" s="18"/>
      <c r="O6" s="18"/>
      <c r="P6" s="18"/>
      <c r="Q6" s="18"/>
      <c r="R6" s="18"/>
      <c r="S6" s="18"/>
      <c r="T6" s="18"/>
      <c r="U6" s="18"/>
      <c r="V6" s="18"/>
      <c r="W6" s="18"/>
      <c r="X6" s="18"/>
      <c r="Y6" s="18"/>
      <c r="Z6" s="18"/>
      <c r="AA6" s="18"/>
      <c r="AB6" s="18"/>
      <c r="AC6" s="18"/>
      <c r="AD6" s="18"/>
      <c r="AE6" s="18"/>
      <c r="AF6" s="18"/>
      <c r="AG6" s="18"/>
      <c r="AH6" s="18"/>
      <c r="AI6" s="18"/>
      <c r="AJ6" s="18"/>
      <c r="AK6" s="18"/>
      <c r="AL6" s="18"/>
      <c r="AM6" s="18"/>
      <c r="AN6" s="18"/>
      <c r="AO6" s="18"/>
      <c r="AP6" s="18"/>
      <c r="AQ6" s="18"/>
      <c r="AR6" s="18"/>
      <c r="AS6" s="18"/>
      <c r="AT6" s="18"/>
      <c r="AU6" s="18"/>
      <c r="AV6" s="18"/>
      <c r="AW6" s="18"/>
      <c r="AX6" s="18"/>
    </row>
    <row r="7" spans="1:56">
      <c r="A7" s="25" t="s">
        <v>1068</v>
      </c>
      <c r="B7" s="26">
        <v>41</v>
      </c>
      <c r="C7" s="26">
        <v>14.46</v>
      </c>
      <c r="D7" s="26">
        <v>19.63</v>
      </c>
      <c r="I7" s="18"/>
      <c r="J7" s="18"/>
      <c r="K7" s="18"/>
      <c r="L7" s="18"/>
      <c r="N7" s="18"/>
      <c r="O7" s="18"/>
      <c r="P7" s="18"/>
      <c r="Q7" s="18"/>
      <c r="R7" s="18"/>
      <c r="S7" s="18"/>
      <c r="T7" s="18"/>
      <c r="U7" s="18"/>
      <c r="V7" s="18"/>
      <c r="W7" s="18"/>
      <c r="X7" s="18"/>
      <c r="Y7" s="18"/>
      <c r="Z7" s="18"/>
      <c r="AA7" s="18"/>
      <c r="AB7" s="18"/>
      <c r="AC7" s="18"/>
      <c r="AD7" s="18"/>
      <c r="AE7" s="18"/>
      <c r="AF7" s="18"/>
      <c r="AG7" s="18"/>
      <c r="AH7" s="18"/>
      <c r="AI7" s="18"/>
      <c r="AJ7" s="18"/>
      <c r="AK7" s="18"/>
      <c r="AL7" s="18"/>
      <c r="AM7" s="18"/>
      <c r="AN7" s="18"/>
      <c r="AO7" s="18"/>
      <c r="AP7" s="18"/>
      <c r="AQ7" s="18"/>
      <c r="AR7" s="18"/>
      <c r="AS7" s="18"/>
      <c r="AT7" s="18"/>
      <c r="AU7" s="18"/>
      <c r="AV7" s="18"/>
      <c r="AW7" s="18"/>
      <c r="AX7" s="18"/>
      <c r="AY7" s="18"/>
      <c r="AZ7" s="18"/>
      <c r="BA7" s="18"/>
      <c r="BB7" s="18"/>
      <c r="BC7" s="18"/>
      <c r="BD7" s="18"/>
    </row>
    <row r="8" spans="1:56">
      <c r="A8" s="25" t="s">
        <v>1069</v>
      </c>
      <c r="B8" s="26">
        <v>10</v>
      </c>
      <c r="C8" s="26">
        <v>26.3</v>
      </c>
      <c r="D8" s="26">
        <v>29.5</v>
      </c>
      <c r="I8" s="18"/>
      <c r="J8" s="18"/>
      <c r="K8" s="18"/>
      <c r="L8" s="18"/>
      <c r="N8" s="18"/>
      <c r="O8" s="18"/>
      <c r="P8" s="18"/>
      <c r="Q8" s="18"/>
      <c r="R8" s="18"/>
      <c r="S8" s="18"/>
      <c r="T8" s="18"/>
      <c r="U8" s="18"/>
      <c r="V8" s="18"/>
      <c r="W8" s="18"/>
      <c r="X8" s="18"/>
      <c r="Y8" s="18"/>
      <c r="Z8" s="18"/>
      <c r="AA8" s="18"/>
      <c r="AB8" s="18"/>
      <c r="AC8" s="18"/>
      <c r="AD8" s="18"/>
      <c r="AE8" s="18"/>
      <c r="AF8" s="18"/>
      <c r="AG8" s="18"/>
      <c r="AH8" s="18"/>
      <c r="AI8" s="18"/>
      <c r="AJ8" s="18"/>
      <c r="AK8" s="18"/>
      <c r="AL8" s="18"/>
      <c r="AM8" s="18"/>
      <c r="AN8" s="18"/>
      <c r="AO8" s="18"/>
      <c r="AP8" s="18"/>
      <c r="AQ8" s="18"/>
      <c r="AR8" s="18"/>
      <c r="AS8" s="18"/>
      <c r="AT8" s="18"/>
      <c r="AU8" s="18"/>
      <c r="AV8" s="18"/>
      <c r="AW8" s="18"/>
      <c r="AX8" s="18"/>
      <c r="AY8" s="18"/>
      <c r="AZ8" s="18"/>
      <c r="BA8" s="18"/>
      <c r="BB8" s="18"/>
      <c r="BC8" s="18"/>
      <c r="BD8" s="18"/>
    </row>
    <row r="9" spans="1:56">
      <c r="A9" s="25" t="s">
        <v>1070</v>
      </c>
      <c r="B9" s="26">
        <v>231</v>
      </c>
      <c r="C9" s="26">
        <v>10.48</v>
      </c>
      <c r="D9" s="26">
        <v>12.6</v>
      </c>
      <c r="I9" s="18"/>
      <c r="J9" s="18"/>
      <c r="K9" s="18"/>
      <c r="L9" s="18"/>
      <c r="N9" s="18"/>
      <c r="O9" s="18"/>
      <c r="P9" s="18"/>
      <c r="Q9" s="18"/>
      <c r="R9" s="18"/>
      <c r="S9" s="18"/>
      <c r="T9" s="18"/>
      <c r="U9" s="18"/>
      <c r="V9" s="18"/>
      <c r="W9" s="18"/>
      <c r="X9" s="18"/>
      <c r="Y9" s="18"/>
      <c r="Z9" s="18"/>
      <c r="AA9" s="18"/>
      <c r="AB9" s="18"/>
      <c r="AC9" s="18"/>
      <c r="AD9" s="18"/>
      <c r="AE9" s="18"/>
      <c r="AF9" s="18"/>
      <c r="AG9" s="18"/>
      <c r="AH9" s="18"/>
      <c r="AI9" s="18"/>
      <c r="AJ9" s="18"/>
      <c r="AK9" s="18"/>
      <c r="AL9" s="18"/>
      <c r="AM9" s="18"/>
      <c r="AN9" s="18"/>
      <c r="AO9" s="18"/>
      <c r="AP9" s="18"/>
      <c r="AQ9" s="18"/>
      <c r="AR9" s="18"/>
      <c r="AS9" s="18"/>
      <c r="AT9" s="18"/>
      <c r="AU9" s="18"/>
      <c r="AV9" s="18"/>
      <c r="AW9" s="18"/>
      <c r="AX9" s="18"/>
      <c r="AY9" s="18"/>
      <c r="AZ9" s="18"/>
      <c r="BA9" s="18"/>
      <c r="BB9" s="18"/>
      <c r="BC9" s="18"/>
      <c r="BD9" s="18"/>
    </row>
    <row r="10" spans="1:56" ht="45" customHeight="1">
      <c r="A10" s="27" t="s">
        <v>1071</v>
      </c>
      <c r="B10" s="26">
        <v>12</v>
      </c>
      <c r="C10" s="26">
        <v>20.83</v>
      </c>
      <c r="D10" s="26">
        <v>25.5</v>
      </c>
      <c r="I10" s="18"/>
      <c r="J10" s="18"/>
      <c r="K10" s="18"/>
      <c r="L10" s="18"/>
      <c r="N10" s="18"/>
      <c r="O10" s="18"/>
      <c r="P10" s="18"/>
      <c r="Q10" s="18"/>
      <c r="R10" s="18"/>
      <c r="S10" s="18"/>
      <c r="T10" s="18"/>
      <c r="U10" s="18"/>
      <c r="V10" s="18"/>
      <c r="W10" s="18"/>
      <c r="X10" s="18"/>
      <c r="Y10" s="18"/>
      <c r="Z10" s="18"/>
      <c r="AA10" s="18"/>
      <c r="AB10" s="18"/>
      <c r="AC10" s="18"/>
      <c r="AD10" s="18"/>
      <c r="AE10" s="18"/>
      <c r="AF10" s="18"/>
      <c r="AG10" s="18"/>
      <c r="AH10" s="18"/>
      <c r="AI10" s="18"/>
      <c r="AJ10" s="18"/>
      <c r="AK10" s="18"/>
      <c r="AL10" s="18"/>
      <c r="AM10" s="18"/>
      <c r="AN10" s="18"/>
      <c r="AO10" s="18"/>
      <c r="AP10" s="18"/>
      <c r="AQ10" s="18"/>
      <c r="AR10" s="18"/>
      <c r="AS10" s="18"/>
      <c r="AT10" s="18"/>
      <c r="AU10" s="18"/>
      <c r="AV10" s="18"/>
      <c r="AW10" s="18"/>
      <c r="AX10" s="18"/>
      <c r="AY10" s="18"/>
      <c r="AZ10" s="18"/>
      <c r="BA10" s="18"/>
      <c r="BB10" s="18"/>
      <c r="BC10" s="18"/>
      <c r="BD10" s="18"/>
    </row>
    <row r="11" spans="1:56">
      <c r="A11" s="25" t="s">
        <v>1072</v>
      </c>
      <c r="B11" s="26">
        <v>2</v>
      </c>
      <c r="C11" s="26">
        <v>11</v>
      </c>
      <c r="D11" s="26">
        <v>19.5</v>
      </c>
      <c r="I11" s="18"/>
      <c r="J11" s="18"/>
      <c r="K11" s="18"/>
      <c r="L11" s="18"/>
      <c r="N11" s="18"/>
      <c r="O11" s="18"/>
      <c r="P11" s="18"/>
      <c r="Q11" s="18"/>
      <c r="R11" s="18"/>
      <c r="S11" s="18"/>
      <c r="T11" s="18"/>
      <c r="U11" s="18"/>
      <c r="V11" s="18"/>
      <c r="W11" s="18"/>
      <c r="X11" s="18"/>
      <c r="Y11" s="18"/>
      <c r="Z11" s="18"/>
      <c r="AA11" s="18"/>
      <c r="AB11" s="18"/>
      <c r="AC11" s="18"/>
      <c r="AD11" s="18"/>
      <c r="AE11" s="18"/>
      <c r="AF11" s="18"/>
      <c r="AG11" s="18"/>
      <c r="AH11" s="18"/>
      <c r="AI11" s="18"/>
      <c r="AJ11" s="18"/>
      <c r="AK11" s="18"/>
      <c r="AL11" s="18"/>
      <c r="AM11" s="18"/>
      <c r="AN11" s="18"/>
      <c r="AO11" s="18"/>
      <c r="AP11" s="18"/>
      <c r="AQ11" s="18"/>
      <c r="AR11" s="18"/>
      <c r="AS11" s="18"/>
      <c r="AT11" s="18"/>
      <c r="AU11" s="18"/>
      <c r="AV11" s="18"/>
      <c r="AW11" s="18"/>
      <c r="AX11" s="18"/>
      <c r="AY11" s="18"/>
      <c r="AZ11" s="18"/>
      <c r="BA11" s="18"/>
      <c r="BB11" s="18"/>
      <c r="BC11" s="18"/>
      <c r="BD11" s="18"/>
    </row>
    <row r="12" spans="1:56">
      <c r="A12" s="28" t="s">
        <v>1059</v>
      </c>
      <c r="B12" s="29">
        <v>296</v>
      </c>
      <c r="C12" s="29">
        <v>11.99</v>
      </c>
      <c r="D12" s="29">
        <v>14.72</v>
      </c>
      <c r="I12" s="18"/>
      <c r="J12" s="18"/>
      <c r="K12" s="18"/>
      <c r="L12" s="18"/>
      <c r="N12" s="18"/>
      <c r="O12" s="18"/>
      <c r="P12" s="18"/>
      <c r="Q12" s="18"/>
      <c r="R12" s="18"/>
      <c r="S12" s="18"/>
      <c r="T12" s="18"/>
      <c r="U12" s="18"/>
      <c r="V12" s="18"/>
      <c r="W12" s="18"/>
      <c r="X12" s="18"/>
      <c r="Y12" s="18"/>
      <c r="Z12" s="18"/>
      <c r="AA12" s="18"/>
      <c r="AB12" s="18"/>
      <c r="AC12" s="18"/>
      <c r="AD12" s="18"/>
      <c r="AE12" s="18"/>
      <c r="AF12" s="18"/>
      <c r="AG12" s="18"/>
      <c r="AH12" s="18"/>
      <c r="AI12" s="18"/>
      <c r="AJ12" s="18"/>
      <c r="AK12" s="18"/>
      <c r="AL12" s="18"/>
      <c r="AM12" s="18"/>
      <c r="AN12" s="18"/>
      <c r="AO12" s="18"/>
      <c r="AP12" s="18"/>
      <c r="AQ12" s="18"/>
      <c r="AR12" s="18"/>
      <c r="AS12" s="18"/>
      <c r="AT12" s="18"/>
      <c r="AU12" s="18"/>
      <c r="AV12" s="18"/>
      <c r="AW12" s="18"/>
      <c r="AX12" s="18"/>
      <c r="AY12" s="18"/>
      <c r="AZ12" s="18"/>
      <c r="BA12" s="18"/>
      <c r="BB12" s="18"/>
      <c r="BC12" s="18"/>
      <c r="BD12" s="18"/>
    </row>
    <row r="13" spans="1:56">
      <c r="I13" s="18"/>
      <c r="J13" s="18"/>
      <c r="K13" s="18"/>
      <c r="L13" s="18"/>
      <c r="N13" s="18"/>
      <c r="O13" s="18"/>
      <c r="P13" s="18"/>
      <c r="Q13" s="18"/>
      <c r="R13" s="18"/>
      <c r="S13" s="18"/>
      <c r="T13" s="18"/>
      <c r="U13" s="18"/>
      <c r="V13" s="18"/>
      <c r="W13" s="18"/>
      <c r="X13" s="18"/>
      <c r="Y13" s="18"/>
      <c r="Z13" s="18"/>
      <c r="AA13" s="18"/>
      <c r="AB13" s="18"/>
      <c r="AC13" s="18"/>
      <c r="AD13" s="18"/>
      <c r="AE13" s="18"/>
      <c r="AF13" s="18"/>
      <c r="AG13" s="18"/>
      <c r="AH13" s="18"/>
      <c r="AI13" s="18"/>
      <c r="AJ13" s="18"/>
      <c r="AK13" s="18"/>
      <c r="AL13" s="18"/>
      <c r="AM13" s="18"/>
      <c r="AN13" s="18"/>
      <c r="AO13" s="18"/>
      <c r="AP13" s="18"/>
      <c r="AQ13" s="18"/>
      <c r="AR13" s="18"/>
      <c r="AS13" s="18"/>
      <c r="AT13" s="18"/>
      <c r="AU13" s="18"/>
      <c r="AV13" s="18"/>
      <c r="AW13" s="18"/>
      <c r="AX13" s="18"/>
      <c r="AY13" s="18"/>
      <c r="AZ13" s="18"/>
      <c r="BA13" s="18"/>
      <c r="BB13" s="18"/>
      <c r="BC13" s="18"/>
      <c r="BD13" s="18"/>
    </row>
    <row r="14" spans="1:56">
      <c r="A14" s="429" t="s">
        <v>1073</v>
      </c>
      <c r="B14" s="429"/>
      <c r="C14" s="429"/>
      <c r="D14" s="429"/>
      <c r="E14" s="429"/>
      <c r="F14" s="429"/>
      <c r="G14" s="429"/>
      <c r="H14" s="429"/>
      <c r="I14" s="18"/>
      <c r="J14" s="18"/>
      <c r="K14" s="18"/>
      <c r="L14" s="18"/>
      <c r="N14" s="18"/>
      <c r="O14" s="18"/>
      <c r="P14" s="18"/>
      <c r="Q14" s="18"/>
      <c r="R14" s="18"/>
      <c r="S14" s="18"/>
      <c r="T14" s="18"/>
      <c r="U14" s="18"/>
      <c r="V14" s="18"/>
      <c r="W14" s="18"/>
      <c r="X14" s="18"/>
      <c r="Y14" s="18"/>
      <c r="Z14" s="18"/>
      <c r="AA14" s="18"/>
      <c r="AB14" s="18"/>
      <c r="AC14" s="18"/>
      <c r="AD14" s="18"/>
      <c r="AE14" s="18"/>
      <c r="AF14" s="18"/>
      <c r="AG14" s="18"/>
      <c r="AH14" s="18"/>
      <c r="AI14" s="18"/>
      <c r="AJ14" s="18"/>
      <c r="AK14" s="18"/>
      <c r="AL14" s="18"/>
      <c r="AM14" s="18"/>
      <c r="AN14" s="18"/>
      <c r="AO14" s="18"/>
      <c r="AP14" s="18"/>
      <c r="AQ14" s="18"/>
      <c r="AR14" s="18"/>
      <c r="AS14" s="18"/>
      <c r="AT14" s="18"/>
      <c r="AU14" s="18"/>
      <c r="AV14" s="18"/>
      <c r="AW14" s="18"/>
      <c r="AX14" s="18"/>
      <c r="AY14" s="18"/>
      <c r="AZ14" s="18"/>
      <c r="BA14" s="18"/>
      <c r="BB14" s="18"/>
      <c r="BC14" s="18"/>
      <c r="BD14" s="18"/>
    </row>
    <row r="15" spans="1:56">
      <c r="A15" s="30"/>
      <c r="B15" s="30"/>
      <c r="C15" s="30"/>
      <c r="D15" s="30"/>
      <c r="E15" s="30"/>
      <c r="F15" s="30"/>
      <c r="G15" s="30"/>
      <c r="H15" s="30"/>
      <c r="I15" s="18"/>
      <c r="J15" s="18"/>
      <c r="K15" s="18"/>
      <c r="L15" s="18"/>
      <c r="N15" s="18"/>
      <c r="O15" s="18"/>
      <c r="P15" s="18"/>
      <c r="Q15" s="18"/>
      <c r="R15" s="18"/>
      <c r="S15" s="18"/>
      <c r="T15" s="18"/>
      <c r="U15" s="18"/>
      <c r="V15" s="18"/>
      <c r="W15" s="18"/>
      <c r="X15" s="18"/>
      <c r="Y15" s="18"/>
      <c r="Z15" s="18"/>
      <c r="AA15" s="18"/>
      <c r="AB15" s="18"/>
      <c r="AC15" s="18"/>
      <c r="AD15" s="18"/>
      <c r="AE15" s="18"/>
      <c r="AF15" s="18"/>
      <c r="AG15" s="18"/>
      <c r="AH15" s="18"/>
      <c r="AI15" s="18"/>
      <c r="AJ15" s="18"/>
      <c r="AK15" s="18"/>
      <c r="AL15" s="18"/>
      <c r="AM15" s="18"/>
      <c r="AN15" s="18"/>
      <c r="AO15" s="18"/>
      <c r="AP15" s="18"/>
      <c r="AQ15" s="18"/>
      <c r="AR15" s="18"/>
      <c r="AS15" s="18"/>
      <c r="AT15" s="18"/>
      <c r="AU15" s="18"/>
      <c r="AV15" s="18"/>
      <c r="AW15" s="18"/>
      <c r="AX15" s="18"/>
      <c r="AY15" s="18"/>
      <c r="AZ15" s="18"/>
      <c r="BA15" s="18"/>
      <c r="BB15" s="18"/>
      <c r="BC15" s="18"/>
      <c r="BD15" s="18"/>
    </row>
    <row r="16" spans="1:56" ht="28.5" customHeight="1">
      <c r="A16" s="423" t="s">
        <v>1074</v>
      </c>
      <c r="B16" s="424"/>
      <c r="C16" s="424"/>
      <c r="D16" s="428"/>
      <c r="I16" s="18"/>
      <c r="J16" s="18"/>
      <c r="K16" s="18"/>
      <c r="L16" s="18"/>
      <c r="N16" s="18"/>
      <c r="O16" s="18"/>
      <c r="P16" s="18"/>
      <c r="Q16" s="18"/>
      <c r="R16" s="18"/>
      <c r="S16" s="18"/>
      <c r="T16" s="18"/>
      <c r="U16" s="18"/>
      <c r="V16" s="18"/>
      <c r="W16" s="18"/>
      <c r="X16" s="18"/>
      <c r="Y16" s="18"/>
      <c r="Z16" s="18"/>
      <c r="AA16" s="18"/>
      <c r="AB16" s="18"/>
      <c r="AC16" s="18"/>
      <c r="AD16" s="18"/>
      <c r="AE16" s="18"/>
      <c r="AF16" s="18"/>
      <c r="AG16" s="18"/>
      <c r="AH16" s="18"/>
      <c r="AI16" s="18"/>
      <c r="AJ16" s="18"/>
      <c r="AK16" s="18"/>
      <c r="AL16" s="18"/>
      <c r="AM16" s="18"/>
      <c r="AN16" s="18"/>
      <c r="AO16" s="18"/>
      <c r="AP16" s="18"/>
      <c r="AQ16" s="18"/>
      <c r="AR16" s="18"/>
      <c r="AS16" s="18"/>
      <c r="AT16" s="18"/>
      <c r="AU16" s="18"/>
      <c r="AV16" s="18"/>
      <c r="AW16" s="18"/>
      <c r="AX16" s="18"/>
      <c r="AY16" s="18"/>
      <c r="AZ16" s="18"/>
      <c r="BA16" s="18"/>
      <c r="BB16" s="18"/>
      <c r="BC16" s="18"/>
      <c r="BD16" s="18"/>
    </row>
    <row r="17" spans="1:56" ht="45.75" customHeight="1">
      <c r="A17" s="22" t="s">
        <v>1063</v>
      </c>
      <c r="B17" s="23" t="s">
        <v>1064</v>
      </c>
      <c r="C17" s="23" t="s">
        <v>1065</v>
      </c>
      <c r="D17" s="23" t="s">
        <v>1066</v>
      </c>
      <c r="E17" s="31"/>
      <c r="F17" s="32"/>
      <c r="G17" s="32"/>
      <c r="H17" s="32"/>
      <c r="I17" s="18"/>
      <c r="J17" s="18"/>
      <c r="K17" s="18"/>
      <c r="L17" s="18"/>
      <c r="N17" s="18"/>
      <c r="O17" s="18"/>
      <c r="P17" s="18"/>
      <c r="Q17" s="18"/>
      <c r="R17" s="18"/>
      <c r="S17" s="18"/>
      <c r="T17" s="18"/>
      <c r="U17" s="18"/>
      <c r="V17" s="18"/>
      <c r="W17" s="18"/>
      <c r="X17" s="18"/>
      <c r="Y17" s="18"/>
      <c r="Z17" s="18"/>
      <c r="AA17" s="18"/>
      <c r="AB17" s="18"/>
      <c r="AC17" s="18"/>
      <c r="AD17" s="18"/>
      <c r="AE17" s="18"/>
      <c r="AF17" s="18"/>
      <c r="AG17" s="18"/>
      <c r="AH17" s="18"/>
      <c r="AI17" s="18"/>
      <c r="AJ17" s="18"/>
      <c r="AK17" s="18"/>
      <c r="AL17" s="18"/>
      <c r="AM17" s="18"/>
      <c r="AN17" s="18"/>
      <c r="AO17" s="18"/>
      <c r="AP17" s="18"/>
      <c r="AQ17" s="18"/>
      <c r="AR17" s="18"/>
      <c r="AS17" s="18"/>
      <c r="AT17" s="18"/>
      <c r="AU17" s="18"/>
      <c r="AV17" s="18"/>
      <c r="AW17" s="18"/>
      <c r="AX17" s="18"/>
      <c r="AY17" s="18"/>
      <c r="AZ17" s="18"/>
      <c r="BA17" s="18"/>
      <c r="BB17" s="18"/>
      <c r="BC17" s="18"/>
      <c r="BD17" s="18"/>
    </row>
    <row r="18" spans="1:56">
      <c r="A18" s="25" t="s">
        <v>1068</v>
      </c>
      <c r="B18" s="26">
        <v>52</v>
      </c>
      <c r="C18" s="33">
        <v>9.884615385</v>
      </c>
      <c r="D18" s="33">
        <v>11.42222222</v>
      </c>
      <c r="E18" s="34"/>
      <c r="F18" s="35"/>
      <c r="G18" s="35"/>
      <c r="H18" s="35"/>
      <c r="I18" s="18"/>
      <c r="J18" s="18"/>
      <c r="K18" s="18"/>
      <c r="L18" s="18"/>
      <c r="N18" s="18"/>
      <c r="O18" s="18"/>
      <c r="P18" s="18"/>
      <c r="Q18" s="18"/>
      <c r="R18" s="18"/>
      <c r="S18" s="18"/>
      <c r="T18" s="18"/>
      <c r="U18" s="18"/>
      <c r="V18" s="18"/>
      <c r="W18" s="18"/>
      <c r="X18" s="18"/>
      <c r="Y18" s="18"/>
      <c r="Z18" s="18"/>
      <c r="AA18" s="18"/>
      <c r="AB18" s="18"/>
      <c r="AC18" s="18"/>
      <c r="AD18" s="18"/>
      <c r="AE18" s="18"/>
      <c r="AF18" s="18"/>
      <c r="AG18" s="18"/>
      <c r="AH18" s="18"/>
      <c r="AI18" s="18"/>
      <c r="AJ18" s="18"/>
      <c r="AK18" s="18"/>
      <c r="AL18" s="18"/>
      <c r="AM18" s="18"/>
      <c r="AN18" s="18"/>
      <c r="AO18" s="18"/>
      <c r="AP18" s="18"/>
      <c r="AQ18" s="18"/>
      <c r="AR18" s="18"/>
      <c r="AS18" s="18"/>
      <c r="AT18" s="18"/>
      <c r="AU18" s="18"/>
      <c r="AV18" s="18"/>
      <c r="AW18" s="18"/>
      <c r="AX18" s="18"/>
      <c r="AY18" s="18"/>
      <c r="AZ18" s="18"/>
      <c r="BA18" s="18"/>
      <c r="BB18" s="18"/>
      <c r="BC18" s="18"/>
      <c r="BD18" s="18"/>
    </row>
    <row r="19" spans="1:56">
      <c r="A19" s="25" t="s">
        <v>1069</v>
      </c>
      <c r="B19" s="26">
        <v>5</v>
      </c>
      <c r="C19" s="33">
        <v>15.2</v>
      </c>
      <c r="D19" s="33">
        <v>15.2</v>
      </c>
      <c r="I19" s="18"/>
      <c r="J19" s="18"/>
      <c r="K19" s="18"/>
      <c r="L19" s="18"/>
      <c r="N19" s="18"/>
      <c r="O19" s="18"/>
      <c r="P19" s="18"/>
      <c r="Q19" s="18"/>
      <c r="R19" s="18"/>
      <c r="S19" s="18"/>
      <c r="T19" s="18"/>
      <c r="U19" s="18"/>
      <c r="V19" s="18"/>
      <c r="W19" s="18"/>
      <c r="X19" s="18"/>
      <c r="Y19" s="18"/>
      <c r="Z19" s="18"/>
      <c r="AA19" s="18"/>
      <c r="AB19" s="18"/>
      <c r="AC19" s="18"/>
      <c r="AD19" s="18"/>
      <c r="AE19" s="18"/>
      <c r="AF19" s="18"/>
      <c r="AG19" s="18"/>
      <c r="AH19" s="18"/>
      <c r="AI19" s="18"/>
      <c r="AJ19" s="18"/>
      <c r="AK19" s="18"/>
      <c r="AL19" s="18"/>
      <c r="AM19" s="18"/>
      <c r="AN19" s="18"/>
      <c r="AO19" s="18"/>
      <c r="AP19" s="18"/>
      <c r="AQ19" s="18"/>
      <c r="AR19" s="18"/>
      <c r="AS19" s="18"/>
      <c r="AT19" s="18"/>
      <c r="AU19" s="18"/>
      <c r="AV19" s="18"/>
      <c r="AW19" s="18"/>
      <c r="AX19" s="18"/>
      <c r="AY19" s="18"/>
      <c r="AZ19" s="18"/>
      <c r="BA19" s="18"/>
      <c r="BB19" s="18"/>
      <c r="BC19" s="18"/>
      <c r="BD19" s="18"/>
    </row>
    <row r="20" spans="1:56">
      <c r="A20" s="25" t="s">
        <v>1070</v>
      </c>
      <c r="B20" s="26">
        <v>111</v>
      </c>
      <c r="C20" s="33">
        <v>7.4864864860000004</v>
      </c>
      <c r="D20" s="33">
        <v>7.6944444440000002</v>
      </c>
      <c r="E20" s="31"/>
      <c r="F20" s="32"/>
      <c r="G20" s="32"/>
      <c r="H20" s="32"/>
      <c r="I20" s="18"/>
      <c r="J20" s="18"/>
      <c r="K20" s="18"/>
      <c r="L20" s="18"/>
      <c r="N20" s="18"/>
      <c r="O20" s="18"/>
      <c r="P20" s="18"/>
      <c r="Q20" s="18"/>
      <c r="R20" s="18"/>
      <c r="S20" s="18"/>
      <c r="T20" s="18"/>
      <c r="U20" s="18"/>
      <c r="V20" s="18"/>
      <c r="W20" s="18"/>
      <c r="X20" s="18"/>
      <c r="Y20" s="18"/>
      <c r="Z20" s="18"/>
      <c r="AA20" s="18"/>
      <c r="AB20" s="18"/>
      <c r="AC20" s="18"/>
      <c r="AD20" s="18"/>
      <c r="AE20" s="18"/>
      <c r="AF20" s="18"/>
      <c r="AG20" s="18"/>
      <c r="AH20" s="18"/>
      <c r="AI20" s="18"/>
      <c r="AJ20" s="18"/>
      <c r="AK20" s="18"/>
      <c r="AL20" s="18"/>
      <c r="AM20" s="18"/>
      <c r="AN20" s="18"/>
      <c r="AO20" s="18"/>
      <c r="AP20" s="18"/>
      <c r="AQ20" s="18"/>
      <c r="AR20" s="18"/>
      <c r="AS20" s="18"/>
      <c r="AT20" s="18"/>
      <c r="AU20" s="18"/>
      <c r="AV20" s="18"/>
      <c r="AW20" s="18"/>
      <c r="AX20" s="18"/>
      <c r="AY20" s="18"/>
      <c r="AZ20" s="18"/>
      <c r="BA20" s="18"/>
      <c r="BB20" s="18"/>
      <c r="BC20" s="18"/>
      <c r="BD20" s="18"/>
    </row>
    <row r="21" spans="1:56" ht="52.35" customHeight="1">
      <c r="A21" s="27" t="s">
        <v>1071</v>
      </c>
      <c r="B21" s="26">
        <v>19</v>
      </c>
      <c r="C21" s="33">
        <v>7.0526315789999998</v>
      </c>
      <c r="D21" s="33">
        <v>7.4444444440000002</v>
      </c>
      <c r="E21" s="36"/>
      <c r="F21" s="36"/>
      <c r="G21" s="36"/>
      <c r="H21" s="36"/>
      <c r="I21" s="18"/>
      <c r="J21" s="18"/>
      <c r="K21" s="18"/>
      <c r="L21" s="18"/>
      <c r="N21" s="18"/>
      <c r="O21" s="18"/>
      <c r="P21" s="18"/>
      <c r="Q21" s="18"/>
      <c r="R21" s="18"/>
      <c r="S21" s="18"/>
      <c r="T21" s="18"/>
      <c r="U21" s="18"/>
      <c r="V21" s="18"/>
      <c r="W21" s="18"/>
      <c r="X21" s="18"/>
      <c r="Y21" s="18"/>
      <c r="Z21" s="18"/>
      <c r="AA21" s="18"/>
      <c r="AB21" s="18"/>
      <c r="AC21" s="18"/>
      <c r="AD21" s="18"/>
      <c r="AE21" s="18"/>
      <c r="AF21" s="18"/>
      <c r="AG21" s="18"/>
      <c r="AH21" s="18"/>
      <c r="AI21" s="18"/>
      <c r="AJ21" s="18"/>
      <c r="AK21" s="18"/>
      <c r="AL21" s="18"/>
      <c r="AM21" s="18"/>
      <c r="AN21" s="18"/>
      <c r="AO21" s="18"/>
      <c r="AP21" s="18"/>
      <c r="AQ21" s="18"/>
      <c r="AR21" s="18"/>
      <c r="AS21" s="18"/>
      <c r="AT21" s="18"/>
      <c r="AU21" s="18"/>
      <c r="AV21" s="18"/>
      <c r="AW21" s="18"/>
      <c r="AX21" s="18"/>
      <c r="AY21" s="18"/>
      <c r="AZ21" s="18"/>
      <c r="BA21" s="18"/>
      <c r="BB21" s="18"/>
      <c r="BC21" s="18"/>
      <c r="BD21" s="18"/>
    </row>
    <row r="22" spans="1:56">
      <c r="A22" s="25" t="s">
        <v>1072</v>
      </c>
      <c r="B22" s="26">
        <v>39</v>
      </c>
      <c r="C22" s="33">
        <v>17.410256409999999</v>
      </c>
      <c r="D22" s="33">
        <v>19.399999999999999</v>
      </c>
      <c r="E22" s="37"/>
      <c r="I22" s="18"/>
      <c r="J22" s="18"/>
      <c r="K22" s="18"/>
      <c r="L22" s="18"/>
      <c r="N22" s="18"/>
      <c r="O22" s="18"/>
      <c r="P22" s="18"/>
      <c r="Q22" s="18"/>
      <c r="R22" s="18"/>
      <c r="S22" s="18"/>
      <c r="T22" s="18"/>
      <c r="U22" s="18"/>
      <c r="V22" s="18"/>
      <c r="W22" s="18"/>
      <c r="X22" s="18"/>
      <c r="Y22" s="18"/>
      <c r="Z22" s="18"/>
      <c r="AA22" s="18"/>
      <c r="AB22" s="18"/>
      <c r="AC22" s="18"/>
      <c r="AD22" s="18"/>
      <c r="AE22" s="18"/>
      <c r="AF22" s="18"/>
      <c r="AG22" s="18"/>
      <c r="AH22" s="18"/>
      <c r="AI22" s="18"/>
      <c r="AJ22" s="18"/>
      <c r="AK22" s="18"/>
      <c r="AL22" s="18"/>
      <c r="AM22" s="18"/>
      <c r="AN22" s="18"/>
      <c r="AO22" s="18"/>
      <c r="AP22" s="18"/>
      <c r="AQ22" s="18"/>
      <c r="AR22" s="18"/>
      <c r="AS22" s="18"/>
      <c r="AT22" s="18"/>
      <c r="AU22" s="18"/>
      <c r="AV22" s="18"/>
      <c r="AW22" s="18"/>
      <c r="AX22" s="18"/>
      <c r="AY22" s="18"/>
      <c r="AZ22" s="18"/>
      <c r="BA22" s="18"/>
      <c r="BB22" s="18"/>
      <c r="BC22" s="18"/>
      <c r="BD22" s="18"/>
    </row>
    <row r="23" spans="1:56">
      <c r="A23" s="28" t="s">
        <v>1059</v>
      </c>
      <c r="B23" s="29">
        <v>226</v>
      </c>
      <c r="C23" s="38">
        <v>11.406797972</v>
      </c>
      <c r="D23" s="38">
        <v>12.232222221600001</v>
      </c>
      <c r="I23" s="18"/>
      <c r="J23" s="18"/>
      <c r="K23" s="18"/>
      <c r="L23" s="18"/>
      <c r="N23" s="18"/>
      <c r="O23" s="18"/>
      <c r="P23" s="18"/>
      <c r="Q23" s="18"/>
      <c r="R23" s="18"/>
      <c r="S23" s="18"/>
      <c r="T23" s="18"/>
      <c r="U23" s="18"/>
      <c r="V23" s="18"/>
      <c r="W23" s="18"/>
      <c r="X23" s="18"/>
      <c r="Y23" s="18"/>
      <c r="Z23" s="18"/>
      <c r="AA23" s="18"/>
      <c r="AB23" s="18"/>
      <c r="AC23" s="18"/>
      <c r="AD23" s="18"/>
      <c r="AE23" s="18"/>
      <c r="AF23" s="18"/>
      <c r="AG23" s="18"/>
      <c r="AH23" s="18"/>
      <c r="AI23" s="18"/>
      <c r="AJ23" s="18"/>
      <c r="AK23" s="18"/>
      <c r="AL23" s="18"/>
      <c r="AM23" s="18"/>
      <c r="AN23" s="18"/>
      <c r="AO23" s="18"/>
      <c r="AP23" s="18"/>
      <c r="AQ23" s="18"/>
      <c r="AR23" s="18"/>
      <c r="AS23" s="18"/>
      <c r="AT23" s="18"/>
      <c r="AU23" s="18"/>
      <c r="AV23" s="18"/>
      <c r="AW23" s="18"/>
      <c r="AX23" s="18"/>
      <c r="AY23" s="18"/>
      <c r="AZ23" s="18"/>
      <c r="BA23" s="18"/>
      <c r="BB23" s="18"/>
      <c r="BC23" s="18"/>
      <c r="BD23" s="18"/>
    </row>
    <row r="24" spans="1:56">
      <c r="I24" s="18"/>
      <c r="J24" s="18"/>
      <c r="K24" s="18"/>
      <c r="L24" s="18"/>
      <c r="N24" s="18"/>
      <c r="O24" s="18"/>
      <c r="P24" s="18"/>
      <c r="Q24" s="18"/>
      <c r="R24" s="18"/>
      <c r="S24" s="18"/>
      <c r="T24" s="18"/>
      <c r="U24" s="18"/>
      <c r="V24" s="18"/>
      <c r="W24" s="18"/>
      <c r="X24" s="18"/>
      <c r="Y24" s="18"/>
      <c r="Z24" s="18"/>
      <c r="AA24" s="18"/>
      <c r="AB24" s="18"/>
      <c r="AC24" s="18"/>
      <c r="AD24" s="18"/>
      <c r="AE24" s="18"/>
      <c r="AF24" s="18"/>
      <c r="AG24" s="18"/>
      <c r="AH24" s="18"/>
      <c r="AI24" s="18"/>
      <c r="AJ24" s="18"/>
      <c r="AK24" s="18"/>
      <c r="AL24" s="18"/>
      <c r="AM24" s="18"/>
      <c r="AN24" s="18"/>
      <c r="AO24" s="18"/>
      <c r="AP24" s="18"/>
      <c r="AQ24" s="18"/>
      <c r="AR24" s="18"/>
      <c r="AS24" s="18"/>
      <c r="AT24" s="18"/>
      <c r="AU24" s="18"/>
      <c r="AV24" s="18"/>
      <c r="AW24" s="18"/>
      <c r="AX24" s="18"/>
      <c r="AY24" s="18"/>
      <c r="AZ24" s="18"/>
      <c r="BA24" s="18"/>
      <c r="BB24" s="18"/>
      <c r="BC24" s="18"/>
      <c r="BD24" s="18"/>
    </row>
    <row r="25" spans="1:56">
      <c r="A25" s="429" t="s">
        <v>1075</v>
      </c>
      <c r="B25" s="429"/>
      <c r="C25" s="429"/>
      <c r="D25" s="429"/>
      <c r="E25" s="429"/>
      <c r="F25" s="429"/>
      <c r="G25" s="429"/>
      <c r="H25" s="429"/>
      <c r="I25" s="18"/>
      <c r="J25" s="18"/>
      <c r="K25" s="18"/>
      <c r="L25" s="18"/>
      <c r="N25" s="18"/>
      <c r="O25" s="18"/>
      <c r="P25" s="18"/>
      <c r="Q25" s="18"/>
      <c r="R25" s="18"/>
      <c r="S25" s="18"/>
      <c r="T25" s="18"/>
      <c r="U25" s="18"/>
      <c r="V25" s="18"/>
      <c r="W25" s="18"/>
      <c r="X25" s="18"/>
      <c r="Y25" s="18"/>
      <c r="Z25" s="18"/>
      <c r="AA25" s="18"/>
      <c r="AB25" s="18"/>
      <c r="AC25" s="18"/>
      <c r="AD25" s="18"/>
      <c r="AE25" s="18"/>
      <c r="AF25" s="18"/>
      <c r="AG25" s="18"/>
      <c r="AH25" s="18"/>
      <c r="AI25" s="18"/>
      <c r="AJ25" s="18"/>
      <c r="AK25" s="18"/>
      <c r="AL25" s="18"/>
      <c r="AM25" s="18"/>
      <c r="AN25" s="18"/>
      <c r="AO25" s="18"/>
      <c r="AP25" s="18"/>
      <c r="AQ25" s="18"/>
      <c r="AR25" s="18"/>
      <c r="AS25" s="18"/>
      <c r="AT25" s="18"/>
      <c r="AU25" s="18"/>
      <c r="AV25" s="18"/>
      <c r="AW25" s="18"/>
      <c r="AX25" s="18"/>
      <c r="AY25" s="18"/>
      <c r="AZ25" s="18"/>
      <c r="BA25" s="18"/>
      <c r="BB25" s="18"/>
      <c r="BC25" s="18"/>
      <c r="BD25" s="18"/>
    </row>
    <row r="26" spans="1:56">
      <c r="A26" s="30" t="s">
        <v>1076</v>
      </c>
      <c r="B26" s="30"/>
      <c r="C26" s="30"/>
      <c r="D26" s="30"/>
      <c r="E26" s="30"/>
      <c r="F26" s="30"/>
      <c r="G26" s="30"/>
      <c r="H26" s="30"/>
      <c r="I26" s="18"/>
      <c r="J26" s="18"/>
      <c r="K26" s="18"/>
      <c r="L26" s="18"/>
      <c r="N26" s="18"/>
      <c r="O26" s="18"/>
      <c r="P26" s="18"/>
      <c r="Q26" s="18"/>
      <c r="R26" s="18"/>
      <c r="S26" s="18"/>
      <c r="T26" s="18"/>
      <c r="U26" s="18"/>
      <c r="V26" s="18"/>
      <c r="W26" s="18"/>
      <c r="X26" s="18"/>
      <c r="Y26" s="18"/>
      <c r="Z26" s="18"/>
      <c r="AA26" s="18"/>
      <c r="AB26" s="18"/>
      <c r="AC26" s="18"/>
      <c r="AD26" s="18"/>
      <c r="AE26" s="18"/>
      <c r="AF26" s="18"/>
      <c r="AG26" s="18"/>
      <c r="AH26" s="18"/>
      <c r="AI26" s="18"/>
      <c r="AJ26" s="18"/>
      <c r="AK26" s="18"/>
      <c r="AL26" s="18"/>
      <c r="AM26" s="18"/>
      <c r="AN26" s="18"/>
      <c r="AO26" s="18"/>
      <c r="AP26" s="18"/>
      <c r="AQ26" s="18"/>
      <c r="AR26" s="18"/>
      <c r="AS26" s="18"/>
      <c r="AT26" s="18"/>
      <c r="AU26" s="18"/>
      <c r="AV26" s="18"/>
      <c r="AW26" s="18"/>
      <c r="AX26" s="18"/>
      <c r="AY26" s="18"/>
      <c r="AZ26" s="18"/>
      <c r="BA26" s="18"/>
      <c r="BB26" s="18"/>
      <c r="BC26" s="18"/>
      <c r="BD26" s="18"/>
    </row>
    <row r="27" spans="1:56">
      <c r="A27" s="30"/>
      <c r="B27" s="30"/>
      <c r="C27" s="30"/>
      <c r="D27" s="30"/>
      <c r="E27" s="30"/>
      <c r="F27" s="30"/>
      <c r="G27" s="30"/>
      <c r="H27" s="30"/>
      <c r="I27" s="18"/>
      <c r="J27" s="18"/>
      <c r="K27" s="18"/>
      <c r="L27" s="18"/>
      <c r="N27" s="18"/>
      <c r="O27" s="18"/>
      <c r="P27" s="18"/>
      <c r="Q27" s="18"/>
      <c r="R27" s="18"/>
      <c r="S27" s="18"/>
      <c r="T27" s="18"/>
      <c r="U27" s="18"/>
      <c r="V27" s="18"/>
      <c r="W27" s="18"/>
      <c r="X27" s="18"/>
      <c r="Y27" s="18"/>
      <c r="Z27" s="18"/>
      <c r="AA27" s="18"/>
      <c r="AB27" s="18"/>
      <c r="AC27" s="18"/>
      <c r="AD27" s="18"/>
      <c r="AE27" s="18"/>
      <c r="AF27" s="18"/>
      <c r="AG27" s="18"/>
      <c r="AH27" s="18"/>
      <c r="AI27" s="18"/>
      <c r="AJ27" s="18"/>
      <c r="AK27" s="18"/>
      <c r="AL27" s="18"/>
      <c r="AM27" s="18"/>
      <c r="AN27" s="18"/>
      <c r="AO27" s="18"/>
      <c r="AP27" s="18"/>
      <c r="AQ27" s="18"/>
      <c r="AR27" s="18"/>
      <c r="AS27" s="18"/>
      <c r="AT27" s="18"/>
      <c r="AU27" s="18"/>
      <c r="AV27" s="18"/>
      <c r="AW27" s="18"/>
      <c r="AX27" s="18"/>
      <c r="AY27" s="18"/>
      <c r="AZ27" s="18"/>
      <c r="BA27" s="18"/>
      <c r="BB27" s="18"/>
      <c r="BC27" s="18"/>
      <c r="BD27" s="18"/>
    </row>
    <row r="28" spans="1:56" ht="26.25" customHeight="1">
      <c r="A28" s="423" t="s">
        <v>1077</v>
      </c>
      <c r="B28" s="424"/>
      <c r="C28" s="424"/>
      <c r="D28" s="428"/>
      <c r="E28" s="30"/>
      <c r="F28" s="30"/>
      <c r="G28" s="30"/>
      <c r="H28" s="30"/>
      <c r="I28" s="18"/>
      <c r="J28" s="18"/>
      <c r="K28" s="18"/>
      <c r="L28" s="18"/>
      <c r="N28" s="18"/>
      <c r="O28" s="18"/>
      <c r="P28" s="18"/>
      <c r="Q28" s="18"/>
      <c r="R28" s="18"/>
      <c r="S28" s="18"/>
      <c r="T28" s="18"/>
      <c r="U28" s="18"/>
      <c r="V28" s="18"/>
      <c r="W28" s="18"/>
      <c r="X28" s="18"/>
      <c r="Y28" s="18"/>
      <c r="Z28" s="18"/>
      <c r="AA28" s="18"/>
      <c r="AB28" s="18"/>
      <c r="AC28" s="18"/>
      <c r="AD28" s="18"/>
      <c r="AE28" s="18"/>
      <c r="AF28" s="18"/>
      <c r="AG28" s="18"/>
      <c r="AH28" s="18"/>
      <c r="AI28" s="18"/>
      <c r="AJ28" s="18"/>
      <c r="AK28" s="18"/>
      <c r="AL28" s="18"/>
      <c r="AM28" s="18"/>
      <c r="AN28" s="18"/>
      <c r="AO28" s="18"/>
      <c r="AP28" s="18"/>
      <c r="AQ28" s="18"/>
      <c r="AR28" s="18"/>
      <c r="AS28" s="18"/>
      <c r="AT28" s="18"/>
      <c r="AU28" s="18"/>
      <c r="AV28" s="18"/>
      <c r="AW28" s="18"/>
      <c r="AX28" s="18"/>
      <c r="AY28" s="18"/>
      <c r="AZ28" s="18"/>
      <c r="BA28" s="18"/>
      <c r="BB28" s="18"/>
      <c r="BC28" s="18"/>
      <c r="BD28" s="18"/>
    </row>
    <row r="29" spans="1:56" ht="48" customHeight="1">
      <c r="A29" s="22" t="s">
        <v>1063</v>
      </c>
      <c r="B29" s="23" t="s">
        <v>1064</v>
      </c>
      <c r="C29" s="23" t="s">
        <v>1065</v>
      </c>
      <c r="D29" s="23" t="s">
        <v>1066</v>
      </c>
      <c r="E29" s="30"/>
      <c r="F29" s="30"/>
      <c r="G29" s="30"/>
      <c r="H29" s="30"/>
      <c r="I29" s="18"/>
      <c r="J29" s="18"/>
      <c r="K29" s="18"/>
      <c r="L29" s="18"/>
      <c r="N29" s="18"/>
      <c r="O29" s="18"/>
      <c r="P29" s="18"/>
      <c r="Q29" s="18"/>
      <c r="R29" s="18"/>
      <c r="S29" s="18"/>
      <c r="T29" s="18"/>
      <c r="U29" s="18"/>
      <c r="V29" s="18"/>
      <c r="W29" s="18"/>
      <c r="X29" s="18"/>
      <c r="Y29" s="18"/>
      <c r="Z29" s="18"/>
      <c r="AA29" s="18"/>
      <c r="AB29" s="18"/>
      <c r="AC29" s="18"/>
      <c r="AD29" s="18"/>
      <c r="AE29" s="18"/>
      <c r="AF29" s="18"/>
      <c r="AG29" s="18"/>
      <c r="AH29" s="18"/>
      <c r="AI29" s="18"/>
      <c r="AJ29" s="18"/>
      <c r="AK29" s="18"/>
      <c r="AL29" s="18"/>
      <c r="AM29" s="18"/>
      <c r="AN29" s="18"/>
      <c r="AO29" s="18"/>
      <c r="AP29" s="18"/>
      <c r="AQ29" s="18"/>
      <c r="AR29" s="18"/>
      <c r="AS29" s="18"/>
      <c r="AT29" s="18"/>
      <c r="AU29" s="18"/>
      <c r="AV29" s="18"/>
      <c r="AW29" s="18"/>
      <c r="AX29" s="18"/>
      <c r="AY29" s="18"/>
      <c r="AZ29" s="18"/>
      <c r="BA29" s="18"/>
      <c r="BB29" s="18"/>
      <c r="BC29" s="18"/>
      <c r="BD29" s="18"/>
    </row>
    <row r="30" spans="1:56">
      <c r="A30" s="25" t="s">
        <v>1068</v>
      </c>
      <c r="B30" s="26">
        <v>59</v>
      </c>
      <c r="C30" s="33">
        <v>11.78</v>
      </c>
      <c r="D30" s="33">
        <v>35</v>
      </c>
      <c r="E30" s="30"/>
      <c r="F30" s="30"/>
      <c r="G30" s="30"/>
      <c r="H30" s="30"/>
      <c r="I30" s="18"/>
      <c r="J30" s="18"/>
      <c r="K30" s="18"/>
      <c r="L30" s="18"/>
      <c r="N30" s="18"/>
      <c r="O30" s="18"/>
      <c r="P30" s="18"/>
      <c r="Q30" s="18"/>
      <c r="R30" s="18"/>
      <c r="S30" s="18"/>
      <c r="T30" s="18"/>
      <c r="U30" s="18"/>
      <c r="V30" s="18"/>
      <c r="W30" s="18"/>
      <c r="X30" s="18"/>
      <c r="Y30" s="18"/>
      <c r="Z30" s="18"/>
      <c r="AA30" s="18"/>
      <c r="AB30" s="18"/>
      <c r="AC30" s="18"/>
      <c r="AD30" s="18"/>
      <c r="AE30" s="18"/>
      <c r="AF30" s="18"/>
      <c r="AG30" s="18"/>
      <c r="AH30" s="18"/>
      <c r="AI30" s="18"/>
      <c r="AJ30" s="18"/>
      <c r="AK30" s="18"/>
      <c r="AL30" s="18"/>
      <c r="AM30" s="18"/>
      <c r="AN30" s="18"/>
      <c r="AO30" s="18"/>
      <c r="AP30" s="18"/>
      <c r="AQ30" s="18"/>
      <c r="AR30" s="18"/>
      <c r="AS30" s="18"/>
      <c r="AT30" s="18"/>
      <c r="AU30" s="18"/>
      <c r="AV30" s="18"/>
      <c r="AW30" s="18"/>
      <c r="AX30" s="18"/>
      <c r="AY30" s="18"/>
      <c r="AZ30" s="18"/>
      <c r="BA30" s="18"/>
      <c r="BB30" s="18"/>
      <c r="BC30" s="18"/>
      <c r="BD30" s="18"/>
    </row>
    <row r="31" spans="1:56">
      <c r="A31" s="25" t="s">
        <v>1069</v>
      </c>
      <c r="B31" s="26">
        <v>13</v>
      </c>
      <c r="C31" s="33">
        <v>17.079999999999998</v>
      </c>
      <c r="D31" s="33">
        <v>64.540000000000006</v>
      </c>
      <c r="E31" s="30"/>
      <c r="F31" s="30"/>
      <c r="G31" s="30"/>
      <c r="H31" s="30"/>
      <c r="I31" s="18"/>
      <c r="J31" s="18"/>
      <c r="K31" s="18"/>
      <c r="L31" s="18"/>
      <c r="N31" s="18"/>
      <c r="O31" s="18"/>
      <c r="P31" s="18"/>
      <c r="Q31" s="18"/>
      <c r="R31" s="18"/>
      <c r="S31" s="18"/>
      <c r="T31" s="18"/>
      <c r="U31" s="18"/>
      <c r="V31" s="18"/>
      <c r="W31" s="18"/>
      <c r="X31" s="18"/>
      <c r="Y31" s="18"/>
      <c r="Z31" s="18"/>
      <c r="AA31" s="18"/>
      <c r="AB31" s="18"/>
      <c r="AC31" s="18"/>
      <c r="AD31" s="18"/>
      <c r="AE31" s="18"/>
      <c r="AF31" s="18"/>
      <c r="AG31" s="18"/>
      <c r="AH31" s="18"/>
      <c r="AI31" s="18"/>
      <c r="AJ31" s="18"/>
      <c r="AK31" s="18"/>
      <c r="AL31" s="18"/>
      <c r="AM31" s="18"/>
      <c r="AN31" s="18"/>
      <c r="AO31" s="18"/>
      <c r="AP31" s="18"/>
      <c r="AQ31" s="18"/>
      <c r="AR31" s="18"/>
      <c r="AS31" s="18"/>
      <c r="AT31" s="18"/>
      <c r="AU31" s="18"/>
      <c r="AV31" s="18"/>
      <c r="AW31" s="18"/>
      <c r="AX31" s="18"/>
      <c r="AY31" s="18"/>
      <c r="AZ31" s="18"/>
      <c r="BA31" s="18"/>
      <c r="BB31" s="18"/>
      <c r="BC31" s="18"/>
      <c r="BD31" s="18"/>
    </row>
    <row r="32" spans="1:56">
      <c r="A32" s="25" t="s">
        <v>1070</v>
      </c>
      <c r="B32" s="26">
        <v>146</v>
      </c>
      <c r="C32" s="33">
        <v>10.210000000000001</v>
      </c>
      <c r="D32" s="33">
        <v>18.420000000000002</v>
      </c>
      <c r="E32" s="30"/>
      <c r="F32" s="30"/>
      <c r="G32" s="30"/>
      <c r="H32" s="30"/>
      <c r="I32" s="18"/>
      <c r="J32" s="18"/>
      <c r="K32" s="18"/>
      <c r="L32" s="18"/>
      <c r="N32" s="18"/>
      <c r="O32" s="18"/>
      <c r="P32" s="18"/>
      <c r="Q32" s="18"/>
      <c r="R32" s="18"/>
      <c r="S32" s="18"/>
      <c r="T32" s="18"/>
      <c r="U32" s="18"/>
      <c r="V32" s="18"/>
      <c r="W32" s="18"/>
      <c r="X32" s="18"/>
      <c r="Y32" s="18"/>
      <c r="Z32" s="18"/>
      <c r="AA32" s="18"/>
      <c r="AB32" s="18"/>
      <c r="AC32" s="18"/>
      <c r="AD32" s="18"/>
      <c r="AE32" s="18"/>
      <c r="AF32" s="18"/>
      <c r="AG32" s="18"/>
      <c r="AH32" s="18"/>
      <c r="AI32" s="18"/>
      <c r="AJ32" s="18"/>
      <c r="AK32" s="18"/>
      <c r="AL32" s="18"/>
      <c r="AM32" s="18"/>
      <c r="AN32" s="18"/>
      <c r="AO32" s="18"/>
      <c r="AP32" s="18"/>
      <c r="AQ32" s="18"/>
      <c r="AR32" s="18"/>
      <c r="AS32" s="18"/>
      <c r="AT32" s="18"/>
      <c r="AU32" s="18"/>
      <c r="AV32" s="18"/>
      <c r="AW32" s="18"/>
      <c r="AX32" s="18"/>
      <c r="AY32" s="18"/>
      <c r="AZ32" s="18"/>
      <c r="BA32" s="18"/>
      <c r="BB32" s="18"/>
      <c r="BC32" s="18"/>
      <c r="BD32" s="18"/>
    </row>
    <row r="33" spans="1:56" ht="44.85" customHeight="1">
      <c r="A33" s="27" t="s">
        <v>1071</v>
      </c>
      <c r="B33" s="26">
        <v>32</v>
      </c>
      <c r="C33" s="33">
        <v>4.91</v>
      </c>
      <c r="D33" s="33">
        <v>9.9700000000000006</v>
      </c>
      <c r="E33" s="30"/>
      <c r="F33" s="30"/>
      <c r="G33" s="30"/>
      <c r="H33" s="30"/>
      <c r="I33" s="18"/>
      <c r="J33" s="18"/>
      <c r="K33" s="18"/>
      <c r="L33" s="18"/>
      <c r="N33" s="18"/>
      <c r="O33" s="18"/>
      <c r="P33" s="18"/>
      <c r="Q33" s="18"/>
      <c r="R33" s="18"/>
      <c r="S33" s="18"/>
      <c r="T33" s="18"/>
      <c r="U33" s="18"/>
      <c r="V33" s="18"/>
      <c r="W33" s="18"/>
      <c r="X33" s="18"/>
      <c r="Y33" s="18"/>
      <c r="Z33" s="18"/>
      <c r="AA33" s="18"/>
      <c r="AB33" s="18"/>
      <c r="AC33" s="18"/>
      <c r="AD33" s="18"/>
      <c r="AE33" s="18"/>
      <c r="AF33" s="18"/>
      <c r="AG33" s="18"/>
      <c r="AH33" s="18"/>
      <c r="AI33" s="18"/>
      <c r="AJ33" s="18"/>
      <c r="AK33" s="18"/>
      <c r="AL33" s="18"/>
      <c r="AM33" s="18"/>
      <c r="AN33" s="18"/>
      <c r="AO33" s="18"/>
      <c r="AP33" s="18"/>
      <c r="AQ33" s="18"/>
      <c r="AR33" s="18"/>
      <c r="AS33" s="18"/>
      <c r="AT33" s="18"/>
      <c r="AU33" s="18"/>
      <c r="AV33" s="18"/>
      <c r="AW33" s="18"/>
      <c r="AX33" s="18"/>
      <c r="AY33" s="18"/>
      <c r="AZ33" s="18"/>
      <c r="BA33" s="18"/>
      <c r="BB33" s="18"/>
      <c r="BC33" s="18"/>
      <c r="BD33" s="18"/>
    </row>
    <row r="34" spans="1:56">
      <c r="A34" s="25" t="s">
        <v>1072</v>
      </c>
      <c r="B34" s="26">
        <v>61</v>
      </c>
      <c r="C34" s="33">
        <v>50.8</v>
      </c>
      <c r="D34" s="33">
        <v>87.23</v>
      </c>
      <c r="E34" s="30"/>
      <c r="F34" s="30"/>
      <c r="G34" s="30"/>
      <c r="H34" s="30"/>
      <c r="I34" s="18"/>
      <c r="J34" s="18"/>
      <c r="K34" s="18"/>
      <c r="L34" s="18"/>
      <c r="N34" s="18"/>
      <c r="O34" s="18"/>
      <c r="P34" s="18"/>
      <c r="Q34" s="18"/>
      <c r="R34" s="18"/>
      <c r="S34" s="18"/>
      <c r="T34" s="18"/>
      <c r="U34" s="18"/>
      <c r="V34" s="18"/>
      <c r="W34" s="18"/>
      <c r="X34" s="18"/>
      <c r="Y34" s="18"/>
      <c r="Z34" s="18"/>
      <c r="AA34" s="18"/>
      <c r="AB34" s="18"/>
      <c r="AC34" s="18"/>
      <c r="AD34" s="18"/>
      <c r="AE34" s="18"/>
      <c r="AF34" s="18"/>
      <c r="AG34" s="18"/>
      <c r="AH34" s="18"/>
      <c r="AI34" s="18"/>
      <c r="AJ34" s="18"/>
      <c r="AK34" s="18"/>
      <c r="AL34" s="18"/>
      <c r="AM34" s="18"/>
      <c r="AN34" s="18"/>
      <c r="AO34" s="18"/>
      <c r="AP34" s="18"/>
      <c r="AQ34" s="18"/>
      <c r="AR34" s="18"/>
      <c r="AS34" s="18"/>
      <c r="AT34" s="18"/>
      <c r="AU34" s="18"/>
      <c r="AV34" s="18"/>
      <c r="AW34" s="18"/>
      <c r="AX34" s="18"/>
      <c r="AY34" s="18"/>
      <c r="AZ34" s="18"/>
      <c r="BA34" s="18"/>
      <c r="BB34" s="18"/>
      <c r="BC34" s="18"/>
      <c r="BD34" s="18"/>
    </row>
    <row r="35" spans="1:56">
      <c r="A35" s="28" t="s">
        <v>1059</v>
      </c>
      <c r="B35" s="29">
        <v>311</v>
      </c>
      <c r="C35" s="38">
        <v>18.21</v>
      </c>
      <c r="D35" s="38">
        <v>36.119999999999997</v>
      </c>
      <c r="E35" s="30"/>
      <c r="F35" s="30"/>
      <c r="G35" s="30"/>
      <c r="H35" s="30"/>
      <c r="I35" s="18"/>
      <c r="J35" s="18"/>
      <c r="K35" s="18"/>
      <c r="L35" s="18"/>
      <c r="N35" s="18"/>
      <c r="O35" s="18"/>
      <c r="P35" s="18"/>
      <c r="Q35" s="18"/>
      <c r="R35" s="18"/>
      <c r="S35" s="18"/>
      <c r="T35" s="18"/>
      <c r="U35" s="18"/>
      <c r="V35" s="18"/>
      <c r="W35" s="18"/>
      <c r="X35" s="18"/>
      <c r="Y35" s="18"/>
      <c r="Z35" s="18"/>
      <c r="AA35" s="18"/>
      <c r="AB35" s="18"/>
      <c r="AC35" s="18"/>
      <c r="AD35" s="18"/>
      <c r="AE35" s="18"/>
      <c r="AF35" s="18"/>
      <c r="AG35" s="18"/>
      <c r="AH35" s="18"/>
      <c r="AI35" s="18"/>
      <c r="AJ35" s="18"/>
      <c r="AK35" s="18"/>
      <c r="AL35" s="18"/>
      <c r="AM35" s="18"/>
      <c r="AN35" s="18"/>
      <c r="AO35" s="18"/>
      <c r="AP35" s="18"/>
      <c r="AQ35" s="18"/>
      <c r="AR35" s="18"/>
      <c r="AS35" s="18"/>
      <c r="AT35" s="18"/>
      <c r="AU35" s="18"/>
      <c r="AV35" s="18"/>
      <c r="AW35" s="18"/>
      <c r="AX35" s="18"/>
      <c r="AY35" s="18"/>
      <c r="AZ35" s="18"/>
      <c r="BA35" s="18"/>
      <c r="BB35" s="18"/>
      <c r="BC35" s="18"/>
      <c r="BD35" s="18"/>
    </row>
    <row r="36" spans="1:56">
      <c r="I36" s="18"/>
      <c r="J36" s="18"/>
      <c r="K36" s="18"/>
      <c r="L36" s="18"/>
      <c r="N36" s="18"/>
      <c r="O36" s="18"/>
      <c r="P36" s="18"/>
      <c r="Q36" s="18"/>
      <c r="R36" s="18"/>
      <c r="S36" s="18"/>
      <c r="T36" s="18"/>
      <c r="U36" s="18"/>
      <c r="V36" s="18"/>
      <c r="W36" s="18"/>
      <c r="X36" s="18"/>
      <c r="Y36" s="18"/>
      <c r="Z36" s="18"/>
      <c r="AA36" s="18"/>
      <c r="AB36" s="18"/>
      <c r="AC36" s="18"/>
      <c r="AD36" s="18"/>
      <c r="AE36" s="18"/>
      <c r="AF36" s="18"/>
      <c r="AG36" s="18"/>
      <c r="AH36" s="18"/>
      <c r="AI36" s="18"/>
      <c r="AJ36" s="18"/>
      <c r="AK36" s="18"/>
      <c r="AL36" s="18"/>
      <c r="AM36" s="18"/>
      <c r="AN36" s="18"/>
      <c r="AO36" s="18"/>
      <c r="AP36" s="18"/>
      <c r="AQ36" s="18"/>
      <c r="AR36" s="18"/>
      <c r="AS36" s="18"/>
      <c r="AT36" s="18"/>
      <c r="AU36" s="18"/>
      <c r="AV36" s="18"/>
      <c r="AW36" s="18"/>
      <c r="AX36" s="18"/>
      <c r="AY36" s="18"/>
      <c r="AZ36" s="18"/>
      <c r="BA36" s="18"/>
      <c r="BB36" s="18"/>
      <c r="BC36" s="18"/>
      <c r="BD36" s="18"/>
    </row>
    <row r="37" spans="1:56">
      <c r="A37" s="39" t="s">
        <v>1078</v>
      </c>
      <c r="B37" s="39"/>
      <c r="C37" s="39"/>
      <c r="D37" s="39"/>
      <c r="E37" s="39"/>
      <c r="I37" s="18"/>
      <c r="J37" s="18"/>
      <c r="K37" s="18"/>
      <c r="L37" s="18"/>
      <c r="N37" s="18"/>
      <c r="O37" s="18"/>
      <c r="P37" s="18"/>
      <c r="Q37" s="18"/>
      <c r="R37" s="18"/>
      <c r="S37" s="18"/>
      <c r="T37" s="18"/>
      <c r="U37" s="18"/>
      <c r="V37" s="18"/>
      <c r="W37" s="18"/>
      <c r="X37" s="18"/>
      <c r="Y37" s="18"/>
      <c r="Z37" s="18"/>
      <c r="AA37" s="18"/>
      <c r="AB37" s="18"/>
      <c r="AC37" s="18"/>
      <c r="AD37" s="18"/>
      <c r="AE37" s="18"/>
      <c r="AF37" s="18"/>
      <c r="AG37" s="18"/>
      <c r="AH37" s="18"/>
      <c r="AI37" s="18"/>
      <c r="AJ37" s="18"/>
      <c r="AK37" s="18"/>
      <c r="AL37" s="18"/>
      <c r="AM37" s="18"/>
      <c r="AN37" s="18"/>
      <c r="AO37" s="18"/>
      <c r="AP37" s="18"/>
      <c r="AQ37" s="18"/>
      <c r="AR37" s="18"/>
      <c r="AS37" s="18"/>
      <c r="AT37" s="18"/>
      <c r="AU37" s="18"/>
      <c r="AV37" s="18"/>
      <c r="AW37" s="18"/>
      <c r="AX37" s="18"/>
      <c r="AY37" s="18"/>
      <c r="AZ37" s="18"/>
      <c r="BA37" s="18"/>
      <c r="BB37" s="18"/>
      <c r="BC37" s="18"/>
      <c r="BD37" s="18"/>
    </row>
    <row r="38" spans="1:56">
      <c r="A38" s="39"/>
      <c r="B38" s="39"/>
      <c r="C38" s="39"/>
      <c r="D38" s="39"/>
      <c r="E38" s="39"/>
      <c r="I38" s="18"/>
      <c r="J38" s="18"/>
      <c r="K38" s="18"/>
      <c r="L38" s="18"/>
      <c r="N38" s="18"/>
      <c r="O38" s="18"/>
      <c r="P38" s="18"/>
      <c r="Q38" s="18"/>
      <c r="R38" s="18"/>
      <c r="S38" s="18"/>
      <c r="T38" s="18"/>
      <c r="U38" s="18"/>
      <c r="V38" s="18"/>
      <c r="W38" s="18"/>
      <c r="X38" s="18"/>
      <c r="Y38" s="18"/>
      <c r="Z38" s="18"/>
      <c r="AA38" s="18"/>
      <c r="AB38" s="18"/>
      <c r="AC38" s="18"/>
      <c r="AD38" s="18"/>
      <c r="AE38" s="18"/>
      <c r="AF38" s="18"/>
      <c r="AG38" s="18"/>
      <c r="AH38" s="18"/>
      <c r="AI38" s="18"/>
      <c r="AJ38" s="18"/>
      <c r="AK38" s="18"/>
      <c r="AL38" s="18"/>
      <c r="AM38" s="18"/>
      <c r="AN38" s="18"/>
      <c r="AO38" s="18"/>
      <c r="AP38" s="18"/>
      <c r="AQ38" s="18"/>
      <c r="AR38" s="18"/>
      <c r="AS38" s="18"/>
      <c r="AT38" s="18"/>
      <c r="AU38" s="18"/>
      <c r="AV38" s="18"/>
      <c r="AW38" s="18"/>
      <c r="AX38" s="18"/>
      <c r="AY38" s="18"/>
      <c r="AZ38" s="18"/>
      <c r="BA38" s="18"/>
      <c r="BB38" s="18"/>
      <c r="BC38" s="18"/>
      <c r="BD38" s="18"/>
    </row>
    <row r="39" spans="1:56">
      <c r="A39" s="39"/>
      <c r="B39" s="39"/>
      <c r="C39" s="39"/>
      <c r="D39" s="39"/>
      <c r="E39" s="39"/>
      <c r="I39" s="18"/>
      <c r="J39" s="18"/>
      <c r="K39" s="18"/>
      <c r="L39" s="18"/>
      <c r="N39" s="18"/>
      <c r="O39" s="18"/>
      <c r="P39" s="18"/>
      <c r="Q39" s="18"/>
      <c r="R39" s="18"/>
      <c r="S39" s="18"/>
      <c r="T39" s="18"/>
      <c r="U39" s="18"/>
      <c r="V39" s="18"/>
      <c r="W39" s="18"/>
      <c r="X39" s="18"/>
      <c r="Y39" s="18"/>
      <c r="Z39" s="18"/>
      <c r="AA39" s="18"/>
      <c r="AB39" s="18"/>
      <c r="AC39" s="18"/>
      <c r="AD39" s="18"/>
      <c r="AE39" s="18"/>
      <c r="AF39" s="18"/>
      <c r="AG39" s="18"/>
      <c r="AH39" s="18"/>
      <c r="AI39" s="18"/>
      <c r="AJ39" s="18"/>
      <c r="AK39" s="18"/>
      <c r="AL39" s="18"/>
      <c r="AM39" s="18"/>
      <c r="AN39" s="18"/>
      <c r="AO39" s="18"/>
      <c r="AP39" s="18"/>
      <c r="AQ39" s="18"/>
      <c r="AR39" s="18"/>
      <c r="AS39" s="18"/>
      <c r="AT39" s="18"/>
      <c r="AU39" s="18"/>
      <c r="AV39" s="18"/>
      <c r="AW39" s="18"/>
      <c r="AX39" s="18"/>
      <c r="AY39" s="18"/>
      <c r="AZ39" s="18"/>
      <c r="BA39" s="18"/>
      <c r="BB39" s="18"/>
      <c r="BC39" s="18"/>
      <c r="BD39" s="18"/>
    </row>
    <row r="40" spans="1:56">
      <c r="A40" s="423" t="s">
        <v>1079</v>
      </c>
      <c r="B40" s="424"/>
      <c r="C40" s="424"/>
      <c r="D40" s="428"/>
      <c r="E40" s="39"/>
      <c r="I40" s="18"/>
      <c r="J40" s="18"/>
      <c r="K40" s="18"/>
      <c r="L40" s="18"/>
      <c r="N40" s="18"/>
      <c r="O40" s="18"/>
      <c r="P40" s="18"/>
      <c r="Q40" s="18"/>
      <c r="R40" s="18"/>
      <c r="S40" s="18"/>
      <c r="T40" s="18"/>
      <c r="U40" s="18"/>
      <c r="V40" s="18"/>
      <c r="W40" s="18"/>
      <c r="X40" s="18"/>
      <c r="Y40" s="18"/>
      <c r="Z40" s="18"/>
      <c r="AA40" s="18"/>
      <c r="AB40" s="18"/>
      <c r="AC40" s="18"/>
      <c r="AD40" s="18"/>
      <c r="AE40" s="18"/>
      <c r="AF40" s="18"/>
      <c r="AG40" s="18"/>
      <c r="AH40" s="18"/>
      <c r="AI40" s="18"/>
      <c r="AJ40" s="18"/>
      <c r="AK40" s="18"/>
      <c r="AL40" s="18"/>
      <c r="AM40" s="18"/>
      <c r="AN40" s="18"/>
      <c r="AO40" s="18"/>
      <c r="AP40" s="18"/>
      <c r="AQ40" s="18"/>
      <c r="AR40" s="18"/>
      <c r="AS40" s="18"/>
      <c r="AT40" s="18"/>
      <c r="AU40" s="18"/>
      <c r="AV40" s="18"/>
      <c r="AW40" s="18"/>
      <c r="AX40" s="18"/>
      <c r="AY40" s="18"/>
      <c r="AZ40" s="18"/>
      <c r="BA40" s="18"/>
      <c r="BB40" s="18"/>
      <c r="BC40" s="18"/>
      <c r="BD40" s="18"/>
    </row>
    <row r="41" spans="1:56" ht="45" customHeight="1">
      <c r="A41" s="22" t="s">
        <v>1063</v>
      </c>
      <c r="B41" s="23" t="s">
        <v>1064</v>
      </c>
      <c r="C41" s="23" t="s">
        <v>1065</v>
      </c>
      <c r="D41" s="23" t="s">
        <v>1066</v>
      </c>
      <c r="E41" s="39"/>
      <c r="I41" s="18"/>
      <c r="J41" s="18"/>
      <c r="K41" s="18"/>
      <c r="L41" s="18"/>
      <c r="N41" s="18"/>
      <c r="O41" s="18"/>
      <c r="P41" s="18"/>
      <c r="Q41" s="18"/>
      <c r="R41" s="18"/>
      <c r="S41" s="18"/>
      <c r="T41" s="18"/>
      <c r="U41" s="18"/>
      <c r="V41" s="18"/>
      <c r="W41" s="18"/>
      <c r="X41" s="18"/>
      <c r="Y41" s="18"/>
      <c r="Z41" s="18"/>
      <c r="AA41" s="18"/>
      <c r="AB41" s="18"/>
      <c r="AC41" s="18"/>
      <c r="AD41" s="18"/>
      <c r="AE41" s="18"/>
      <c r="AF41" s="18"/>
      <c r="AG41" s="18"/>
      <c r="AH41" s="18"/>
      <c r="AI41" s="18"/>
      <c r="AJ41" s="18"/>
      <c r="AK41" s="18"/>
      <c r="AL41" s="18"/>
      <c r="AM41" s="18"/>
      <c r="AN41" s="18"/>
      <c r="AO41" s="18"/>
      <c r="AP41" s="18"/>
      <c r="AQ41" s="18"/>
      <c r="AR41" s="18"/>
      <c r="AS41" s="18"/>
      <c r="AT41" s="18"/>
      <c r="AU41" s="18"/>
      <c r="AV41" s="18"/>
      <c r="AW41" s="18"/>
      <c r="AX41" s="18"/>
      <c r="AY41" s="18"/>
      <c r="AZ41" s="18"/>
      <c r="BA41" s="18"/>
      <c r="BB41" s="18"/>
      <c r="BC41" s="18"/>
      <c r="BD41" s="18"/>
    </row>
    <row r="42" spans="1:56">
      <c r="A42" s="25" t="s">
        <v>1068</v>
      </c>
      <c r="B42" s="26">
        <v>96</v>
      </c>
      <c r="C42" s="33">
        <v>14.6145833333333</v>
      </c>
      <c r="D42" s="33">
        <v>32.3854166666667</v>
      </c>
      <c r="E42" s="39"/>
      <c r="I42" s="18"/>
      <c r="J42" s="18"/>
      <c r="K42" s="18"/>
      <c r="L42" s="18"/>
      <c r="N42" s="18"/>
      <c r="O42" s="18"/>
      <c r="P42" s="18"/>
      <c r="Q42" s="18"/>
      <c r="R42" s="18"/>
      <c r="S42" s="18"/>
      <c r="T42" s="18"/>
      <c r="U42" s="18"/>
      <c r="V42" s="18"/>
      <c r="W42" s="18"/>
      <c r="X42" s="18"/>
      <c r="Y42" s="18"/>
      <c r="Z42" s="18"/>
      <c r="AA42" s="18"/>
      <c r="AB42" s="18"/>
      <c r="AC42" s="18"/>
      <c r="AD42" s="18"/>
      <c r="AE42" s="18"/>
      <c r="AF42" s="18"/>
      <c r="AG42" s="18"/>
      <c r="AH42" s="18"/>
      <c r="AI42" s="18"/>
      <c r="AJ42" s="18"/>
      <c r="AK42" s="18"/>
      <c r="AL42" s="18"/>
      <c r="AM42" s="18"/>
      <c r="AN42" s="18"/>
      <c r="AO42" s="18"/>
      <c r="AP42" s="18"/>
      <c r="AQ42" s="18"/>
      <c r="AR42" s="18"/>
      <c r="AS42" s="18"/>
      <c r="AT42" s="18"/>
      <c r="AU42" s="18"/>
      <c r="AV42" s="18"/>
      <c r="AW42" s="18"/>
      <c r="AX42" s="18"/>
      <c r="AY42" s="18"/>
      <c r="AZ42" s="18"/>
      <c r="BA42" s="18"/>
      <c r="BB42" s="18"/>
      <c r="BC42" s="18"/>
      <c r="BD42" s="18"/>
    </row>
    <row r="43" spans="1:56">
      <c r="A43" s="25" t="s">
        <v>1069</v>
      </c>
      <c r="B43" s="26">
        <v>5</v>
      </c>
      <c r="C43" s="33">
        <v>29</v>
      </c>
      <c r="D43" s="33">
        <v>57.6</v>
      </c>
      <c r="E43" s="39"/>
      <c r="I43" s="18"/>
      <c r="J43" s="18"/>
      <c r="K43" s="18"/>
      <c r="L43" s="18"/>
      <c r="N43" s="18"/>
      <c r="O43" s="18"/>
      <c r="P43" s="18"/>
      <c r="Q43" s="18"/>
      <c r="R43" s="18"/>
      <c r="S43" s="18"/>
      <c r="T43" s="18"/>
      <c r="U43" s="18"/>
      <c r="V43" s="18"/>
      <c r="W43" s="18"/>
      <c r="X43" s="18"/>
      <c r="Y43" s="18"/>
      <c r="Z43" s="18"/>
      <c r="AA43" s="18"/>
      <c r="AB43" s="18"/>
      <c r="AC43" s="18"/>
      <c r="AD43" s="18"/>
      <c r="AE43" s="18"/>
      <c r="AF43" s="18"/>
      <c r="AG43" s="18"/>
      <c r="AH43" s="18"/>
      <c r="AI43" s="18"/>
      <c r="AJ43" s="18"/>
      <c r="AK43" s="18"/>
      <c r="AL43" s="18"/>
      <c r="AM43" s="18"/>
      <c r="AN43" s="18"/>
      <c r="AO43" s="18"/>
      <c r="AP43" s="18"/>
      <c r="AQ43" s="18"/>
      <c r="AR43" s="18"/>
      <c r="AS43" s="18"/>
      <c r="AT43" s="18"/>
      <c r="AU43" s="18"/>
      <c r="AV43" s="18"/>
      <c r="AW43" s="18"/>
      <c r="AX43" s="18"/>
      <c r="AY43" s="18"/>
      <c r="AZ43" s="18"/>
      <c r="BA43" s="18"/>
      <c r="BB43" s="18"/>
      <c r="BC43" s="18"/>
      <c r="BD43" s="18"/>
    </row>
    <row r="44" spans="1:56">
      <c r="A44" s="25" t="s">
        <v>1070</v>
      </c>
      <c r="B44" s="26">
        <v>200</v>
      </c>
      <c r="C44" s="33">
        <v>12.205</v>
      </c>
      <c r="D44" s="33">
        <v>17.045000000000002</v>
      </c>
      <c r="E44" s="39"/>
      <c r="I44" s="18"/>
      <c r="J44" s="18"/>
      <c r="K44" s="18"/>
      <c r="L44" s="18"/>
      <c r="N44" s="18"/>
      <c r="O44" s="18"/>
      <c r="P44" s="18"/>
      <c r="Q44" s="18"/>
      <c r="R44" s="18"/>
      <c r="S44" s="18"/>
      <c r="T44" s="18"/>
      <c r="U44" s="18"/>
      <c r="V44" s="18"/>
      <c r="W44" s="18"/>
      <c r="X44" s="18"/>
      <c r="Y44" s="18"/>
      <c r="Z44" s="18"/>
      <c r="AA44" s="18"/>
      <c r="AB44" s="18"/>
      <c r="AC44" s="18"/>
      <c r="AD44" s="18"/>
      <c r="AE44" s="18"/>
      <c r="AF44" s="18"/>
      <c r="AG44" s="18"/>
      <c r="AH44" s="18"/>
      <c r="AI44" s="18"/>
      <c r="AJ44" s="18"/>
      <c r="AK44" s="18"/>
      <c r="AL44" s="18"/>
      <c r="AM44" s="18"/>
      <c r="AN44" s="18"/>
      <c r="AO44" s="18"/>
      <c r="AP44" s="18"/>
      <c r="AQ44" s="18"/>
      <c r="AR44" s="18"/>
      <c r="AS44" s="18"/>
      <c r="AT44" s="18"/>
      <c r="AU44" s="18"/>
      <c r="AV44" s="18"/>
      <c r="AW44" s="18"/>
      <c r="AX44" s="18"/>
      <c r="AY44" s="18"/>
      <c r="AZ44" s="18"/>
      <c r="BA44" s="18"/>
      <c r="BB44" s="18"/>
      <c r="BC44" s="18"/>
      <c r="BD44" s="18"/>
    </row>
    <row r="45" spans="1:56" ht="28.8">
      <c r="A45" s="27" t="s">
        <v>1071</v>
      </c>
      <c r="B45" s="26">
        <v>19</v>
      </c>
      <c r="C45" s="33">
        <v>4.1052631578947398</v>
      </c>
      <c r="D45" s="33">
        <v>26</v>
      </c>
      <c r="E45" s="39"/>
      <c r="I45" s="18"/>
      <c r="J45" s="18"/>
      <c r="K45" s="18"/>
      <c r="L45" s="18"/>
      <c r="N45" s="18"/>
      <c r="O45" s="18"/>
      <c r="P45" s="18"/>
      <c r="Q45" s="18"/>
      <c r="R45" s="18"/>
      <c r="S45" s="18"/>
      <c r="T45" s="18"/>
      <c r="U45" s="18"/>
      <c r="V45" s="18"/>
      <c r="W45" s="18"/>
      <c r="X45" s="18"/>
      <c r="Y45" s="18"/>
      <c r="Z45" s="18"/>
      <c r="AA45" s="18"/>
      <c r="AB45" s="18"/>
      <c r="AC45" s="18"/>
      <c r="AD45" s="18"/>
      <c r="AE45" s="18"/>
      <c r="AF45" s="18"/>
      <c r="AG45" s="18"/>
      <c r="AH45" s="18"/>
      <c r="AI45" s="18"/>
      <c r="AJ45" s="18"/>
      <c r="AK45" s="18"/>
      <c r="AL45" s="18"/>
      <c r="AM45" s="18"/>
      <c r="AN45" s="18"/>
      <c r="AO45" s="18"/>
      <c r="AP45" s="18"/>
      <c r="AQ45" s="18"/>
      <c r="AR45" s="18"/>
      <c r="AS45" s="18"/>
      <c r="AT45" s="18"/>
      <c r="AU45" s="18"/>
      <c r="AV45" s="18"/>
      <c r="AW45" s="18"/>
      <c r="AX45" s="18"/>
      <c r="AY45" s="18"/>
      <c r="AZ45" s="18"/>
      <c r="BA45" s="18"/>
      <c r="BB45" s="18"/>
      <c r="BC45" s="18"/>
      <c r="BD45" s="18"/>
    </row>
    <row r="46" spans="1:56">
      <c r="A46" s="25" t="s">
        <v>1072</v>
      </c>
      <c r="B46" s="26">
        <v>57</v>
      </c>
      <c r="C46" s="33">
        <v>43.210526315789501</v>
      </c>
      <c r="D46" s="33">
        <v>73.578947368421098</v>
      </c>
      <c r="E46" s="39"/>
      <c r="I46" s="18"/>
      <c r="J46" s="18"/>
      <c r="K46" s="18"/>
      <c r="L46" s="18"/>
      <c r="N46" s="18"/>
      <c r="O46" s="18"/>
      <c r="P46" s="18"/>
      <c r="Q46" s="18"/>
      <c r="R46" s="18"/>
      <c r="S46" s="18"/>
      <c r="T46" s="18"/>
      <c r="U46" s="18"/>
      <c r="V46" s="18"/>
      <c r="W46" s="18"/>
      <c r="X46" s="18"/>
      <c r="Y46" s="18"/>
      <c r="Z46" s="18"/>
      <c r="AA46" s="18"/>
      <c r="AB46" s="18"/>
      <c r="AC46" s="18"/>
      <c r="AD46" s="18"/>
      <c r="AE46" s="18"/>
      <c r="AF46" s="18"/>
      <c r="AG46" s="18"/>
      <c r="AH46" s="18"/>
      <c r="AI46" s="18"/>
      <c r="AJ46" s="18"/>
      <c r="AK46" s="18"/>
      <c r="AL46" s="18"/>
      <c r="AM46" s="18"/>
      <c r="AN46" s="18"/>
      <c r="AO46" s="18"/>
      <c r="AP46" s="18"/>
      <c r="AQ46" s="18"/>
      <c r="AR46" s="18"/>
      <c r="AS46" s="18"/>
      <c r="AT46" s="18"/>
      <c r="AU46" s="18"/>
      <c r="AV46" s="18"/>
      <c r="AW46" s="18"/>
      <c r="AX46" s="18"/>
      <c r="AY46" s="18"/>
      <c r="AZ46" s="18"/>
      <c r="BA46" s="18"/>
      <c r="BB46" s="18"/>
      <c r="BC46" s="18"/>
      <c r="BD46" s="18"/>
    </row>
    <row r="47" spans="1:56">
      <c r="A47" s="28" t="s">
        <v>1059</v>
      </c>
      <c r="B47" s="29">
        <v>377</v>
      </c>
      <c r="C47" s="38">
        <v>17.320954907161799</v>
      </c>
      <c r="D47" s="38">
        <v>30.488063660477501</v>
      </c>
      <c r="E47" s="39"/>
      <c r="I47" s="18"/>
      <c r="J47" s="18"/>
      <c r="K47" s="18"/>
      <c r="L47" s="18"/>
      <c r="N47" s="18"/>
      <c r="O47" s="18"/>
      <c r="P47" s="18"/>
      <c r="Q47" s="18"/>
      <c r="R47" s="18"/>
      <c r="S47" s="18"/>
      <c r="T47" s="18"/>
      <c r="U47" s="18"/>
      <c r="V47" s="18"/>
      <c r="W47" s="18"/>
      <c r="X47" s="18"/>
      <c r="Y47" s="18"/>
      <c r="Z47" s="18"/>
      <c r="AA47" s="18"/>
      <c r="AB47" s="18"/>
      <c r="AC47" s="18"/>
      <c r="AD47" s="18"/>
      <c r="AE47" s="18"/>
      <c r="AF47" s="18"/>
      <c r="AG47" s="18"/>
      <c r="AH47" s="18"/>
      <c r="AI47" s="18"/>
      <c r="AJ47" s="18"/>
      <c r="AK47" s="18"/>
      <c r="AL47" s="18"/>
      <c r="AM47" s="18"/>
      <c r="AN47" s="18"/>
      <c r="AO47" s="18"/>
      <c r="AP47" s="18"/>
      <c r="AQ47" s="18"/>
      <c r="AR47" s="18"/>
      <c r="AS47" s="18"/>
      <c r="AT47" s="18"/>
      <c r="AU47" s="18"/>
      <c r="AV47" s="18"/>
      <c r="AW47" s="18"/>
      <c r="AX47" s="18"/>
      <c r="AY47" s="18"/>
      <c r="AZ47" s="18"/>
      <c r="BA47" s="18"/>
      <c r="BB47" s="18"/>
      <c r="BC47" s="18"/>
      <c r="BD47" s="18"/>
    </row>
    <row r="48" spans="1:56">
      <c r="E48" s="39"/>
      <c r="I48" s="18"/>
      <c r="J48" s="18"/>
      <c r="K48" s="18"/>
      <c r="L48" s="18"/>
      <c r="N48" s="18"/>
      <c r="O48" s="18"/>
      <c r="P48" s="18"/>
      <c r="Q48" s="18"/>
      <c r="R48" s="18"/>
      <c r="S48" s="18"/>
      <c r="T48" s="18"/>
      <c r="U48" s="18"/>
      <c r="V48" s="18"/>
      <c r="W48" s="18"/>
      <c r="X48" s="18"/>
      <c r="Y48" s="18"/>
      <c r="Z48" s="18"/>
      <c r="AA48" s="18"/>
      <c r="AB48" s="18"/>
      <c r="AC48" s="18"/>
      <c r="AD48" s="18"/>
      <c r="AE48" s="18"/>
      <c r="AF48" s="18"/>
      <c r="AG48" s="18"/>
      <c r="AH48" s="18"/>
      <c r="AI48" s="18"/>
      <c r="AJ48" s="18"/>
      <c r="AK48" s="18"/>
      <c r="AL48" s="18"/>
      <c r="AM48" s="18"/>
      <c r="AN48" s="18"/>
      <c r="AO48" s="18"/>
      <c r="AP48" s="18"/>
      <c r="AQ48" s="18"/>
      <c r="AR48" s="18"/>
      <c r="AS48" s="18"/>
      <c r="AT48" s="18"/>
      <c r="AU48" s="18"/>
      <c r="AV48" s="18"/>
      <c r="AW48" s="18"/>
      <c r="AX48" s="18"/>
      <c r="AY48" s="18"/>
      <c r="AZ48" s="18"/>
      <c r="BA48" s="18"/>
      <c r="BB48" s="18"/>
      <c r="BC48" s="18"/>
      <c r="BD48" s="18"/>
    </row>
    <row r="49" spans="1:56">
      <c r="A49" s="39" t="s">
        <v>1080</v>
      </c>
      <c r="B49" s="39"/>
      <c r="C49" s="39"/>
      <c r="D49" s="39"/>
      <c r="E49" s="39"/>
      <c r="I49" s="18"/>
      <c r="J49" s="18"/>
      <c r="K49" s="18"/>
      <c r="L49" s="18"/>
      <c r="N49" s="18"/>
      <c r="O49" s="18"/>
      <c r="P49" s="18"/>
      <c r="Q49" s="18"/>
      <c r="R49" s="18"/>
      <c r="S49" s="18"/>
      <c r="T49" s="18"/>
      <c r="U49" s="18"/>
      <c r="V49" s="18"/>
      <c r="W49" s="18"/>
      <c r="X49" s="18"/>
      <c r="Y49" s="18"/>
      <c r="Z49" s="18"/>
      <c r="AA49" s="18"/>
      <c r="AB49" s="18"/>
      <c r="AC49" s="18"/>
      <c r="AD49" s="18"/>
      <c r="AE49" s="18"/>
      <c r="AF49" s="18"/>
      <c r="AG49" s="18"/>
      <c r="AH49" s="18"/>
      <c r="AI49" s="18"/>
      <c r="AJ49" s="18"/>
      <c r="AK49" s="18"/>
      <c r="AL49" s="18"/>
      <c r="AM49" s="18"/>
      <c r="AN49" s="18"/>
      <c r="AO49" s="18"/>
      <c r="AP49" s="18"/>
      <c r="AQ49" s="18"/>
      <c r="AR49" s="18"/>
      <c r="AS49" s="18"/>
      <c r="AT49" s="18"/>
      <c r="AU49" s="18"/>
      <c r="AV49" s="18"/>
      <c r="AW49" s="18"/>
      <c r="AX49" s="18"/>
      <c r="AY49" s="18"/>
      <c r="AZ49" s="18"/>
      <c r="BA49" s="18"/>
      <c r="BB49" s="18"/>
      <c r="BC49" s="18"/>
      <c r="BD49" s="18"/>
    </row>
    <row r="50" spans="1:56">
      <c r="A50" s="39"/>
      <c r="B50" s="39"/>
      <c r="C50" s="39"/>
      <c r="D50" s="39"/>
      <c r="E50" s="39"/>
      <c r="I50" s="18"/>
      <c r="J50" s="18"/>
      <c r="K50" s="18"/>
      <c r="L50" s="18"/>
      <c r="N50" s="18"/>
      <c r="O50" s="18"/>
      <c r="P50" s="18"/>
      <c r="Q50" s="18"/>
      <c r="R50" s="18"/>
      <c r="S50" s="18"/>
      <c r="T50" s="18"/>
      <c r="U50" s="18"/>
      <c r="V50" s="18"/>
      <c r="W50" s="18"/>
      <c r="X50" s="18"/>
      <c r="Y50" s="18"/>
      <c r="Z50" s="18"/>
      <c r="AA50" s="18"/>
      <c r="AB50" s="18"/>
      <c r="AC50" s="18"/>
      <c r="AD50" s="18"/>
      <c r="AE50" s="18"/>
      <c r="AF50" s="18"/>
      <c r="AG50" s="18"/>
      <c r="AH50" s="18"/>
      <c r="AI50" s="18"/>
      <c r="AJ50" s="18"/>
      <c r="AK50" s="18"/>
      <c r="AL50" s="18"/>
      <c r="AM50" s="18"/>
      <c r="AN50" s="18"/>
      <c r="AO50" s="18"/>
      <c r="AP50" s="18"/>
      <c r="AQ50" s="18"/>
      <c r="AR50" s="18"/>
      <c r="AS50" s="18"/>
      <c r="AT50" s="18"/>
      <c r="AU50" s="18"/>
      <c r="AV50" s="18"/>
      <c r="AW50" s="18"/>
      <c r="AX50" s="18"/>
      <c r="AY50" s="18"/>
      <c r="AZ50" s="18"/>
      <c r="BA50" s="18"/>
      <c r="BB50" s="18"/>
      <c r="BC50" s="18"/>
      <c r="BD50" s="18"/>
    </row>
    <row r="51" spans="1:56">
      <c r="A51" s="39"/>
      <c r="B51" s="39"/>
      <c r="C51" s="39"/>
      <c r="D51" s="39"/>
      <c r="E51" s="39"/>
      <c r="I51" s="18"/>
      <c r="J51" s="18"/>
      <c r="K51" s="18"/>
      <c r="L51" s="18"/>
      <c r="N51" s="18"/>
      <c r="O51" s="18"/>
      <c r="P51" s="18"/>
      <c r="Q51" s="18"/>
      <c r="R51" s="18"/>
      <c r="S51" s="18"/>
      <c r="T51" s="18"/>
      <c r="U51" s="18"/>
      <c r="V51" s="18"/>
      <c r="W51" s="18"/>
      <c r="X51" s="18"/>
      <c r="Y51" s="18"/>
      <c r="Z51" s="18"/>
      <c r="AA51" s="18"/>
      <c r="AB51" s="18"/>
      <c r="AC51" s="18"/>
      <c r="AD51" s="18"/>
      <c r="AE51" s="18"/>
      <c r="AF51" s="18"/>
      <c r="AG51" s="18"/>
      <c r="AH51" s="18"/>
      <c r="AI51" s="18"/>
      <c r="AJ51" s="18"/>
      <c r="AK51" s="18"/>
      <c r="AL51" s="18"/>
      <c r="AM51" s="18"/>
      <c r="AN51" s="18"/>
      <c r="AO51" s="18"/>
      <c r="AP51" s="18"/>
      <c r="AQ51" s="18"/>
      <c r="AR51" s="18"/>
      <c r="AS51" s="18"/>
      <c r="AT51" s="18"/>
      <c r="AU51" s="18"/>
      <c r="AV51" s="18"/>
      <c r="AW51" s="18"/>
      <c r="AX51" s="18"/>
      <c r="AY51" s="18"/>
      <c r="AZ51" s="18"/>
      <c r="BA51" s="18"/>
      <c r="BB51" s="18"/>
      <c r="BC51" s="18"/>
      <c r="BD51" s="18"/>
    </row>
    <row r="52" spans="1:56">
      <c r="A52" s="423" t="s">
        <v>1081</v>
      </c>
      <c r="B52" s="424"/>
      <c r="C52" s="424"/>
      <c r="D52" s="428"/>
      <c r="E52" s="39"/>
      <c r="I52" s="18"/>
      <c r="J52" s="18"/>
      <c r="K52" s="18"/>
      <c r="L52" s="18"/>
      <c r="N52" s="18"/>
      <c r="O52" s="18"/>
      <c r="P52" s="18"/>
      <c r="Q52" s="18"/>
      <c r="R52" s="18"/>
      <c r="S52" s="18"/>
      <c r="T52" s="18"/>
      <c r="U52" s="18"/>
      <c r="V52" s="18"/>
      <c r="W52" s="18"/>
      <c r="X52" s="18"/>
      <c r="Y52" s="18"/>
      <c r="Z52" s="18"/>
      <c r="AA52" s="18"/>
      <c r="AB52" s="18"/>
      <c r="AC52" s="18"/>
      <c r="AD52" s="18"/>
      <c r="AE52" s="18"/>
      <c r="AF52" s="18"/>
      <c r="AG52" s="18"/>
      <c r="AH52" s="18"/>
      <c r="AI52" s="18"/>
      <c r="AJ52" s="18"/>
      <c r="AK52" s="18"/>
      <c r="AL52" s="18"/>
      <c r="AM52" s="18"/>
      <c r="AN52" s="18"/>
      <c r="AO52" s="18"/>
      <c r="AP52" s="18"/>
      <c r="AQ52" s="18"/>
      <c r="AR52" s="18"/>
      <c r="AS52" s="18"/>
      <c r="AT52" s="18"/>
      <c r="AU52" s="18"/>
      <c r="AV52" s="18"/>
      <c r="AW52" s="18"/>
      <c r="AX52" s="18"/>
      <c r="AY52" s="18"/>
      <c r="AZ52" s="18"/>
      <c r="BA52" s="18"/>
      <c r="BB52" s="18"/>
      <c r="BC52" s="18"/>
      <c r="BD52" s="18"/>
    </row>
    <row r="53" spans="1:56" ht="28.8">
      <c r="A53" s="22" t="s">
        <v>1063</v>
      </c>
      <c r="B53" s="23" t="s">
        <v>1064</v>
      </c>
      <c r="C53" s="23" t="s">
        <v>1065</v>
      </c>
      <c r="D53" s="23" t="s">
        <v>1066</v>
      </c>
      <c r="E53" s="39"/>
      <c r="I53" s="18"/>
      <c r="J53" s="18"/>
      <c r="K53" s="18"/>
      <c r="L53" s="18"/>
      <c r="N53" s="18"/>
      <c r="O53" s="18"/>
      <c r="P53" s="18"/>
      <c r="Q53" s="18"/>
      <c r="R53" s="18"/>
      <c r="S53" s="18"/>
      <c r="T53" s="18"/>
      <c r="U53" s="18"/>
      <c r="V53" s="18"/>
      <c r="W53" s="18"/>
      <c r="X53" s="18"/>
      <c r="Y53" s="18"/>
      <c r="Z53" s="18"/>
      <c r="AA53" s="18"/>
      <c r="AB53" s="18"/>
      <c r="AC53" s="18"/>
      <c r="AD53" s="18"/>
      <c r="AE53" s="18"/>
      <c r="AF53" s="18"/>
      <c r="AG53" s="18"/>
      <c r="AH53" s="18"/>
      <c r="AI53" s="18"/>
      <c r="AJ53" s="18"/>
      <c r="AK53" s="18"/>
      <c r="AL53" s="18"/>
      <c r="AM53" s="18"/>
      <c r="AN53" s="18"/>
      <c r="AO53" s="18"/>
      <c r="AP53" s="18"/>
      <c r="AQ53" s="18"/>
      <c r="AR53" s="18"/>
      <c r="AS53" s="18"/>
      <c r="AT53" s="18"/>
      <c r="AU53" s="18"/>
      <c r="AV53" s="18"/>
      <c r="AW53" s="18"/>
      <c r="AX53" s="18"/>
      <c r="AY53" s="18"/>
      <c r="AZ53" s="18"/>
      <c r="BA53" s="18"/>
      <c r="BB53" s="18"/>
      <c r="BC53" s="18"/>
      <c r="BD53" s="18"/>
    </row>
    <row r="54" spans="1:56">
      <c r="A54" s="25" t="s">
        <v>1068</v>
      </c>
      <c r="B54" s="26">
        <v>110</v>
      </c>
      <c r="C54" s="26">
        <v>14</v>
      </c>
      <c r="D54" s="33">
        <v>34.390909090909098</v>
      </c>
      <c r="E54" s="39"/>
      <c r="I54" s="18"/>
      <c r="J54" s="18"/>
      <c r="K54" s="18"/>
      <c r="L54" s="18"/>
      <c r="N54" s="18"/>
      <c r="O54" s="18"/>
      <c r="P54" s="18"/>
      <c r="Q54" s="18"/>
      <c r="R54" s="18"/>
      <c r="S54" s="18"/>
      <c r="T54" s="18"/>
      <c r="U54" s="18"/>
      <c r="V54" s="18"/>
      <c r="W54" s="18"/>
      <c r="X54" s="18"/>
      <c r="Y54" s="18"/>
      <c r="Z54" s="18"/>
      <c r="AA54" s="18"/>
      <c r="AB54" s="18"/>
      <c r="AC54" s="18"/>
      <c r="AD54" s="18"/>
      <c r="AE54" s="18"/>
      <c r="AF54" s="18"/>
      <c r="AG54" s="18"/>
      <c r="AH54" s="18"/>
      <c r="AI54" s="18"/>
      <c r="AJ54" s="18"/>
      <c r="AK54" s="18"/>
      <c r="AL54" s="18"/>
      <c r="AM54" s="18"/>
      <c r="AN54" s="18"/>
      <c r="AO54" s="18"/>
      <c r="AP54" s="18"/>
      <c r="AQ54" s="18"/>
      <c r="AR54" s="18"/>
      <c r="AS54" s="18"/>
      <c r="AT54" s="18"/>
      <c r="AU54" s="18"/>
      <c r="AV54" s="18"/>
      <c r="AW54" s="18"/>
      <c r="AX54" s="18"/>
      <c r="AY54" s="18"/>
      <c r="AZ54" s="18"/>
      <c r="BA54" s="18"/>
      <c r="BB54" s="18"/>
      <c r="BC54" s="18"/>
      <c r="BD54" s="18"/>
    </row>
    <row r="55" spans="1:56">
      <c r="A55" s="25" t="s">
        <v>1069</v>
      </c>
      <c r="B55" s="26">
        <v>13</v>
      </c>
      <c r="C55" s="33">
        <v>20.461538461538499</v>
      </c>
      <c r="D55" s="26">
        <v>31</v>
      </c>
      <c r="E55" s="39"/>
      <c r="I55" s="18"/>
      <c r="J55" s="18"/>
      <c r="K55" s="18"/>
      <c r="L55" s="18"/>
      <c r="N55" s="18"/>
      <c r="O55" s="18"/>
      <c r="P55" s="18"/>
      <c r="Q55" s="18"/>
      <c r="R55" s="18"/>
      <c r="S55" s="18"/>
      <c r="T55" s="18"/>
      <c r="U55" s="18"/>
      <c r="V55" s="18"/>
      <c r="W55" s="18"/>
      <c r="X55" s="18"/>
      <c r="Y55" s="18"/>
      <c r="Z55" s="18"/>
      <c r="AA55" s="18"/>
      <c r="AB55" s="18"/>
      <c r="AC55" s="18"/>
      <c r="AD55" s="18"/>
      <c r="AE55" s="18"/>
      <c r="AF55" s="18"/>
      <c r="AG55" s="18"/>
      <c r="AH55" s="18"/>
      <c r="AI55" s="18"/>
      <c r="AJ55" s="18"/>
      <c r="AK55" s="18"/>
      <c r="AL55" s="18"/>
      <c r="AM55" s="18"/>
      <c r="AN55" s="18"/>
      <c r="AO55" s="18"/>
      <c r="AP55" s="18"/>
      <c r="AQ55" s="18"/>
      <c r="AR55" s="18"/>
      <c r="AS55" s="18"/>
      <c r="AT55" s="18"/>
      <c r="AU55" s="18"/>
      <c r="AV55" s="18"/>
      <c r="AW55" s="18"/>
      <c r="AX55" s="18"/>
      <c r="AY55" s="18"/>
      <c r="AZ55" s="18"/>
      <c r="BA55" s="18"/>
      <c r="BB55" s="18"/>
      <c r="BC55" s="18"/>
      <c r="BD55" s="18"/>
    </row>
    <row r="56" spans="1:56">
      <c r="A56" s="25" t="s">
        <v>1070</v>
      </c>
      <c r="B56" s="26">
        <v>178</v>
      </c>
      <c r="C56" s="33">
        <v>10.258426966292101</v>
      </c>
      <c r="D56" s="33">
        <v>18.7134831460674</v>
      </c>
      <c r="E56" s="39"/>
      <c r="I56" s="18"/>
      <c r="J56" s="18"/>
      <c r="K56" s="18"/>
      <c r="L56" s="18"/>
      <c r="N56" s="18"/>
      <c r="O56" s="18"/>
      <c r="P56" s="18"/>
      <c r="Q56" s="18"/>
      <c r="R56" s="18"/>
      <c r="S56" s="18"/>
      <c r="T56" s="18"/>
      <c r="U56" s="18"/>
      <c r="V56" s="18"/>
      <c r="W56" s="18"/>
      <c r="X56" s="18"/>
      <c r="Y56" s="18"/>
      <c r="Z56" s="18"/>
      <c r="AA56" s="18"/>
      <c r="AB56" s="18"/>
      <c r="AC56" s="18"/>
      <c r="AD56" s="18"/>
      <c r="AE56" s="18"/>
      <c r="AF56" s="18"/>
      <c r="AG56" s="18"/>
      <c r="AH56" s="18"/>
      <c r="AI56" s="18"/>
      <c r="AJ56" s="18"/>
      <c r="AK56" s="18"/>
      <c r="AL56" s="18"/>
      <c r="AM56" s="18"/>
      <c r="AN56" s="18"/>
      <c r="AO56" s="18"/>
      <c r="AP56" s="18"/>
      <c r="AQ56" s="18"/>
      <c r="AR56" s="18"/>
      <c r="AS56" s="18"/>
      <c r="AT56" s="18"/>
      <c r="AU56" s="18"/>
      <c r="AV56" s="18"/>
      <c r="AW56" s="18"/>
      <c r="AX56" s="18"/>
      <c r="AY56" s="18"/>
      <c r="AZ56" s="18"/>
      <c r="BA56" s="18"/>
      <c r="BB56" s="18"/>
      <c r="BC56" s="18"/>
      <c r="BD56" s="18"/>
    </row>
    <row r="57" spans="1:56" ht="28.8">
      <c r="A57" s="27" t="s">
        <v>1071</v>
      </c>
      <c r="B57" s="26">
        <v>17</v>
      </c>
      <c r="C57" s="33">
        <v>8.0588235294117592</v>
      </c>
      <c r="D57" s="33">
        <v>15.647058823529401</v>
      </c>
      <c r="E57" s="39"/>
      <c r="I57" s="18"/>
      <c r="J57" s="18"/>
      <c r="K57" s="18"/>
      <c r="L57" s="18"/>
      <c r="N57" s="18"/>
      <c r="O57" s="18"/>
      <c r="P57" s="18"/>
      <c r="Q57" s="18"/>
      <c r="R57" s="18"/>
      <c r="S57" s="18"/>
      <c r="T57" s="18"/>
      <c r="U57" s="18"/>
      <c r="V57" s="18"/>
      <c r="W57" s="18"/>
      <c r="X57" s="18"/>
      <c r="Y57" s="18"/>
      <c r="Z57" s="18"/>
      <c r="AA57" s="18"/>
      <c r="AB57" s="18"/>
      <c r="AC57" s="18"/>
      <c r="AD57" s="18"/>
      <c r="AE57" s="18"/>
      <c r="AF57" s="18"/>
      <c r="AG57" s="18"/>
      <c r="AH57" s="18"/>
      <c r="AI57" s="18"/>
      <c r="AJ57" s="18"/>
      <c r="AK57" s="18"/>
      <c r="AL57" s="18"/>
      <c r="AM57" s="18"/>
      <c r="AN57" s="18"/>
      <c r="AO57" s="18"/>
      <c r="AP57" s="18"/>
      <c r="AQ57" s="18"/>
      <c r="AR57" s="18"/>
      <c r="AS57" s="18"/>
      <c r="AT57" s="18"/>
      <c r="AU57" s="18"/>
      <c r="AV57" s="18"/>
      <c r="AW57" s="18"/>
      <c r="AX57" s="18"/>
      <c r="AY57" s="18"/>
      <c r="AZ57" s="18"/>
      <c r="BA57" s="18"/>
      <c r="BB57" s="18"/>
      <c r="BC57" s="18"/>
      <c r="BD57" s="18"/>
    </row>
    <row r="58" spans="1:56">
      <c r="A58" s="25" t="s">
        <v>1072</v>
      </c>
      <c r="B58" s="26">
        <v>55</v>
      </c>
      <c r="C58" s="33">
        <v>62.181818181818201</v>
      </c>
      <c r="D58" s="33">
        <v>90.618181818181796</v>
      </c>
      <c r="E58" s="39"/>
      <c r="I58" s="18"/>
      <c r="J58" s="18"/>
      <c r="K58" s="18"/>
      <c r="L58" s="18"/>
      <c r="N58" s="18"/>
      <c r="O58" s="18"/>
      <c r="P58" s="18"/>
      <c r="Q58" s="18"/>
      <c r="R58" s="18"/>
      <c r="S58" s="18"/>
      <c r="T58" s="18"/>
      <c r="U58" s="18"/>
      <c r="V58" s="18"/>
      <c r="W58" s="18"/>
      <c r="X58" s="18"/>
      <c r="Y58" s="18"/>
      <c r="Z58" s="18"/>
      <c r="AA58" s="18"/>
      <c r="AB58" s="18"/>
      <c r="AC58" s="18"/>
      <c r="AD58" s="18"/>
      <c r="AE58" s="18"/>
      <c r="AF58" s="18"/>
      <c r="AG58" s="18"/>
      <c r="AH58" s="18"/>
      <c r="AI58" s="18"/>
      <c r="AJ58" s="18"/>
      <c r="AK58" s="18"/>
      <c r="AL58" s="18"/>
      <c r="AM58" s="18"/>
      <c r="AN58" s="18"/>
      <c r="AO58" s="18"/>
      <c r="AP58" s="18"/>
      <c r="AQ58" s="18"/>
      <c r="AR58" s="18"/>
      <c r="AS58" s="18"/>
      <c r="AT58" s="18"/>
      <c r="AU58" s="18"/>
      <c r="AV58" s="18"/>
      <c r="AW58" s="18"/>
      <c r="AX58" s="18"/>
      <c r="AY58" s="18"/>
      <c r="AZ58" s="18"/>
      <c r="BA58" s="18"/>
      <c r="BB58" s="18"/>
      <c r="BC58" s="18"/>
      <c r="BD58" s="18"/>
    </row>
    <row r="59" spans="1:56">
      <c r="A59" s="28" t="s">
        <v>1059</v>
      </c>
      <c r="B59" s="29">
        <v>373</v>
      </c>
      <c r="C59" s="38">
        <v>19.273458445040198</v>
      </c>
      <c r="D59" s="38">
        <v>34.227882037533497</v>
      </c>
      <c r="E59" s="39"/>
      <c r="I59" s="18"/>
      <c r="J59" s="18"/>
      <c r="K59" s="18"/>
      <c r="L59" s="18"/>
      <c r="N59" s="18"/>
      <c r="O59" s="18"/>
      <c r="P59" s="18"/>
      <c r="Q59" s="18"/>
      <c r="R59" s="18"/>
      <c r="S59" s="18"/>
      <c r="T59" s="18"/>
      <c r="U59" s="18"/>
      <c r="V59" s="18"/>
      <c r="W59" s="18"/>
      <c r="X59" s="18"/>
      <c r="Y59" s="18"/>
      <c r="Z59" s="18"/>
      <c r="AA59" s="18"/>
      <c r="AB59" s="18"/>
      <c r="AC59" s="18"/>
      <c r="AD59" s="18"/>
      <c r="AE59" s="18"/>
      <c r="AF59" s="18"/>
      <c r="AG59" s="18"/>
      <c r="AH59" s="18"/>
      <c r="AI59" s="18"/>
      <c r="AJ59" s="18"/>
      <c r="AK59" s="18"/>
      <c r="AL59" s="18"/>
      <c r="AM59" s="18"/>
      <c r="AN59" s="18"/>
      <c r="AO59" s="18"/>
      <c r="AP59" s="18"/>
      <c r="AQ59" s="18"/>
      <c r="AR59" s="18"/>
      <c r="AS59" s="18"/>
      <c r="AT59" s="18"/>
      <c r="AU59" s="18"/>
      <c r="AV59" s="18"/>
      <c r="AW59" s="18"/>
      <c r="AX59" s="18"/>
      <c r="AY59" s="18"/>
      <c r="AZ59" s="18"/>
      <c r="BA59" s="18"/>
      <c r="BB59" s="18"/>
      <c r="BC59" s="18"/>
      <c r="BD59" s="18"/>
    </row>
    <row r="60" spans="1:56">
      <c r="E60" s="39"/>
      <c r="I60" s="18"/>
      <c r="J60" s="18"/>
      <c r="K60" s="18"/>
      <c r="L60" s="18"/>
      <c r="N60" s="18"/>
      <c r="O60" s="18"/>
      <c r="P60" s="18"/>
      <c r="Q60" s="18"/>
      <c r="R60" s="18"/>
      <c r="S60" s="18"/>
      <c r="T60" s="18"/>
      <c r="U60" s="18"/>
      <c r="V60" s="18"/>
      <c r="W60" s="18"/>
      <c r="X60" s="18"/>
      <c r="Y60" s="18"/>
      <c r="Z60" s="18"/>
      <c r="AA60" s="18"/>
      <c r="AB60" s="18"/>
      <c r="AC60" s="18"/>
      <c r="AD60" s="18"/>
      <c r="AE60" s="18"/>
      <c r="AF60" s="18"/>
      <c r="AG60" s="18"/>
      <c r="AH60" s="18"/>
      <c r="AI60" s="18"/>
      <c r="AJ60" s="18"/>
      <c r="AK60" s="18"/>
      <c r="AL60" s="18"/>
      <c r="AM60" s="18"/>
      <c r="AN60" s="18"/>
      <c r="AO60" s="18"/>
      <c r="AP60" s="18"/>
      <c r="AQ60" s="18"/>
      <c r="AR60" s="18"/>
      <c r="AS60" s="18"/>
      <c r="AT60" s="18"/>
      <c r="AU60" s="18"/>
      <c r="AV60" s="18"/>
      <c r="AW60" s="18"/>
      <c r="AX60" s="18"/>
      <c r="AY60" s="18"/>
      <c r="AZ60" s="18"/>
      <c r="BA60" s="18"/>
      <c r="BB60" s="18"/>
      <c r="BC60" s="18"/>
      <c r="BD60" s="18"/>
    </row>
    <row r="61" spans="1:56">
      <c r="A61" s="39" t="s">
        <v>1082</v>
      </c>
      <c r="B61" s="39"/>
      <c r="C61" s="39"/>
      <c r="D61" s="39"/>
      <c r="E61" s="39"/>
      <c r="I61" s="18"/>
      <c r="J61" s="18"/>
      <c r="K61" s="18"/>
      <c r="L61" s="18"/>
      <c r="N61" s="18"/>
      <c r="O61" s="18"/>
      <c r="P61" s="18"/>
      <c r="Q61" s="18"/>
      <c r="R61" s="18"/>
      <c r="S61" s="18"/>
      <c r="T61" s="18"/>
      <c r="U61" s="18"/>
      <c r="V61" s="18"/>
      <c r="W61" s="18"/>
      <c r="X61" s="18"/>
      <c r="Y61" s="18"/>
      <c r="Z61" s="18"/>
      <c r="AA61" s="18"/>
      <c r="AB61" s="18"/>
      <c r="AC61" s="18"/>
      <c r="AD61" s="18"/>
      <c r="AE61" s="18"/>
      <c r="AF61" s="18"/>
      <c r="AG61" s="18"/>
      <c r="AH61" s="18"/>
      <c r="AI61" s="18"/>
      <c r="AJ61" s="18"/>
      <c r="AK61" s="18"/>
      <c r="AL61" s="18"/>
      <c r="AM61" s="18"/>
      <c r="AN61" s="18"/>
      <c r="AO61" s="18"/>
      <c r="AP61" s="18"/>
      <c r="AQ61" s="18"/>
      <c r="AR61" s="18"/>
      <c r="AS61" s="18"/>
      <c r="AT61" s="18"/>
      <c r="AU61" s="18"/>
      <c r="AV61" s="18"/>
      <c r="AW61" s="18"/>
      <c r="AX61" s="18"/>
      <c r="AY61" s="18"/>
      <c r="AZ61" s="18"/>
      <c r="BA61" s="18"/>
      <c r="BB61" s="18"/>
      <c r="BC61" s="18"/>
      <c r="BD61" s="18"/>
    </row>
    <row r="62" spans="1:56">
      <c r="A62" s="39"/>
      <c r="B62" s="39"/>
      <c r="C62" s="39"/>
      <c r="D62" s="39"/>
      <c r="E62" s="39"/>
      <c r="I62" s="18"/>
      <c r="J62" s="18"/>
      <c r="K62" s="18"/>
      <c r="L62" s="18"/>
      <c r="N62" s="18"/>
      <c r="O62" s="18"/>
      <c r="P62" s="18"/>
      <c r="Q62" s="18"/>
      <c r="R62" s="18"/>
      <c r="S62" s="18"/>
      <c r="T62" s="18"/>
      <c r="U62" s="18"/>
      <c r="V62" s="18"/>
      <c r="W62" s="18"/>
      <c r="X62" s="18"/>
      <c r="Y62" s="18"/>
      <c r="Z62" s="18"/>
      <c r="AA62" s="18"/>
      <c r="AB62" s="18"/>
      <c r="AC62" s="18"/>
      <c r="AD62" s="18"/>
      <c r="AE62" s="18"/>
      <c r="AF62" s="18"/>
      <c r="AG62" s="18"/>
      <c r="AH62" s="18"/>
      <c r="AI62" s="18"/>
      <c r="AJ62" s="18"/>
      <c r="AK62" s="18"/>
      <c r="AL62" s="18"/>
      <c r="AM62" s="18"/>
      <c r="AN62" s="18"/>
      <c r="AO62" s="18"/>
      <c r="AP62" s="18"/>
      <c r="AQ62" s="18"/>
      <c r="AR62" s="18"/>
      <c r="AS62" s="18"/>
      <c r="AT62" s="18"/>
      <c r="AU62" s="18"/>
      <c r="AV62" s="18"/>
      <c r="AW62" s="18"/>
      <c r="AX62" s="18"/>
      <c r="AY62" s="18"/>
      <c r="AZ62" s="18"/>
      <c r="BA62" s="18"/>
      <c r="BB62" s="18"/>
      <c r="BC62" s="18"/>
      <c r="BD62" s="18"/>
    </row>
    <row r="63" spans="1:56">
      <c r="A63" s="39"/>
      <c r="B63" s="39"/>
      <c r="C63" s="39"/>
      <c r="D63" s="39"/>
      <c r="E63" s="39"/>
      <c r="I63" s="18"/>
      <c r="J63" s="18"/>
      <c r="K63" s="18"/>
      <c r="L63" s="18"/>
      <c r="N63" s="18"/>
      <c r="O63" s="18"/>
      <c r="P63" s="18"/>
      <c r="Q63" s="18"/>
      <c r="R63" s="18"/>
      <c r="S63" s="18"/>
      <c r="T63" s="18"/>
      <c r="U63" s="18"/>
      <c r="V63" s="18"/>
      <c r="W63" s="18"/>
      <c r="X63" s="18"/>
      <c r="Y63" s="18"/>
      <c r="Z63" s="18"/>
      <c r="AA63" s="18"/>
      <c r="AB63" s="18"/>
      <c r="AC63" s="18"/>
      <c r="AD63" s="18"/>
      <c r="AE63" s="18"/>
      <c r="AF63" s="18"/>
      <c r="AG63" s="18"/>
      <c r="AH63" s="18"/>
      <c r="AI63" s="18"/>
      <c r="AJ63" s="18"/>
      <c r="AK63" s="18"/>
      <c r="AL63" s="18"/>
      <c r="AM63" s="18"/>
      <c r="AN63" s="18"/>
      <c r="AO63" s="18"/>
      <c r="AP63" s="18"/>
      <c r="AQ63" s="18"/>
      <c r="AR63" s="18"/>
      <c r="AS63" s="18"/>
      <c r="AT63" s="18"/>
      <c r="AU63" s="18"/>
      <c r="AV63" s="18"/>
      <c r="AW63" s="18"/>
      <c r="AX63" s="18"/>
      <c r="AY63" s="18"/>
      <c r="AZ63" s="18"/>
      <c r="BA63" s="18"/>
      <c r="BB63" s="18"/>
      <c r="BC63" s="18"/>
      <c r="BD63" s="18"/>
    </row>
    <row r="64" spans="1:56">
      <c r="A64" s="423" t="s">
        <v>1083</v>
      </c>
      <c r="B64" s="424"/>
      <c r="C64" s="424"/>
      <c r="D64" s="428"/>
      <c r="E64" s="39"/>
      <c r="I64" s="18"/>
      <c r="J64" s="18"/>
      <c r="K64" s="18"/>
      <c r="L64" s="18"/>
      <c r="N64" s="18"/>
      <c r="O64" s="18"/>
      <c r="P64" s="18"/>
      <c r="Q64" s="18"/>
      <c r="R64" s="18"/>
      <c r="S64" s="18"/>
      <c r="T64" s="18"/>
      <c r="U64" s="18"/>
      <c r="V64" s="18"/>
      <c r="W64" s="18"/>
      <c r="X64" s="18"/>
      <c r="Y64" s="18"/>
      <c r="Z64" s="18"/>
      <c r="AA64" s="18"/>
      <c r="AB64" s="18"/>
      <c r="AC64" s="18"/>
      <c r="AD64" s="18"/>
      <c r="AE64" s="18"/>
      <c r="AF64" s="18"/>
      <c r="AG64" s="18"/>
      <c r="AH64" s="18"/>
      <c r="AI64" s="18"/>
      <c r="AJ64" s="18"/>
      <c r="AK64" s="18"/>
      <c r="AL64" s="18"/>
      <c r="AM64" s="18"/>
      <c r="AN64" s="18"/>
      <c r="AO64" s="18"/>
      <c r="AP64" s="18"/>
      <c r="AQ64" s="18"/>
      <c r="AR64" s="18"/>
      <c r="AS64" s="18"/>
      <c r="AT64" s="18"/>
      <c r="AU64" s="18"/>
      <c r="AV64" s="18"/>
      <c r="AW64" s="18"/>
      <c r="AX64" s="18"/>
      <c r="AY64" s="18"/>
      <c r="AZ64" s="18"/>
      <c r="BA64" s="18"/>
      <c r="BB64" s="18"/>
      <c r="BC64" s="18"/>
      <c r="BD64" s="18"/>
    </row>
    <row r="65" spans="1:56" ht="28.8">
      <c r="A65" s="22" t="s">
        <v>1063</v>
      </c>
      <c r="B65" s="23" t="s">
        <v>1064</v>
      </c>
      <c r="C65" s="23" t="s">
        <v>1065</v>
      </c>
      <c r="D65" s="23" t="s">
        <v>1066</v>
      </c>
      <c r="E65" s="39"/>
      <c r="I65" s="18"/>
      <c r="J65" s="18"/>
      <c r="K65" s="18"/>
      <c r="L65" s="18"/>
      <c r="N65" s="18"/>
      <c r="O65" s="18"/>
      <c r="P65" s="18"/>
      <c r="Q65" s="18"/>
      <c r="R65" s="18"/>
      <c r="S65" s="18"/>
      <c r="T65" s="18"/>
      <c r="U65" s="18"/>
      <c r="V65" s="18"/>
      <c r="W65" s="18"/>
      <c r="X65" s="18"/>
      <c r="Y65" s="18"/>
      <c r="Z65" s="18"/>
      <c r="AA65" s="18"/>
      <c r="AB65" s="18"/>
      <c r="AC65" s="18"/>
      <c r="AD65" s="18"/>
      <c r="AE65" s="18"/>
      <c r="AF65" s="18"/>
      <c r="AG65" s="18"/>
      <c r="AH65" s="18"/>
      <c r="AI65" s="18"/>
      <c r="AJ65" s="18"/>
      <c r="AK65" s="18"/>
      <c r="AL65" s="18"/>
      <c r="AM65" s="18"/>
      <c r="AN65" s="18"/>
      <c r="AO65" s="18"/>
      <c r="AP65" s="18"/>
      <c r="AQ65" s="18"/>
      <c r="AR65" s="18"/>
      <c r="AS65" s="18"/>
      <c r="AT65" s="18"/>
      <c r="AU65" s="18"/>
      <c r="AV65" s="18"/>
      <c r="AW65" s="18"/>
      <c r="AX65" s="18"/>
      <c r="AY65" s="18"/>
      <c r="AZ65" s="18"/>
      <c r="BA65" s="18"/>
      <c r="BB65" s="18"/>
      <c r="BC65" s="18"/>
      <c r="BD65" s="18"/>
    </row>
    <row r="66" spans="1:56">
      <c r="A66" s="25" t="s">
        <v>1068</v>
      </c>
      <c r="B66" s="26">
        <v>125</v>
      </c>
      <c r="C66" s="33">
        <v>14.151999999999999</v>
      </c>
      <c r="D66" s="33">
        <v>37.479999999999997</v>
      </c>
      <c r="E66" s="39"/>
      <c r="I66" s="18"/>
      <c r="J66" s="18"/>
      <c r="K66" s="18"/>
      <c r="L66" s="18"/>
      <c r="N66" s="18"/>
      <c r="O66" s="18"/>
      <c r="P66" s="18"/>
      <c r="Q66" s="18"/>
      <c r="R66" s="18"/>
      <c r="S66" s="18"/>
      <c r="T66" s="18"/>
      <c r="U66" s="18"/>
      <c r="V66" s="18"/>
      <c r="W66" s="18"/>
      <c r="X66" s="18"/>
      <c r="Y66" s="18"/>
      <c r="Z66" s="18"/>
      <c r="AA66" s="18"/>
      <c r="AB66" s="18"/>
      <c r="AC66" s="18"/>
      <c r="AD66" s="18"/>
      <c r="AE66" s="18"/>
      <c r="AF66" s="18"/>
      <c r="AG66" s="18"/>
      <c r="AH66" s="18"/>
      <c r="AI66" s="18"/>
      <c r="AJ66" s="18"/>
      <c r="AK66" s="18"/>
      <c r="AL66" s="18"/>
      <c r="AM66" s="18"/>
      <c r="AN66" s="18"/>
      <c r="AO66" s="18"/>
      <c r="AP66" s="18"/>
      <c r="AQ66" s="18"/>
      <c r="AR66" s="18"/>
      <c r="AS66" s="18"/>
      <c r="AT66" s="18"/>
      <c r="AU66" s="18"/>
      <c r="AV66" s="18"/>
      <c r="AW66" s="18"/>
      <c r="AX66" s="18"/>
      <c r="AY66" s="18"/>
      <c r="AZ66" s="18"/>
      <c r="BA66" s="18"/>
      <c r="BB66" s="18"/>
      <c r="BC66" s="18"/>
      <c r="BD66" s="18"/>
    </row>
    <row r="67" spans="1:56">
      <c r="A67" s="25" t="s">
        <v>1069</v>
      </c>
      <c r="B67" s="26">
        <v>26</v>
      </c>
      <c r="C67" s="33">
        <v>15.7692307692308</v>
      </c>
      <c r="D67" s="33">
        <v>36.538461538461497</v>
      </c>
      <c r="E67" s="39"/>
      <c r="I67" s="18"/>
      <c r="J67" s="18"/>
      <c r="K67" s="18"/>
      <c r="L67" s="18"/>
      <c r="N67" s="18"/>
      <c r="O67" s="18"/>
      <c r="P67" s="18"/>
      <c r="Q67" s="18"/>
      <c r="R67" s="18"/>
      <c r="S67" s="18"/>
      <c r="T67" s="18"/>
      <c r="U67" s="18"/>
      <c r="V67" s="18"/>
      <c r="W67" s="18"/>
      <c r="X67" s="18"/>
      <c r="Y67" s="18"/>
      <c r="Z67" s="18"/>
      <c r="AA67" s="18"/>
      <c r="AB67" s="18"/>
      <c r="AC67" s="18"/>
      <c r="AD67" s="18"/>
      <c r="AE67" s="18"/>
      <c r="AF67" s="18"/>
      <c r="AG67" s="18"/>
      <c r="AH67" s="18"/>
      <c r="AI67" s="18"/>
      <c r="AJ67" s="18"/>
      <c r="AK67" s="18"/>
      <c r="AL67" s="18"/>
      <c r="AM67" s="18"/>
      <c r="AN67" s="18"/>
      <c r="AO67" s="18"/>
      <c r="AP67" s="18"/>
      <c r="AQ67" s="18"/>
      <c r="AR67" s="18"/>
      <c r="AS67" s="18"/>
      <c r="AT67" s="18"/>
      <c r="AU67" s="18"/>
      <c r="AV67" s="18"/>
      <c r="AW67" s="18"/>
      <c r="AX67" s="18"/>
      <c r="AY67" s="18"/>
      <c r="AZ67" s="18"/>
      <c r="BA67" s="18"/>
      <c r="BB67" s="18"/>
      <c r="BC67" s="18"/>
      <c r="BD67" s="18"/>
    </row>
    <row r="68" spans="1:56">
      <c r="A68" s="25" t="s">
        <v>1070</v>
      </c>
      <c r="B68" s="26">
        <v>184</v>
      </c>
      <c r="C68" s="33">
        <v>11.804347826087</v>
      </c>
      <c r="D68" s="33">
        <v>17.815217391304301</v>
      </c>
      <c r="E68" s="39"/>
      <c r="I68" s="18"/>
      <c r="J68" s="18"/>
      <c r="K68" s="18"/>
      <c r="L68" s="18"/>
      <c r="N68" s="18"/>
      <c r="O68" s="18"/>
      <c r="P68" s="18"/>
      <c r="Q68" s="18"/>
      <c r="R68" s="18"/>
      <c r="S68" s="18"/>
      <c r="T68" s="18"/>
      <c r="U68" s="18"/>
      <c r="V68" s="18"/>
      <c r="W68" s="18"/>
      <c r="X68" s="18"/>
      <c r="Y68" s="18"/>
      <c r="Z68" s="18"/>
      <c r="AA68" s="18"/>
      <c r="AB68" s="18"/>
      <c r="AC68" s="18"/>
      <c r="AD68" s="18"/>
      <c r="AE68" s="18"/>
      <c r="AF68" s="18"/>
      <c r="AG68" s="18"/>
      <c r="AH68" s="18"/>
      <c r="AI68" s="18"/>
      <c r="AJ68" s="18"/>
      <c r="AK68" s="18"/>
      <c r="AL68" s="18"/>
      <c r="AM68" s="18"/>
      <c r="AN68" s="18"/>
      <c r="AO68" s="18"/>
      <c r="AP68" s="18"/>
      <c r="AQ68" s="18"/>
      <c r="AR68" s="18"/>
      <c r="AS68" s="18"/>
      <c r="AT68" s="18"/>
      <c r="AU68" s="18"/>
      <c r="AV68" s="18"/>
      <c r="AW68" s="18"/>
      <c r="AX68" s="18"/>
      <c r="AY68" s="18"/>
      <c r="AZ68" s="18"/>
      <c r="BA68" s="18"/>
      <c r="BB68" s="18"/>
      <c r="BC68" s="18"/>
      <c r="BD68" s="18"/>
    </row>
    <row r="69" spans="1:56" ht="28.8">
      <c r="A69" s="27" t="s">
        <v>1071</v>
      </c>
      <c r="B69" s="26">
        <v>23</v>
      </c>
      <c r="C69" s="33">
        <v>14.478260869565201</v>
      </c>
      <c r="D69" s="33">
        <v>33.478260869565197</v>
      </c>
      <c r="E69" s="39"/>
      <c r="I69" s="18"/>
      <c r="J69" s="18"/>
      <c r="K69" s="18"/>
      <c r="L69" s="18"/>
      <c r="N69" s="18"/>
      <c r="O69" s="18"/>
      <c r="P69" s="18"/>
      <c r="Q69" s="18"/>
      <c r="R69" s="18"/>
      <c r="S69" s="18"/>
      <c r="T69" s="18"/>
      <c r="U69" s="18"/>
      <c r="V69" s="18"/>
      <c r="W69" s="18"/>
      <c r="X69" s="18"/>
      <c r="Y69" s="18"/>
      <c r="Z69" s="18"/>
      <c r="AA69" s="18"/>
      <c r="AB69" s="18"/>
      <c r="AC69" s="18"/>
      <c r="AD69" s="18"/>
      <c r="AE69" s="18"/>
      <c r="AF69" s="18"/>
      <c r="AG69" s="18"/>
      <c r="AH69" s="18"/>
      <c r="AI69" s="18"/>
      <c r="AJ69" s="18"/>
      <c r="AK69" s="18"/>
      <c r="AL69" s="18"/>
      <c r="AM69" s="18"/>
      <c r="AN69" s="18"/>
      <c r="AO69" s="18"/>
      <c r="AP69" s="18"/>
      <c r="AQ69" s="18"/>
      <c r="AR69" s="18"/>
      <c r="AS69" s="18"/>
      <c r="AT69" s="18"/>
      <c r="AU69" s="18"/>
      <c r="AV69" s="18"/>
      <c r="AW69" s="18"/>
      <c r="AX69" s="18"/>
      <c r="AY69" s="18"/>
      <c r="AZ69" s="18"/>
      <c r="BA69" s="18"/>
      <c r="BB69" s="18"/>
      <c r="BC69" s="18"/>
      <c r="BD69" s="18"/>
    </row>
    <row r="70" spans="1:56">
      <c r="A70" s="25" t="s">
        <v>1072</v>
      </c>
      <c r="B70" s="26">
        <v>60</v>
      </c>
      <c r="C70" s="33">
        <v>68.383333333333297</v>
      </c>
      <c r="D70" s="33">
        <v>118.1</v>
      </c>
      <c r="E70" s="39"/>
      <c r="I70" s="18"/>
      <c r="J70" s="18"/>
      <c r="K70" s="18"/>
      <c r="L70" s="18"/>
      <c r="N70" s="18"/>
      <c r="O70" s="18"/>
      <c r="P70" s="18"/>
      <c r="Q70" s="18"/>
      <c r="R70" s="18"/>
      <c r="S70" s="18"/>
      <c r="T70" s="18"/>
      <c r="U70" s="18"/>
      <c r="V70" s="18"/>
      <c r="W70" s="18"/>
      <c r="X70" s="18"/>
      <c r="Y70" s="18"/>
      <c r="Z70" s="18"/>
      <c r="AA70" s="18"/>
      <c r="AB70" s="18"/>
      <c r="AC70" s="18"/>
      <c r="AD70" s="18"/>
      <c r="AE70" s="18"/>
      <c r="AF70" s="18"/>
      <c r="AG70" s="18"/>
      <c r="AH70" s="18"/>
      <c r="AI70" s="18"/>
      <c r="AJ70" s="18"/>
      <c r="AK70" s="18"/>
      <c r="AL70" s="18"/>
      <c r="AM70" s="18"/>
      <c r="AN70" s="18"/>
      <c r="AO70" s="18"/>
      <c r="AP70" s="18"/>
      <c r="AQ70" s="18"/>
      <c r="AR70" s="18"/>
      <c r="AS70" s="18"/>
      <c r="AT70" s="18"/>
      <c r="AU70" s="18"/>
      <c r="AV70" s="18"/>
      <c r="AW70" s="18"/>
      <c r="AX70" s="18"/>
      <c r="AY70" s="18"/>
      <c r="AZ70" s="18"/>
      <c r="BA70" s="18"/>
      <c r="BB70" s="18"/>
      <c r="BC70" s="18"/>
      <c r="BD70" s="18"/>
    </row>
    <row r="71" spans="1:56">
      <c r="A71" s="28" t="s">
        <v>1059</v>
      </c>
      <c r="B71" s="29">
        <v>418</v>
      </c>
      <c r="C71" s="38">
        <v>21.021531100478501</v>
      </c>
      <c r="D71" s="38">
        <v>40.1172248803828</v>
      </c>
      <c r="E71" s="39"/>
      <c r="I71" s="18"/>
      <c r="J71" s="18"/>
      <c r="K71" s="18"/>
      <c r="L71" s="18"/>
      <c r="N71" s="18"/>
      <c r="O71" s="18"/>
      <c r="P71" s="18"/>
      <c r="Q71" s="18"/>
      <c r="R71" s="18"/>
      <c r="S71" s="18"/>
      <c r="T71" s="18"/>
      <c r="U71" s="18"/>
      <c r="V71" s="18"/>
      <c r="W71" s="18"/>
      <c r="X71" s="18"/>
      <c r="Y71" s="18"/>
      <c r="Z71" s="18"/>
      <c r="AA71" s="18"/>
      <c r="AB71" s="18"/>
      <c r="AC71" s="18"/>
      <c r="AD71" s="18"/>
      <c r="AE71" s="18"/>
      <c r="AF71" s="18"/>
      <c r="AG71" s="18"/>
      <c r="AH71" s="18"/>
      <c r="AI71" s="18"/>
      <c r="AJ71" s="18"/>
      <c r="AK71" s="18"/>
      <c r="AL71" s="18"/>
      <c r="AM71" s="18"/>
      <c r="AN71" s="18"/>
      <c r="AO71" s="18"/>
      <c r="AP71" s="18"/>
      <c r="AQ71" s="18"/>
      <c r="AR71" s="18"/>
      <c r="AS71" s="18"/>
      <c r="AT71" s="18"/>
      <c r="AU71" s="18"/>
      <c r="AV71" s="18"/>
      <c r="AW71" s="18"/>
      <c r="AX71" s="18"/>
      <c r="AY71" s="18"/>
      <c r="AZ71" s="18"/>
      <c r="BA71" s="18"/>
      <c r="BB71" s="18"/>
      <c r="BC71" s="18"/>
      <c r="BD71" s="18"/>
    </row>
    <row r="72" spans="1:56">
      <c r="A72" s="39"/>
      <c r="B72" s="39"/>
      <c r="C72" s="39"/>
      <c r="D72" s="39"/>
      <c r="E72" s="39"/>
      <c r="I72" s="18"/>
      <c r="J72" s="18"/>
      <c r="K72" s="18"/>
      <c r="L72" s="18"/>
      <c r="N72" s="18"/>
      <c r="O72" s="18"/>
      <c r="P72" s="18"/>
      <c r="Q72" s="18"/>
      <c r="R72" s="18"/>
      <c r="S72" s="18"/>
      <c r="T72" s="18"/>
      <c r="U72" s="18"/>
      <c r="V72" s="18"/>
      <c r="W72" s="18"/>
      <c r="X72" s="18"/>
      <c r="Y72" s="18"/>
      <c r="Z72" s="18"/>
      <c r="AA72" s="18"/>
      <c r="AB72" s="18"/>
      <c r="AC72" s="18"/>
      <c r="AD72" s="18"/>
      <c r="AE72" s="18"/>
      <c r="AF72" s="18"/>
      <c r="AG72" s="18"/>
      <c r="AH72" s="18"/>
      <c r="AI72" s="18"/>
      <c r="AJ72" s="18"/>
      <c r="AK72" s="18"/>
      <c r="AL72" s="18"/>
      <c r="AM72" s="18"/>
      <c r="AN72" s="18"/>
      <c r="AO72" s="18"/>
      <c r="AP72" s="18"/>
      <c r="AQ72" s="18"/>
      <c r="AR72" s="18"/>
      <c r="AS72" s="18"/>
      <c r="AT72" s="18"/>
      <c r="AU72" s="18"/>
      <c r="AV72" s="18"/>
      <c r="AW72" s="18"/>
      <c r="AX72" s="18"/>
      <c r="AY72" s="18"/>
      <c r="AZ72" s="18"/>
      <c r="BA72" s="18"/>
      <c r="BB72" s="18"/>
      <c r="BC72" s="18"/>
      <c r="BD72" s="18"/>
    </row>
    <row r="73" spans="1:56">
      <c r="A73" s="39" t="s">
        <v>1084</v>
      </c>
      <c r="B73" s="39"/>
      <c r="C73" s="39"/>
      <c r="D73" s="39"/>
      <c r="E73" s="39"/>
      <c r="I73" s="18"/>
      <c r="J73" s="18"/>
      <c r="K73" s="18"/>
      <c r="L73" s="18"/>
      <c r="N73" s="18"/>
      <c r="O73" s="18"/>
      <c r="P73" s="18"/>
      <c r="Q73" s="18"/>
      <c r="R73" s="18"/>
      <c r="S73" s="18"/>
      <c r="T73" s="18"/>
      <c r="U73" s="18"/>
      <c r="V73" s="18"/>
      <c r="W73" s="18"/>
      <c r="X73" s="18"/>
      <c r="Y73" s="18"/>
      <c r="Z73" s="18"/>
      <c r="AA73" s="18"/>
      <c r="AB73" s="18"/>
      <c r="AC73" s="18"/>
      <c r="AD73" s="18"/>
      <c r="AE73" s="18"/>
      <c r="AF73" s="18"/>
      <c r="AG73" s="18"/>
      <c r="AH73" s="18"/>
      <c r="AI73" s="18"/>
      <c r="AJ73" s="18"/>
      <c r="AK73" s="18"/>
      <c r="AL73" s="18"/>
      <c r="AM73" s="18"/>
      <c r="AN73" s="18"/>
      <c r="AO73" s="18"/>
      <c r="AP73" s="18"/>
      <c r="AQ73" s="18"/>
      <c r="AR73" s="18"/>
      <c r="AS73" s="18"/>
      <c r="AT73" s="18"/>
      <c r="AU73" s="18"/>
      <c r="AV73" s="18"/>
      <c r="AW73" s="18"/>
      <c r="AX73" s="18"/>
      <c r="AY73" s="18"/>
      <c r="AZ73" s="18"/>
      <c r="BA73" s="18"/>
      <c r="BB73" s="18"/>
      <c r="BC73" s="18"/>
      <c r="BD73" s="18"/>
    </row>
    <row r="74" spans="1:56">
      <c r="A74" s="39"/>
      <c r="B74" s="39"/>
      <c r="C74" s="39"/>
      <c r="D74" s="39"/>
      <c r="E74" s="39"/>
      <c r="I74" s="18"/>
      <c r="J74" s="18"/>
      <c r="K74" s="18"/>
      <c r="L74" s="18"/>
      <c r="N74" s="18"/>
      <c r="O74" s="18"/>
      <c r="P74" s="18"/>
      <c r="Q74" s="18"/>
      <c r="R74" s="18"/>
      <c r="S74" s="18"/>
      <c r="T74" s="18"/>
      <c r="U74" s="18"/>
      <c r="V74" s="18"/>
      <c r="W74" s="18"/>
      <c r="X74" s="18"/>
      <c r="Y74" s="18"/>
      <c r="Z74" s="18"/>
      <c r="AA74" s="18"/>
      <c r="AB74" s="18"/>
      <c r="AC74" s="18"/>
      <c r="AD74" s="18"/>
      <c r="AE74" s="18"/>
      <c r="AF74" s="18"/>
      <c r="AG74" s="18"/>
      <c r="AH74" s="18"/>
      <c r="AI74" s="18"/>
      <c r="AJ74" s="18"/>
      <c r="AK74" s="18"/>
      <c r="AL74" s="18"/>
      <c r="AM74" s="18"/>
      <c r="AN74" s="18"/>
      <c r="AO74" s="18"/>
      <c r="AP74" s="18"/>
      <c r="AQ74" s="18"/>
      <c r="AR74" s="18"/>
      <c r="AS74" s="18"/>
      <c r="AT74" s="18"/>
      <c r="AU74" s="18"/>
      <c r="AV74" s="18"/>
      <c r="AW74" s="18"/>
      <c r="AX74" s="18"/>
      <c r="AY74" s="18"/>
      <c r="AZ74" s="18"/>
      <c r="BA74" s="18"/>
      <c r="BB74" s="18"/>
      <c r="BC74" s="18"/>
      <c r="BD74" s="18"/>
    </row>
    <row r="75" spans="1:56">
      <c r="A75" s="39"/>
      <c r="B75" s="39"/>
      <c r="C75" s="39"/>
      <c r="D75" s="39"/>
      <c r="E75" s="39"/>
      <c r="I75" s="18"/>
      <c r="J75" s="18"/>
      <c r="K75" s="18"/>
      <c r="L75" s="18"/>
      <c r="N75" s="18"/>
      <c r="O75" s="18"/>
      <c r="P75" s="18"/>
      <c r="Q75" s="18"/>
      <c r="R75" s="18"/>
      <c r="S75" s="18"/>
      <c r="T75" s="18"/>
      <c r="U75" s="18"/>
      <c r="V75" s="18"/>
      <c r="W75" s="18"/>
      <c r="X75" s="18"/>
      <c r="Y75" s="18"/>
      <c r="Z75" s="18"/>
      <c r="AA75" s="18"/>
      <c r="AB75" s="18"/>
      <c r="AC75" s="18"/>
      <c r="AD75" s="18"/>
      <c r="AE75" s="18"/>
      <c r="AF75" s="18"/>
      <c r="AG75" s="18"/>
      <c r="AH75" s="18"/>
      <c r="AI75" s="18"/>
      <c r="AJ75" s="18"/>
      <c r="AK75" s="18"/>
      <c r="AL75" s="18"/>
      <c r="AM75" s="18"/>
      <c r="AN75" s="18"/>
      <c r="AO75" s="18"/>
      <c r="AP75" s="18"/>
      <c r="AQ75" s="18"/>
      <c r="AR75" s="18"/>
      <c r="AS75" s="18"/>
      <c r="AT75" s="18"/>
      <c r="AU75" s="18"/>
      <c r="AV75" s="18"/>
      <c r="AW75" s="18"/>
      <c r="AX75" s="18"/>
      <c r="AY75" s="18"/>
      <c r="AZ75" s="18"/>
      <c r="BA75" s="18"/>
      <c r="BB75" s="18"/>
      <c r="BC75" s="18"/>
      <c r="BD75" s="18"/>
    </row>
    <row r="76" spans="1:56">
      <c r="A76" s="423" t="s">
        <v>1085</v>
      </c>
      <c r="B76" s="424"/>
      <c r="C76" s="424"/>
      <c r="D76" s="428"/>
      <c r="E76" s="39"/>
      <c r="I76" s="18"/>
      <c r="J76" s="18"/>
      <c r="K76" s="18"/>
      <c r="L76" s="18"/>
      <c r="N76" s="18"/>
      <c r="O76" s="18"/>
      <c r="P76" s="18"/>
      <c r="Q76" s="18"/>
      <c r="R76" s="18"/>
      <c r="S76" s="18"/>
      <c r="T76" s="18"/>
      <c r="U76" s="18"/>
      <c r="V76" s="18"/>
      <c r="W76" s="18"/>
      <c r="X76" s="18"/>
      <c r="Y76" s="18"/>
      <c r="Z76" s="18"/>
      <c r="AA76" s="18"/>
      <c r="AB76" s="18"/>
      <c r="AC76" s="18"/>
      <c r="AD76" s="18"/>
      <c r="AE76" s="18"/>
      <c r="AF76" s="18"/>
      <c r="AG76" s="18"/>
      <c r="AH76" s="18"/>
      <c r="AI76" s="18"/>
      <c r="AJ76" s="18"/>
      <c r="AK76" s="18"/>
      <c r="AL76" s="18"/>
      <c r="AM76" s="18"/>
      <c r="AN76" s="18"/>
      <c r="AO76" s="18"/>
      <c r="AP76" s="18"/>
      <c r="AQ76" s="18"/>
      <c r="AR76" s="18"/>
      <c r="AS76" s="18"/>
      <c r="AT76" s="18"/>
      <c r="AU76" s="18"/>
      <c r="AV76" s="18"/>
      <c r="AW76" s="18"/>
      <c r="AX76" s="18"/>
      <c r="AY76" s="18"/>
      <c r="AZ76" s="18"/>
      <c r="BA76" s="18"/>
      <c r="BB76" s="18"/>
      <c r="BC76" s="18"/>
      <c r="BD76" s="18"/>
    </row>
    <row r="77" spans="1:56" ht="28.8">
      <c r="A77" s="22" t="s">
        <v>1063</v>
      </c>
      <c r="B77" s="23" t="s">
        <v>1064</v>
      </c>
      <c r="C77" s="23" t="s">
        <v>1065</v>
      </c>
      <c r="D77" s="23" t="s">
        <v>1066</v>
      </c>
      <c r="E77" s="39"/>
      <c r="I77" s="18"/>
      <c r="J77" s="18"/>
      <c r="K77" s="18"/>
      <c r="L77" s="18"/>
      <c r="N77" s="18"/>
      <c r="O77" s="18"/>
      <c r="P77" s="18"/>
      <c r="Q77" s="18"/>
      <c r="R77" s="18"/>
      <c r="S77" s="18"/>
      <c r="T77" s="18"/>
      <c r="U77" s="18"/>
      <c r="V77" s="18"/>
      <c r="W77" s="18"/>
      <c r="X77" s="18"/>
      <c r="Y77" s="18"/>
      <c r="Z77" s="18"/>
      <c r="AA77" s="18"/>
      <c r="AB77" s="18"/>
      <c r="AC77" s="18"/>
      <c r="AD77" s="18"/>
      <c r="AE77" s="18"/>
      <c r="AF77" s="18"/>
      <c r="AG77" s="18"/>
      <c r="AH77" s="18"/>
      <c r="AI77" s="18"/>
      <c r="AJ77" s="18"/>
      <c r="AK77" s="18"/>
      <c r="AL77" s="18"/>
      <c r="AM77" s="18"/>
      <c r="AN77" s="18"/>
      <c r="AO77" s="18"/>
      <c r="AP77" s="18"/>
      <c r="AQ77" s="18"/>
      <c r="AR77" s="18"/>
      <c r="AS77" s="18"/>
      <c r="AT77" s="18"/>
      <c r="AU77" s="18"/>
      <c r="AV77" s="18"/>
      <c r="AW77" s="18"/>
      <c r="AX77" s="18"/>
      <c r="AY77" s="18"/>
      <c r="AZ77" s="18"/>
      <c r="BA77" s="18"/>
      <c r="BB77" s="18"/>
      <c r="BC77" s="18"/>
      <c r="BD77" s="18"/>
    </row>
    <row r="78" spans="1:56">
      <c r="A78" s="25" t="s">
        <v>1068</v>
      </c>
      <c r="B78" s="26">
        <v>126</v>
      </c>
      <c r="C78" s="33">
        <v>13.365079365079399</v>
      </c>
      <c r="D78" s="33">
        <v>43.261904761904802</v>
      </c>
      <c r="E78" s="39"/>
      <c r="I78" s="18"/>
      <c r="J78" s="18"/>
      <c r="K78" s="18"/>
      <c r="L78" s="18"/>
      <c r="N78" s="18"/>
      <c r="O78" s="18"/>
      <c r="P78" s="18"/>
      <c r="Q78" s="18"/>
      <c r="R78" s="18"/>
      <c r="S78" s="18"/>
      <c r="T78" s="18"/>
      <c r="U78" s="18"/>
      <c r="V78" s="18"/>
      <c r="W78" s="18"/>
      <c r="X78" s="18"/>
      <c r="Y78" s="18"/>
      <c r="Z78" s="18"/>
      <c r="AA78" s="18"/>
      <c r="AB78" s="18"/>
      <c r="AC78" s="18"/>
      <c r="AD78" s="18"/>
      <c r="AE78" s="18"/>
      <c r="AF78" s="18"/>
      <c r="AG78" s="18"/>
      <c r="AH78" s="18"/>
      <c r="AI78" s="18"/>
      <c r="AJ78" s="18"/>
      <c r="AK78" s="18"/>
      <c r="AL78" s="18"/>
      <c r="AM78" s="18"/>
      <c r="AN78" s="18"/>
      <c r="AO78" s="18"/>
      <c r="AP78" s="18"/>
      <c r="AQ78" s="18"/>
      <c r="AR78" s="18"/>
      <c r="AS78" s="18"/>
      <c r="AT78" s="18"/>
      <c r="AU78" s="18"/>
      <c r="AV78" s="18"/>
      <c r="AW78" s="18"/>
      <c r="AX78" s="18"/>
      <c r="AY78" s="18"/>
      <c r="AZ78" s="18"/>
      <c r="BA78" s="18"/>
      <c r="BB78" s="18"/>
      <c r="BC78" s="18"/>
      <c r="BD78" s="18"/>
    </row>
    <row r="79" spans="1:56">
      <c r="A79" s="25" t="s">
        <v>1069</v>
      </c>
      <c r="B79" s="26">
        <v>12</v>
      </c>
      <c r="C79" s="33">
        <v>15.9166666666667</v>
      </c>
      <c r="D79" s="33">
        <v>19.4166666666667</v>
      </c>
      <c r="E79" s="39"/>
      <c r="I79" s="18"/>
      <c r="J79" s="18"/>
      <c r="K79" s="18"/>
      <c r="L79" s="18"/>
      <c r="N79" s="18"/>
      <c r="O79" s="18"/>
      <c r="P79" s="18"/>
      <c r="Q79" s="18"/>
      <c r="R79" s="18"/>
      <c r="S79" s="18"/>
      <c r="T79" s="18"/>
      <c r="U79" s="18"/>
      <c r="V79" s="18"/>
      <c r="W79" s="18"/>
      <c r="X79" s="18"/>
      <c r="Y79" s="18"/>
      <c r="Z79" s="18"/>
      <c r="AA79" s="18"/>
      <c r="AB79" s="18"/>
      <c r="AC79" s="18"/>
      <c r="AD79" s="18"/>
      <c r="AE79" s="18"/>
      <c r="AF79" s="18"/>
      <c r="AG79" s="18"/>
      <c r="AH79" s="18"/>
      <c r="AI79" s="18"/>
      <c r="AJ79" s="18"/>
      <c r="AK79" s="18"/>
      <c r="AL79" s="18"/>
      <c r="AM79" s="18"/>
      <c r="AN79" s="18"/>
      <c r="AO79" s="18"/>
      <c r="AP79" s="18"/>
      <c r="AQ79" s="18"/>
      <c r="AR79" s="18"/>
      <c r="AS79" s="18"/>
      <c r="AT79" s="18"/>
      <c r="AU79" s="18"/>
      <c r="AV79" s="18"/>
      <c r="AW79" s="18"/>
      <c r="AX79" s="18"/>
      <c r="AY79" s="18"/>
      <c r="AZ79" s="18"/>
      <c r="BA79" s="18"/>
      <c r="BB79" s="18"/>
      <c r="BC79" s="18"/>
      <c r="BD79" s="18"/>
    </row>
    <row r="80" spans="1:56">
      <c r="A80" s="25" t="s">
        <v>1070</v>
      </c>
      <c r="B80" s="26">
        <v>95</v>
      </c>
      <c r="C80" s="33">
        <v>14.6842105263158</v>
      </c>
      <c r="D80" s="33">
        <v>24.821052631578901</v>
      </c>
      <c r="E80" s="39"/>
      <c r="I80" s="18"/>
      <c r="J80" s="18"/>
      <c r="K80" s="18"/>
      <c r="L80" s="18"/>
      <c r="N80" s="18"/>
      <c r="O80" s="18"/>
      <c r="P80" s="18"/>
      <c r="Q80" s="18"/>
      <c r="R80" s="18"/>
      <c r="S80" s="18"/>
      <c r="T80" s="18"/>
      <c r="U80" s="18"/>
      <c r="V80" s="18"/>
      <c r="W80" s="18"/>
      <c r="X80" s="18"/>
      <c r="Y80" s="18"/>
      <c r="Z80" s="18"/>
      <c r="AA80" s="18"/>
      <c r="AB80" s="18"/>
      <c r="AC80" s="18"/>
      <c r="AD80" s="18"/>
      <c r="AE80" s="18"/>
      <c r="AF80" s="18"/>
      <c r="AG80" s="18"/>
      <c r="AH80" s="18"/>
      <c r="AI80" s="18"/>
      <c r="AJ80" s="18"/>
      <c r="AK80" s="18"/>
      <c r="AL80" s="18"/>
      <c r="AM80" s="18"/>
      <c r="AN80" s="18"/>
      <c r="AO80" s="18"/>
      <c r="AP80" s="18"/>
      <c r="AQ80" s="18"/>
      <c r="AR80" s="18"/>
      <c r="AS80" s="18"/>
      <c r="AT80" s="18"/>
      <c r="AU80" s="18"/>
      <c r="AV80" s="18"/>
      <c r="AW80" s="18"/>
      <c r="AX80" s="18"/>
      <c r="AY80" s="18"/>
      <c r="AZ80" s="18"/>
      <c r="BA80" s="18"/>
      <c r="BB80" s="18"/>
      <c r="BC80" s="18"/>
      <c r="BD80" s="18"/>
    </row>
    <row r="81" spans="1:56" ht="28.8">
      <c r="A81" s="27" t="s">
        <v>1071</v>
      </c>
      <c r="B81" s="26">
        <v>40</v>
      </c>
      <c r="C81" s="33">
        <v>7.85</v>
      </c>
      <c r="D81" s="33">
        <v>44.274999999999999</v>
      </c>
      <c r="E81" s="39"/>
      <c r="I81" s="18"/>
      <c r="J81" s="18"/>
      <c r="K81" s="18"/>
      <c r="L81" s="18"/>
      <c r="N81" s="18"/>
      <c r="O81" s="18"/>
      <c r="P81" s="18"/>
      <c r="Q81" s="18"/>
      <c r="R81" s="18"/>
      <c r="S81" s="18"/>
      <c r="T81" s="18"/>
      <c r="U81" s="18"/>
      <c r="V81" s="18"/>
      <c r="W81" s="18"/>
      <c r="X81" s="18"/>
      <c r="Y81" s="18"/>
      <c r="Z81" s="18"/>
      <c r="AA81" s="18"/>
      <c r="AB81" s="18"/>
      <c r="AC81" s="18"/>
      <c r="AD81" s="18"/>
      <c r="AE81" s="18"/>
      <c r="AF81" s="18"/>
      <c r="AG81" s="18"/>
      <c r="AH81" s="18"/>
      <c r="AI81" s="18"/>
      <c r="AJ81" s="18"/>
      <c r="AK81" s="18"/>
      <c r="AL81" s="18"/>
      <c r="AM81" s="18"/>
      <c r="AN81" s="18"/>
      <c r="AO81" s="18"/>
      <c r="AP81" s="18"/>
      <c r="AQ81" s="18"/>
      <c r="AR81" s="18"/>
      <c r="AS81" s="18"/>
      <c r="AT81" s="18"/>
      <c r="AU81" s="18"/>
      <c r="AV81" s="18"/>
      <c r="AW81" s="18"/>
      <c r="AX81" s="18"/>
      <c r="AY81" s="18"/>
      <c r="AZ81" s="18"/>
      <c r="BA81" s="18"/>
      <c r="BB81" s="18"/>
      <c r="BC81" s="18"/>
      <c r="BD81" s="18"/>
    </row>
    <row r="82" spans="1:56">
      <c r="A82" s="25" t="s">
        <v>1072</v>
      </c>
      <c r="B82" s="26">
        <v>78</v>
      </c>
      <c r="C82" s="33">
        <v>53.756410256410298</v>
      </c>
      <c r="D82" s="33">
        <v>94.974358974359006</v>
      </c>
      <c r="E82" s="39"/>
      <c r="I82" s="18"/>
      <c r="J82" s="18"/>
      <c r="K82" s="18"/>
      <c r="L82" s="18"/>
      <c r="N82" s="18"/>
      <c r="O82" s="18"/>
      <c r="P82" s="18"/>
      <c r="Q82" s="18"/>
      <c r="R82" s="18"/>
      <c r="S82" s="18"/>
      <c r="T82" s="18"/>
      <c r="U82" s="18"/>
      <c r="V82" s="18"/>
      <c r="W82" s="18"/>
      <c r="X82" s="18"/>
      <c r="Y82" s="18"/>
      <c r="Z82" s="18"/>
      <c r="AA82" s="18"/>
      <c r="AB82" s="18"/>
      <c r="AC82" s="18"/>
      <c r="AD82" s="18"/>
      <c r="AE82" s="18"/>
      <c r="AF82" s="18"/>
      <c r="AG82" s="18"/>
      <c r="AH82" s="18"/>
      <c r="AI82" s="18"/>
      <c r="AJ82" s="18"/>
      <c r="AK82" s="18"/>
      <c r="AL82" s="18"/>
      <c r="AM82" s="18"/>
      <c r="AN82" s="18"/>
      <c r="AO82" s="18"/>
      <c r="AP82" s="18"/>
      <c r="AQ82" s="18"/>
      <c r="AR82" s="18"/>
      <c r="AS82" s="18"/>
      <c r="AT82" s="18"/>
      <c r="AU82" s="18"/>
      <c r="AV82" s="18"/>
      <c r="AW82" s="18"/>
      <c r="AX82" s="18"/>
      <c r="AY82" s="18"/>
      <c r="AZ82" s="18"/>
      <c r="BA82" s="18"/>
      <c r="BB82" s="18"/>
      <c r="BC82" s="18"/>
      <c r="BD82" s="18"/>
    </row>
    <row r="83" spans="1:56">
      <c r="A83" s="28" t="s">
        <v>1059</v>
      </c>
      <c r="B83" s="29">
        <v>351</v>
      </c>
      <c r="C83" s="38">
        <v>22.1566951566952</v>
      </c>
      <c r="D83" s="38">
        <v>49.062678062678103</v>
      </c>
      <c r="E83" s="39"/>
      <c r="I83" s="18"/>
      <c r="J83" s="18"/>
      <c r="K83" s="18"/>
      <c r="L83" s="18"/>
      <c r="N83" s="18"/>
      <c r="O83" s="18"/>
      <c r="P83" s="18"/>
      <c r="Q83" s="18"/>
      <c r="R83" s="18"/>
      <c r="S83" s="18"/>
      <c r="T83" s="18"/>
      <c r="U83" s="18"/>
      <c r="V83" s="18"/>
      <c r="W83" s="18"/>
      <c r="X83" s="18"/>
      <c r="Y83" s="18"/>
      <c r="Z83" s="18"/>
      <c r="AA83" s="18"/>
      <c r="AB83" s="18"/>
      <c r="AC83" s="18"/>
      <c r="AD83" s="18"/>
      <c r="AE83" s="18"/>
      <c r="AF83" s="18"/>
      <c r="AG83" s="18"/>
      <c r="AH83" s="18"/>
      <c r="AI83" s="18"/>
      <c r="AJ83" s="18"/>
      <c r="AK83" s="18"/>
      <c r="AL83" s="18"/>
      <c r="AM83" s="18"/>
      <c r="AN83" s="18"/>
      <c r="AO83" s="18"/>
      <c r="AP83" s="18"/>
      <c r="AQ83" s="18"/>
      <c r="AR83" s="18"/>
      <c r="AS83" s="18"/>
      <c r="AT83" s="18"/>
      <c r="AU83" s="18"/>
      <c r="AV83" s="18"/>
      <c r="AW83" s="18"/>
      <c r="AX83" s="18"/>
      <c r="AY83" s="18"/>
      <c r="AZ83" s="18"/>
      <c r="BA83" s="18"/>
      <c r="BB83" s="18"/>
      <c r="BC83" s="18"/>
      <c r="BD83" s="18"/>
    </row>
    <row r="84" spans="1:56">
      <c r="A84" s="39"/>
      <c r="B84" s="39"/>
      <c r="C84" s="39"/>
      <c r="D84" s="39"/>
      <c r="E84" s="39"/>
      <c r="I84" s="18"/>
      <c r="J84" s="18"/>
      <c r="K84" s="18"/>
      <c r="L84" s="18"/>
      <c r="N84" s="18"/>
      <c r="O84" s="18"/>
      <c r="P84" s="18"/>
      <c r="Q84" s="18"/>
      <c r="R84" s="18"/>
      <c r="S84" s="18"/>
      <c r="T84" s="18"/>
      <c r="U84" s="18"/>
      <c r="V84" s="18"/>
      <c r="W84" s="18"/>
      <c r="X84" s="18"/>
      <c r="Y84" s="18"/>
      <c r="Z84" s="18"/>
      <c r="AA84" s="18"/>
      <c r="AB84" s="18"/>
      <c r="AC84" s="18"/>
      <c r="AD84" s="18"/>
      <c r="AE84" s="18"/>
      <c r="AF84" s="18"/>
      <c r="AG84" s="18"/>
      <c r="AH84" s="18"/>
      <c r="AI84" s="18"/>
      <c r="AJ84" s="18"/>
      <c r="AK84" s="18"/>
      <c r="AL84" s="18"/>
      <c r="AM84" s="18"/>
      <c r="AN84" s="18"/>
      <c r="AO84" s="18"/>
      <c r="AP84" s="18"/>
      <c r="AQ84" s="18"/>
      <c r="AR84" s="18"/>
      <c r="AS84" s="18"/>
      <c r="AT84" s="18"/>
      <c r="AU84" s="18"/>
      <c r="AV84" s="18"/>
      <c r="AW84" s="18"/>
      <c r="AX84" s="18"/>
      <c r="AY84" s="18"/>
      <c r="AZ84" s="18"/>
      <c r="BA84" s="18"/>
      <c r="BB84" s="18"/>
      <c r="BC84" s="18"/>
      <c r="BD84" s="18"/>
    </row>
    <row r="85" spans="1:56">
      <c r="A85" s="39" t="s">
        <v>1086</v>
      </c>
      <c r="B85" s="39"/>
      <c r="C85" s="39"/>
      <c r="D85" s="39"/>
      <c r="E85" s="39"/>
      <c r="I85" s="18"/>
      <c r="J85" s="18"/>
      <c r="K85" s="18"/>
      <c r="L85" s="18"/>
      <c r="N85" s="18"/>
      <c r="O85" s="18"/>
      <c r="P85" s="18"/>
      <c r="Q85" s="18"/>
      <c r="R85" s="18"/>
      <c r="S85" s="18"/>
      <c r="T85" s="18"/>
      <c r="U85" s="18"/>
      <c r="V85" s="18"/>
      <c r="W85" s="18"/>
      <c r="X85" s="18"/>
      <c r="Y85" s="18"/>
      <c r="Z85" s="18"/>
      <c r="AA85" s="18"/>
      <c r="AB85" s="18"/>
      <c r="AC85" s="18"/>
      <c r="AD85" s="18"/>
      <c r="AE85" s="18"/>
      <c r="AF85" s="18"/>
      <c r="AG85" s="18"/>
      <c r="AH85" s="18"/>
      <c r="AI85" s="18"/>
      <c r="AJ85" s="18"/>
      <c r="AK85" s="18"/>
      <c r="AL85" s="18"/>
      <c r="AM85" s="18"/>
      <c r="AN85" s="18"/>
      <c r="AO85" s="18"/>
      <c r="AP85" s="18"/>
      <c r="AQ85" s="18"/>
      <c r="AR85" s="18"/>
      <c r="AS85" s="18"/>
      <c r="AT85" s="18"/>
      <c r="AU85" s="18"/>
      <c r="AV85" s="18"/>
      <c r="AW85" s="18"/>
      <c r="AX85" s="18"/>
      <c r="AY85" s="18"/>
      <c r="AZ85" s="18"/>
      <c r="BA85" s="18"/>
      <c r="BB85" s="18"/>
      <c r="BC85" s="18"/>
      <c r="BD85" s="18"/>
    </row>
    <row r="86" spans="1:56">
      <c r="A86" s="39"/>
      <c r="B86" s="39"/>
      <c r="C86" s="39"/>
      <c r="D86" s="39"/>
      <c r="E86" s="39"/>
      <c r="I86" s="18"/>
      <c r="J86" s="18"/>
      <c r="K86" s="18"/>
      <c r="L86" s="18"/>
      <c r="N86" s="18"/>
      <c r="O86" s="18"/>
      <c r="P86" s="18"/>
      <c r="Q86" s="18"/>
      <c r="R86" s="18"/>
      <c r="S86" s="18"/>
      <c r="T86" s="18"/>
      <c r="U86" s="18"/>
      <c r="V86" s="18"/>
      <c r="W86" s="18"/>
      <c r="X86" s="18"/>
      <c r="Y86" s="18"/>
      <c r="Z86" s="18"/>
      <c r="AA86" s="18"/>
      <c r="AB86" s="18"/>
      <c r="AC86" s="18"/>
      <c r="AD86" s="18"/>
      <c r="AE86" s="18"/>
      <c r="AF86" s="18"/>
      <c r="AG86" s="18"/>
      <c r="AH86" s="18"/>
      <c r="AI86" s="18"/>
      <c r="AJ86" s="18"/>
      <c r="AK86" s="18"/>
      <c r="AL86" s="18"/>
      <c r="AM86" s="18"/>
      <c r="AN86" s="18"/>
      <c r="AO86" s="18"/>
      <c r="AP86" s="18"/>
      <c r="AQ86" s="18"/>
      <c r="AR86" s="18"/>
      <c r="AS86" s="18"/>
      <c r="AT86" s="18"/>
      <c r="AU86" s="18"/>
      <c r="AV86" s="18"/>
      <c r="AW86" s="18"/>
      <c r="AX86" s="18"/>
      <c r="AY86" s="18"/>
      <c r="AZ86" s="18"/>
      <c r="BA86" s="18"/>
      <c r="BB86" s="18"/>
      <c r="BC86" s="18"/>
      <c r="BD86" s="18"/>
    </row>
    <row r="87" spans="1:56">
      <c r="A87" s="39"/>
      <c r="B87" s="39"/>
      <c r="C87" s="39"/>
      <c r="D87" s="39"/>
      <c r="E87" s="39"/>
      <c r="I87" s="18"/>
      <c r="J87" s="18"/>
      <c r="K87" s="18"/>
      <c r="L87" s="18"/>
      <c r="N87" s="18"/>
      <c r="O87" s="18"/>
      <c r="P87" s="18"/>
      <c r="Q87" s="18"/>
      <c r="R87" s="18"/>
      <c r="S87" s="18"/>
      <c r="T87" s="18"/>
      <c r="U87" s="18"/>
      <c r="V87" s="18"/>
      <c r="W87" s="18"/>
      <c r="X87" s="18"/>
      <c r="Y87" s="18"/>
      <c r="Z87" s="18"/>
      <c r="AA87" s="18"/>
      <c r="AB87" s="18"/>
      <c r="AC87" s="18"/>
      <c r="AD87" s="18"/>
      <c r="AE87" s="18"/>
      <c r="AF87" s="18"/>
      <c r="AG87" s="18"/>
      <c r="AH87" s="18"/>
      <c r="AI87" s="18"/>
      <c r="AJ87" s="18"/>
      <c r="AK87" s="18"/>
      <c r="AL87" s="18"/>
      <c r="AM87" s="18"/>
      <c r="AN87" s="18"/>
      <c r="AO87" s="18"/>
      <c r="AP87" s="18"/>
      <c r="AQ87" s="18"/>
      <c r="AR87" s="18"/>
      <c r="AS87" s="18"/>
      <c r="AT87" s="18"/>
      <c r="AU87" s="18"/>
      <c r="AV87" s="18"/>
      <c r="AW87" s="18"/>
      <c r="AX87" s="18"/>
      <c r="AY87" s="18"/>
      <c r="AZ87" s="18"/>
      <c r="BA87" s="18"/>
      <c r="BB87" s="18"/>
      <c r="BC87" s="18"/>
      <c r="BD87" s="18"/>
    </row>
    <row r="88" spans="1:56">
      <c r="A88" s="423" t="s">
        <v>1087</v>
      </c>
      <c r="B88" s="424"/>
      <c r="C88" s="424"/>
      <c r="D88" s="428"/>
      <c r="E88" s="39"/>
      <c r="I88" s="18"/>
      <c r="J88" s="18"/>
      <c r="K88" s="18"/>
      <c r="L88" s="18"/>
      <c r="N88" s="18"/>
      <c r="O88" s="18"/>
      <c r="P88" s="18"/>
      <c r="Q88" s="18"/>
      <c r="R88" s="18"/>
      <c r="S88" s="18"/>
      <c r="T88" s="18"/>
      <c r="U88" s="18"/>
      <c r="V88" s="18"/>
      <c r="W88" s="18"/>
      <c r="X88" s="18"/>
      <c r="Y88" s="18"/>
      <c r="Z88" s="18"/>
      <c r="AA88" s="18"/>
      <c r="AB88" s="18"/>
      <c r="AC88" s="18"/>
      <c r="AD88" s="18"/>
      <c r="AE88" s="18"/>
      <c r="AF88" s="18"/>
      <c r="AG88" s="18"/>
      <c r="AH88" s="18"/>
      <c r="AI88" s="18"/>
      <c r="AJ88" s="18"/>
      <c r="AK88" s="18"/>
      <c r="AL88" s="18"/>
      <c r="AM88" s="18"/>
      <c r="AN88" s="18"/>
      <c r="AO88" s="18"/>
      <c r="AP88" s="18"/>
      <c r="AQ88" s="18"/>
      <c r="AR88" s="18"/>
      <c r="AS88" s="18"/>
      <c r="AT88" s="18"/>
      <c r="AU88" s="18"/>
      <c r="AV88" s="18"/>
      <c r="AW88" s="18"/>
      <c r="AX88" s="18"/>
      <c r="AY88" s="18"/>
      <c r="AZ88" s="18"/>
      <c r="BA88" s="18"/>
      <c r="BB88" s="18"/>
      <c r="BC88" s="18"/>
      <c r="BD88" s="18"/>
    </row>
    <row r="89" spans="1:56" ht="28.8">
      <c r="A89" s="22" t="s">
        <v>1063</v>
      </c>
      <c r="B89" s="23" t="s">
        <v>1064</v>
      </c>
      <c r="C89" s="23" t="s">
        <v>1065</v>
      </c>
      <c r="D89" s="23" t="s">
        <v>1066</v>
      </c>
      <c r="E89" s="39"/>
      <c r="I89" s="18"/>
      <c r="J89" s="18"/>
      <c r="K89" s="18"/>
      <c r="L89" s="18"/>
      <c r="N89" s="18"/>
      <c r="O89" s="18"/>
      <c r="P89" s="18"/>
      <c r="Q89" s="18"/>
      <c r="R89" s="18"/>
      <c r="S89" s="18"/>
      <c r="T89" s="18"/>
      <c r="U89" s="18"/>
      <c r="V89" s="18"/>
      <c r="W89" s="18"/>
      <c r="X89" s="18"/>
      <c r="Y89" s="18"/>
      <c r="Z89" s="18"/>
      <c r="AA89" s="18"/>
      <c r="AB89" s="18"/>
      <c r="AC89" s="18"/>
      <c r="AD89" s="18"/>
      <c r="AE89" s="18"/>
      <c r="AF89" s="18"/>
      <c r="AG89" s="18"/>
      <c r="AH89" s="18"/>
      <c r="AI89" s="18"/>
      <c r="AJ89" s="18"/>
      <c r="AK89" s="18"/>
      <c r="AL89" s="18"/>
      <c r="AM89" s="18"/>
      <c r="AN89" s="18"/>
      <c r="AO89" s="18"/>
      <c r="AP89" s="18"/>
      <c r="AQ89" s="18"/>
      <c r="AR89" s="18"/>
      <c r="AS89" s="18"/>
      <c r="AT89" s="18"/>
      <c r="AU89" s="18"/>
      <c r="AV89" s="18"/>
      <c r="AW89" s="18"/>
      <c r="AX89" s="18"/>
      <c r="AY89" s="18"/>
      <c r="AZ89" s="18"/>
      <c r="BA89" s="18"/>
      <c r="BB89" s="18"/>
      <c r="BC89" s="18"/>
      <c r="BD89" s="18"/>
    </row>
    <row r="90" spans="1:56">
      <c r="A90" s="25" t="s">
        <v>1068</v>
      </c>
      <c r="B90" s="26">
        <v>131</v>
      </c>
      <c r="C90" s="33">
        <v>13.5572519083969</v>
      </c>
      <c r="D90" s="33">
        <v>39.541984732824403</v>
      </c>
      <c r="E90" s="39"/>
      <c r="I90" s="18"/>
      <c r="J90" s="18"/>
      <c r="K90" s="18"/>
      <c r="L90" s="18"/>
      <c r="N90" s="18"/>
      <c r="O90" s="18"/>
      <c r="P90" s="18"/>
      <c r="Q90" s="18"/>
      <c r="R90" s="18"/>
      <c r="S90" s="18"/>
      <c r="T90" s="18"/>
      <c r="U90" s="18"/>
      <c r="V90" s="18"/>
      <c r="W90" s="18"/>
      <c r="X90" s="18"/>
      <c r="Y90" s="18"/>
      <c r="Z90" s="18"/>
      <c r="AA90" s="18"/>
      <c r="AB90" s="18"/>
      <c r="AC90" s="18"/>
      <c r="AD90" s="18"/>
      <c r="AE90" s="18"/>
      <c r="AF90" s="18"/>
      <c r="AG90" s="18"/>
      <c r="AH90" s="18"/>
      <c r="AI90" s="18"/>
      <c r="AJ90" s="18"/>
      <c r="AK90" s="18"/>
      <c r="AL90" s="18"/>
      <c r="AM90" s="18"/>
      <c r="AN90" s="18"/>
      <c r="AO90" s="18"/>
      <c r="AP90" s="18"/>
      <c r="AQ90" s="18"/>
      <c r="AR90" s="18"/>
      <c r="AS90" s="18"/>
      <c r="AT90" s="18"/>
      <c r="AU90" s="18"/>
      <c r="AV90" s="18"/>
      <c r="AW90" s="18"/>
      <c r="AX90" s="18"/>
      <c r="AY90" s="18"/>
      <c r="AZ90" s="18"/>
      <c r="BA90" s="18"/>
      <c r="BB90" s="18"/>
      <c r="BC90" s="18"/>
      <c r="BD90" s="18"/>
    </row>
    <row r="91" spans="1:56">
      <c r="A91" s="25" t="s">
        <v>1069</v>
      </c>
      <c r="B91" s="26">
        <v>9</v>
      </c>
      <c r="C91" s="33">
        <v>19.6666666666667</v>
      </c>
      <c r="D91" s="33">
        <v>45.5555555555556</v>
      </c>
      <c r="E91" s="39"/>
      <c r="I91" s="18"/>
      <c r="J91" s="18"/>
      <c r="K91" s="18"/>
      <c r="L91" s="18"/>
      <c r="N91" s="18"/>
      <c r="O91" s="18"/>
      <c r="P91" s="18"/>
      <c r="Q91" s="18"/>
      <c r="R91" s="18"/>
      <c r="S91" s="18"/>
      <c r="T91" s="18"/>
      <c r="U91" s="18"/>
      <c r="V91" s="18"/>
      <c r="W91" s="18"/>
      <c r="X91" s="18"/>
      <c r="Y91" s="18"/>
      <c r="Z91" s="18"/>
      <c r="AA91" s="18"/>
      <c r="AB91" s="18"/>
      <c r="AC91" s="18"/>
      <c r="AD91" s="18"/>
      <c r="AE91" s="18"/>
      <c r="AF91" s="18"/>
      <c r="AG91" s="18"/>
      <c r="AH91" s="18"/>
      <c r="AI91" s="18"/>
      <c r="AJ91" s="18"/>
      <c r="AK91" s="18"/>
      <c r="AL91" s="18"/>
      <c r="AM91" s="18"/>
      <c r="AN91" s="18"/>
      <c r="AO91" s="18"/>
      <c r="AP91" s="18"/>
      <c r="AQ91" s="18"/>
      <c r="AR91" s="18"/>
      <c r="AS91" s="18"/>
      <c r="AT91" s="18"/>
      <c r="AU91" s="18"/>
      <c r="AV91" s="18"/>
      <c r="AW91" s="18"/>
      <c r="AX91" s="18"/>
      <c r="AY91" s="18"/>
      <c r="AZ91" s="18"/>
      <c r="BA91" s="18"/>
      <c r="BB91" s="18"/>
      <c r="BC91" s="18"/>
      <c r="BD91" s="18"/>
    </row>
    <row r="92" spans="1:56">
      <c r="A92" s="25" t="s">
        <v>1070</v>
      </c>
      <c r="B92" s="26">
        <v>231</v>
      </c>
      <c r="C92" s="33">
        <v>11.103896103896099</v>
      </c>
      <c r="D92" s="33">
        <v>19.826839826839802</v>
      </c>
      <c r="E92" s="39"/>
      <c r="I92" s="18"/>
      <c r="J92" s="18"/>
      <c r="K92" s="18"/>
      <c r="L92" s="18"/>
      <c r="N92" s="18"/>
      <c r="O92" s="18"/>
      <c r="P92" s="18"/>
      <c r="Q92" s="18"/>
      <c r="R92" s="18"/>
      <c r="S92" s="18"/>
      <c r="T92" s="18"/>
      <c r="U92" s="18"/>
      <c r="V92" s="18"/>
      <c r="W92" s="18"/>
      <c r="X92" s="18"/>
      <c r="Y92" s="18"/>
      <c r="Z92" s="18"/>
      <c r="AA92" s="18"/>
      <c r="AB92" s="18"/>
      <c r="AC92" s="18"/>
      <c r="AD92" s="18"/>
      <c r="AE92" s="18"/>
      <c r="AF92" s="18"/>
      <c r="AG92" s="18"/>
      <c r="AH92" s="18"/>
      <c r="AI92" s="18"/>
      <c r="AJ92" s="18"/>
      <c r="AK92" s="18"/>
      <c r="AL92" s="18"/>
      <c r="AM92" s="18"/>
      <c r="AN92" s="18"/>
      <c r="AO92" s="18"/>
      <c r="AP92" s="18"/>
      <c r="AQ92" s="18"/>
      <c r="AR92" s="18"/>
      <c r="AS92" s="18"/>
      <c r="AT92" s="18"/>
      <c r="AU92" s="18"/>
      <c r="AV92" s="18"/>
      <c r="AW92" s="18"/>
      <c r="AX92" s="18"/>
      <c r="AY92" s="18"/>
      <c r="AZ92" s="18"/>
      <c r="BA92" s="18"/>
      <c r="BB92" s="18"/>
      <c r="BC92" s="18"/>
      <c r="BD92" s="18"/>
    </row>
    <row r="93" spans="1:56" ht="28.8">
      <c r="A93" s="27" t="s">
        <v>1071</v>
      </c>
      <c r="B93" s="26">
        <v>46</v>
      </c>
      <c r="C93" s="33">
        <v>7.1956521739130404</v>
      </c>
      <c r="D93" s="33">
        <v>28.195652173913</v>
      </c>
      <c r="E93" s="39"/>
      <c r="I93" s="18"/>
      <c r="J93" s="18"/>
      <c r="K93" s="18"/>
      <c r="L93" s="18"/>
      <c r="N93" s="18"/>
      <c r="O93" s="18"/>
      <c r="P93" s="18"/>
      <c r="Q93" s="18"/>
      <c r="R93" s="18"/>
      <c r="S93" s="18"/>
      <c r="T93" s="18"/>
      <c r="U93" s="18"/>
      <c r="V93" s="18"/>
      <c r="W93" s="18"/>
      <c r="X93" s="18"/>
      <c r="Y93" s="18"/>
      <c r="Z93" s="18"/>
      <c r="AA93" s="18"/>
      <c r="AB93" s="18"/>
      <c r="AC93" s="18"/>
      <c r="AD93" s="18"/>
      <c r="AE93" s="18"/>
      <c r="AF93" s="18"/>
      <c r="AG93" s="18"/>
      <c r="AH93" s="18"/>
      <c r="AI93" s="18"/>
      <c r="AJ93" s="18"/>
      <c r="AK93" s="18"/>
      <c r="AL93" s="18"/>
      <c r="AM93" s="18"/>
      <c r="AN93" s="18"/>
      <c r="AO93" s="18"/>
      <c r="AP93" s="18"/>
      <c r="AQ93" s="18"/>
      <c r="AR93" s="18"/>
      <c r="AS93" s="18"/>
      <c r="AT93" s="18"/>
      <c r="AU93" s="18"/>
      <c r="AV93" s="18"/>
      <c r="AW93" s="18"/>
      <c r="AX93" s="18"/>
      <c r="AY93" s="18"/>
      <c r="AZ93" s="18"/>
      <c r="BA93" s="18"/>
      <c r="BB93" s="18"/>
      <c r="BC93" s="18"/>
      <c r="BD93" s="18"/>
    </row>
    <row r="94" spans="1:56">
      <c r="A94" s="25" t="s">
        <v>1072</v>
      </c>
      <c r="B94" s="26">
        <v>80</v>
      </c>
      <c r="C94" s="33">
        <v>65.037499999999994</v>
      </c>
      <c r="D94" s="33">
        <v>105.7625</v>
      </c>
      <c r="E94" s="39"/>
      <c r="I94" s="18"/>
      <c r="J94" s="18"/>
      <c r="K94" s="18"/>
      <c r="L94" s="18"/>
      <c r="N94" s="18"/>
      <c r="O94" s="18"/>
      <c r="P94" s="18"/>
      <c r="Q94" s="18"/>
      <c r="R94" s="18"/>
      <c r="S94" s="18"/>
      <c r="T94" s="18"/>
      <c r="U94" s="18"/>
      <c r="V94" s="18"/>
      <c r="W94" s="18"/>
      <c r="X94" s="18"/>
      <c r="Y94" s="18"/>
      <c r="Z94" s="18"/>
      <c r="AA94" s="18"/>
      <c r="AB94" s="18"/>
      <c r="AC94" s="18"/>
      <c r="AD94" s="18"/>
      <c r="AE94" s="18"/>
      <c r="AF94" s="18"/>
      <c r="AG94" s="18"/>
      <c r="AH94" s="18"/>
      <c r="AI94" s="18"/>
      <c r="AJ94" s="18"/>
      <c r="AK94" s="18"/>
      <c r="AL94" s="18"/>
      <c r="AM94" s="18"/>
      <c r="AN94" s="18"/>
      <c r="AO94" s="18"/>
      <c r="AP94" s="18"/>
      <c r="AQ94" s="18"/>
      <c r="AR94" s="18"/>
      <c r="AS94" s="18"/>
      <c r="AT94" s="18"/>
      <c r="AU94" s="18"/>
      <c r="AV94" s="18"/>
      <c r="AW94" s="18"/>
      <c r="AX94" s="18"/>
      <c r="AY94" s="18"/>
      <c r="AZ94" s="18"/>
      <c r="BA94" s="18"/>
      <c r="BB94" s="18"/>
      <c r="BC94" s="18"/>
      <c r="BD94" s="18"/>
    </row>
    <row r="95" spans="1:56">
      <c r="A95" s="28" t="s">
        <v>1059</v>
      </c>
      <c r="B95" s="29">
        <v>497</v>
      </c>
      <c r="C95" s="38">
        <v>20.225352112676099</v>
      </c>
      <c r="D95" s="38">
        <v>40.096579476861201</v>
      </c>
      <c r="E95" s="39"/>
      <c r="I95" s="18"/>
      <c r="J95" s="18"/>
      <c r="K95" s="18"/>
      <c r="L95" s="18"/>
      <c r="N95" s="18"/>
      <c r="O95" s="18"/>
      <c r="P95" s="18"/>
      <c r="Q95" s="18"/>
      <c r="R95" s="18"/>
      <c r="S95" s="18"/>
      <c r="T95" s="18"/>
      <c r="U95" s="18"/>
      <c r="V95" s="18"/>
      <c r="W95" s="18"/>
      <c r="X95" s="18"/>
      <c r="Y95" s="18"/>
      <c r="Z95" s="18"/>
      <c r="AA95" s="18"/>
      <c r="AB95" s="18"/>
      <c r="AC95" s="18"/>
      <c r="AD95" s="18"/>
      <c r="AE95" s="18"/>
      <c r="AF95" s="18"/>
      <c r="AG95" s="18"/>
      <c r="AH95" s="18"/>
      <c r="AI95" s="18"/>
      <c r="AJ95" s="18"/>
      <c r="AK95" s="18"/>
      <c r="AL95" s="18"/>
      <c r="AM95" s="18"/>
      <c r="AN95" s="18"/>
      <c r="AO95" s="18"/>
      <c r="AP95" s="18"/>
      <c r="AQ95" s="18"/>
      <c r="AR95" s="18"/>
      <c r="AS95" s="18"/>
      <c r="AT95" s="18"/>
      <c r="AU95" s="18"/>
      <c r="AV95" s="18"/>
      <c r="AW95" s="18"/>
      <c r="AX95" s="18"/>
      <c r="AY95" s="18"/>
      <c r="AZ95" s="18"/>
      <c r="BA95" s="18"/>
      <c r="BB95" s="18"/>
      <c r="BC95" s="18"/>
      <c r="BD95" s="18"/>
    </row>
    <row r="96" spans="1:56">
      <c r="A96" s="39"/>
      <c r="B96" s="39"/>
      <c r="C96" s="39"/>
      <c r="D96" s="39"/>
      <c r="E96" s="39"/>
      <c r="I96" s="18"/>
      <c r="J96" s="18"/>
      <c r="K96" s="18"/>
      <c r="L96" s="18"/>
      <c r="N96" s="18"/>
      <c r="O96" s="18"/>
      <c r="P96" s="18"/>
      <c r="Q96" s="18"/>
      <c r="R96" s="18"/>
      <c r="S96" s="18"/>
      <c r="T96" s="18"/>
      <c r="U96" s="18"/>
      <c r="V96" s="18"/>
      <c r="W96" s="18"/>
      <c r="X96" s="18"/>
      <c r="Y96" s="18"/>
      <c r="Z96" s="18"/>
      <c r="AA96" s="18"/>
      <c r="AB96" s="18"/>
      <c r="AC96" s="18"/>
      <c r="AD96" s="18"/>
      <c r="AE96" s="18"/>
      <c r="AF96" s="18"/>
      <c r="AG96" s="18"/>
      <c r="AH96" s="18"/>
      <c r="AI96" s="18"/>
      <c r="AJ96" s="18"/>
      <c r="AK96" s="18"/>
      <c r="AL96" s="18"/>
      <c r="AM96" s="18"/>
      <c r="AN96" s="18"/>
      <c r="AO96" s="18"/>
      <c r="AP96" s="18"/>
      <c r="AQ96" s="18"/>
      <c r="AR96" s="18"/>
      <c r="AS96" s="18"/>
      <c r="AT96" s="18"/>
      <c r="AU96" s="18"/>
      <c r="AV96" s="18"/>
      <c r="AW96" s="18"/>
      <c r="AX96" s="18"/>
      <c r="AY96" s="18"/>
      <c r="AZ96" s="18"/>
      <c r="BA96" s="18"/>
      <c r="BB96" s="18"/>
      <c r="BC96" s="18"/>
      <c r="BD96" s="18"/>
    </row>
    <row r="97" spans="1:56">
      <c r="A97" s="39" t="s">
        <v>1088</v>
      </c>
      <c r="B97" s="39"/>
      <c r="C97" s="39"/>
      <c r="D97" s="39"/>
      <c r="E97" s="39"/>
      <c r="I97" s="18"/>
      <c r="J97" s="18"/>
      <c r="K97" s="18"/>
      <c r="L97" s="18"/>
      <c r="N97" s="18"/>
      <c r="O97" s="18"/>
      <c r="P97" s="18"/>
      <c r="Q97" s="18"/>
      <c r="R97" s="18"/>
      <c r="S97" s="18"/>
      <c r="T97" s="18"/>
      <c r="U97" s="18"/>
      <c r="V97" s="18"/>
      <c r="W97" s="18"/>
      <c r="X97" s="18"/>
      <c r="Y97" s="18"/>
      <c r="Z97" s="18"/>
      <c r="AA97" s="18"/>
      <c r="AB97" s="18"/>
      <c r="AC97" s="18"/>
      <c r="AD97" s="18"/>
      <c r="AE97" s="18"/>
      <c r="AF97" s="18"/>
      <c r="AG97" s="18"/>
      <c r="AH97" s="18"/>
      <c r="AI97" s="18"/>
      <c r="AJ97" s="18"/>
      <c r="AK97" s="18"/>
      <c r="AL97" s="18"/>
      <c r="AM97" s="18"/>
      <c r="AN97" s="18"/>
      <c r="AO97" s="18"/>
      <c r="AP97" s="18"/>
      <c r="AQ97" s="18"/>
      <c r="AR97" s="18"/>
      <c r="AS97" s="18"/>
      <c r="AT97" s="18"/>
      <c r="AU97" s="18"/>
      <c r="AV97" s="18"/>
      <c r="AW97" s="18"/>
      <c r="AX97" s="18"/>
      <c r="AY97" s="18"/>
      <c r="AZ97" s="18"/>
      <c r="BA97" s="18"/>
      <c r="BB97" s="18"/>
      <c r="BC97" s="18"/>
      <c r="BD97" s="18"/>
    </row>
    <row r="98" spans="1:56">
      <c r="A98" s="39"/>
      <c r="B98" s="39"/>
      <c r="C98" s="39"/>
      <c r="D98" s="39"/>
      <c r="E98" s="39"/>
      <c r="I98" s="18"/>
      <c r="J98" s="18"/>
      <c r="K98" s="18"/>
      <c r="L98" s="18"/>
      <c r="N98" s="18"/>
      <c r="O98" s="18"/>
      <c r="P98" s="18"/>
      <c r="Q98" s="18"/>
      <c r="R98" s="18"/>
      <c r="S98" s="18"/>
      <c r="T98" s="18"/>
      <c r="U98" s="18"/>
      <c r="V98" s="18"/>
      <c r="W98" s="18"/>
      <c r="X98" s="18"/>
      <c r="Y98" s="18"/>
      <c r="Z98" s="18"/>
      <c r="AA98" s="18"/>
      <c r="AB98" s="18"/>
      <c r="AC98" s="18"/>
      <c r="AD98" s="18"/>
      <c r="AE98" s="18"/>
      <c r="AF98" s="18"/>
      <c r="AG98" s="18"/>
      <c r="AH98" s="18"/>
      <c r="AI98" s="18"/>
      <c r="AJ98" s="18"/>
      <c r="AK98" s="18"/>
      <c r="AL98" s="18"/>
      <c r="AM98" s="18"/>
      <c r="AN98" s="18"/>
      <c r="AO98" s="18"/>
      <c r="AP98" s="18"/>
      <c r="AQ98" s="18"/>
      <c r="AR98" s="18"/>
      <c r="AS98" s="18"/>
      <c r="AT98" s="18"/>
      <c r="AU98" s="18"/>
      <c r="AV98" s="18"/>
      <c r="AW98" s="18"/>
      <c r="AX98" s="18"/>
      <c r="AY98" s="18"/>
      <c r="AZ98" s="18"/>
      <c r="BA98" s="18"/>
      <c r="BB98" s="18"/>
      <c r="BC98" s="18"/>
      <c r="BD98" s="18"/>
    </row>
    <row r="99" spans="1:56">
      <c r="A99" s="39"/>
      <c r="B99" s="39"/>
      <c r="C99" s="39"/>
      <c r="D99" s="39"/>
      <c r="E99" s="39"/>
      <c r="I99" s="18"/>
      <c r="J99" s="18"/>
      <c r="K99" s="18"/>
      <c r="L99" s="18"/>
      <c r="N99" s="18"/>
      <c r="O99" s="18"/>
      <c r="P99" s="18"/>
      <c r="Q99" s="18"/>
      <c r="R99" s="18"/>
      <c r="S99" s="18"/>
      <c r="T99" s="18"/>
      <c r="U99" s="18"/>
      <c r="V99" s="18"/>
      <c r="W99" s="18"/>
      <c r="X99" s="18"/>
      <c r="Y99" s="18"/>
      <c r="Z99" s="18"/>
      <c r="AA99" s="18"/>
      <c r="AB99" s="18"/>
      <c r="AC99" s="18"/>
      <c r="AD99" s="18"/>
      <c r="AE99" s="18"/>
      <c r="AF99" s="18"/>
      <c r="AG99" s="18"/>
      <c r="AH99" s="18"/>
      <c r="AI99" s="18"/>
      <c r="AJ99" s="18"/>
      <c r="AK99" s="18"/>
      <c r="AL99" s="18"/>
      <c r="AM99" s="18"/>
      <c r="AN99" s="18"/>
      <c r="AO99" s="18"/>
      <c r="AP99" s="18"/>
      <c r="AQ99" s="18"/>
      <c r="AR99" s="18"/>
      <c r="AS99" s="18"/>
      <c r="AT99" s="18"/>
      <c r="AU99" s="18"/>
      <c r="AV99" s="18"/>
      <c r="AW99" s="18"/>
      <c r="AX99" s="18"/>
      <c r="AY99" s="18"/>
      <c r="AZ99" s="18"/>
      <c r="BA99" s="18"/>
      <c r="BB99" s="18"/>
      <c r="BC99" s="18"/>
      <c r="BD99" s="18"/>
    </row>
    <row r="100" spans="1:56">
      <c r="A100" s="423" t="s">
        <v>1089</v>
      </c>
      <c r="B100" s="424"/>
      <c r="C100" s="424"/>
      <c r="D100" s="428"/>
      <c r="E100" s="39"/>
      <c r="I100" s="18"/>
      <c r="J100" s="18"/>
      <c r="K100" s="18"/>
      <c r="L100" s="18"/>
      <c r="N100" s="18"/>
      <c r="O100" s="18"/>
      <c r="P100" s="18"/>
      <c r="Q100" s="18"/>
      <c r="R100" s="18"/>
      <c r="S100" s="18"/>
      <c r="T100" s="18"/>
      <c r="U100" s="18"/>
      <c r="V100" s="18"/>
      <c r="W100" s="18"/>
      <c r="X100" s="18"/>
      <c r="Y100" s="18"/>
      <c r="Z100" s="18"/>
      <c r="AA100" s="18"/>
      <c r="AB100" s="18"/>
      <c r="AC100" s="18"/>
      <c r="AD100" s="18"/>
      <c r="AE100" s="18"/>
      <c r="AF100" s="18"/>
      <c r="AG100" s="18"/>
      <c r="AH100" s="18"/>
      <c r="AI100" s="18"/>
      <c r="AJ100" s="18"/>
      <c r="AK100" s="18"/>
      <c r="AL100" s="18"/>
      <c r="AM100" s="18"/>
      <c r="AN100" s="18"/>
      <c r="AO100" s="18"/>
      <c r="AP100" s="18"/>
      <c r="AQ100" s="18"/>
      <c r="AR100" s="18"/>
      <c r="AS100" s="18"/>
      <c r="AT100" s="18"/>
      <c r="AU100" s="18"/>
      <c r="AV100" s="18"/>
      <c r="AW100" s="18"/>
      <c r="AX100" s="18"/>
      <c r="AY100" s="18"/>
      <c r="AZ100" s="18"/>
      <c r="BA100" s="18"/>
      <c r="BB100" s="18"/>
      <c r="BC100" s="18"/>
      <c r="BD100" s="18"/>
    </row>
    <row r="101" spans="1:56" ht="28.8">
      <c r="A101" s="22" t="s">
        <v>1063</v>
      </c>
      <c r="B101" s="23" t="s">
        <v>1064</v>
      </c>
      <c r="C101" s="23" t="s">
        <v>1065</v>
      </c>
      <c r="D101" s="23" t="s">
        <v>1066</v>
      </c>
      <c r="E101" s="39"/>
      <c r="I101" s="18"/>
      <c r="J101" s="18"/>
      <c r="K101" s="18"/>
      <c r="L101" s="18"/>
      <c r="N101" s="18"/>
      <c r="O101" s="18"/>
      <c r="P101" s="18"/>
      <c r="Q101" s="18"/>
      <c r="R101" s="18"/>
      <c r="S101" s="18"/>
      <c r="T101" s="18"/>
      <c r="U101" s="18"/>
      <c r="V101" s="18"/>
      <c r="W101" s="18"/>
      <c r="X101" s="18"/>
      <c r="Y101" s="18"/>
      <c r="Z101" s="18"/>
      <c r="AA101" s="18"/>
      <c r="AB101" s="18"/>
      <c r="AC101" s="18"/>
      <c r="AD101" s="18"/>
      <c r="AE101" s="18"/>
      <c r="AF101" s="18"/>
      <c r="AG101" s="18"/>
      <c r="AH101" s="18"/>
      <c r="AI101" s="18"/>
      <c r="AJ101" s="18"/>
      <c r="AK101" s="18"/>
      <c r="AL101" s="18"/>
      <c r="AM101" s="18"/>
      <c r="AN101" s="18"/>
      <c r="AO101" s="18"/>
      <c r="AP101" s="18"/>
      <c r="AQ101" s="18"/>
      <c r="AR101" s="18"/>
      <c r="AS101" s="18"/>
      <c r="AT101" s="18"/>
      <c r="AU101" s="18"/>
      <c r="AV101" s="18"/>
      <c r="AW101" s="18"/>
      <c r="AX101" s="18"/>
      <c r="AY101" s="18"/>
      <c r="AZ101" s="18"/>
      <c r="BA101" s="18"/>
      <c r="BB101" s="18"/>
      <c r="BC101" s="18"/>
      <c r="BD101" s="18"/>
    </row>
    <row r="102" spans="1:56">
      <c r="A102" s="25" t="s">
        <v>1068</v>
      </c>
      <c r="B102" s="26">
        <v>140</v>
      </c>
      <c r="C102" s="33">
        <v>30.0905403439154</v>
      </c>
      <c r="D102" s="33">
        <v>52.017708746693103</v>
      </c>
      <c r="E102" s="39"/>
      <c r="I102" s="18"/>
      <c r="J102" s="18"/>
      <c r="K102" s="18"/>
      <c r="L102" s="18"/>
      <c r="N102" s="18"/>
      <c r="O102" s="18"/>
      <c r="P102" s="18"/>
      <c r="Q102" s="18"/>
      <c r="R102" s="18"/>
      <c r="S102" s="18"/>
      <c r="T102" s="18"/>
      <c r="U102" s="18"/>
      <c r="V102" s="18"/>
      <c r="W102" s="18"/>
      <c r="X102" s="18"/>
      <c r="Y102" s="18"/>
      <c r="Z102" s="18"/>
      <c r="AA102" s="18"/>
      <c r="AB102" s="18"/>
      <c r="AC102" s="18"/>
      <c r="AD102" s="18"/>
      <c r="AE102" s="18"/>
      <c r="AF102" s="18"/>
      <c r="AG102" s="18"/>
      <c r="AH102" s="18"/>
      <c r="AI102" s="18"/>
      <c r="AJ102" s="18"/>
      <c r="AK102" s="18"/>
      <c r="AL102" s="18"/>
      <c r="AM102" s="18"/>
      <c r="AN102" s="18"/>
      <c r="AO102" s="18"/>
      <c r="AP102" s="18"/>
      <c r="AQ102" s="18"/>
      <c r="AR102" s="18"/>
      <c r="AS102" s="18"/>
      <c r="AT102" s="18"/>
      <c r="AU102" s="18"/>
      <c r="AV102" s="18"/>
      <c r="AW102" s="18"/>
      <c r="AX102" s="18"/>
      <c r="AY102" s="18"/>
      <c r="AZ102" s="18"/>
      <c r="BA102" s="18"/>
      <c r="BB102" s="18"/>
      <c r="BC102" s="18"/>
      <c r="BD102" s="18"/>
    </row>
    <row r="103" spans="1:56">
      <c r="A103" s="25" t="s">
        <v>1069</v>
      </c>
      <c r="B103" s="26">
        <v>13</v>
      </c>
      <c r="C103" s="33">
        <v>84.177498219373206</v>
      </c>
      <c r="D103" s="33">
        <v>136.59158030626801</v>
      </c>
      <c r="E103" s="39"/>
      <c r="I103" s="18"/>
      <c r="J103" s="18"/>
      <c r="K103" s="18"/>
      <c r="L103" s="18"/>
      <c r="N103" s="18"/>
      <c r="O103" s="18"/>
      <c r="P103" s="18"/>
      <c r="Q103" s="18"/>
      <c r="R103" s="18"/>
      <c r="S103" s="18"/>
      <c r="T103" s="18"/>
      <c r="U103" s="18"/>
      <c r="V103" s="18"/>
      <c r="W103" s="18"/>
      <c r="X103" s="18"/>
      <c r="Y103" s="18"/>
      <c r="Z103" s="18"/>
      <c r="AA103" s="18"/>
      <c r="AB103" s="18"/>
      <c r="AC103" s="18"/>
      <c r="AD103" s="18"/>
      <c r="AE103" s="18"/>
      <c r="AF103" s="18"/>
      <c r="AG103" s="18"/>
      <c r="AH103" s="18"/>
      <c r="AI103" s="18"/>
      <c r="AJ103" s="18"/>
      <c r="AK103" s="18"/>
      <c r="AL103" s="18"/>
      <c r="AM103" s="18"/>
      <c r="AN103" s="18"/>
      <c r="AO103" s="18"/>
      <c r="AP103" s="18"/>
      <c r="AQ103" s="18"/>
      <c r="AR103" s="18"/>
      <c r="AS103" s="18"/>
      <c r="AT103" s="18"/>
      <c r="AU103" s="18"/>
      <c r="AV103" s="18"/>
      <c r="AW103" s="18"/>
      <c r="AX103" s="18"/>
      <c r="AY103" s="18"/>
      <c r="AZ103" s="18"/>
      <c r="BA103" s="18"/>
      <c r="BB103" s="18"/>
      <c r="BC103" s="18"/>
      <c r="BD103" s="18"/>
    </row>
    <row r="104" spans="1:56">
      <c r="A104" s="25" t="s">
        <v>1090</v>
      </c>
      <c r="B104" s="26">
        <v>96</v>
      </c>
      <c r="C104" s="33">
        <v>13.5758561197917</v>
      </c>
      <c r="D104" s="33">
        <v>19.428074966242299</v>
      </c>
      <c r="E104" s="39"/>
      <c r="I104" s="18"/>
      <c r="J104" s="18"/>
      <c r="K104" s="18"/>
      <c r="L104" s="18"/>
      <c r="N104" s="18"/>
      <c r="O104" s="18"/>
      <c r="P104" s="18"/>
      <c r="Q104" s="18"/>
      <c r="R104" s="18"/>
      <c r="S104" s="18"/>
      <c r="T104" s="18"/>
      <c r="U104" s="18"/>
      <c r="V104" s="18"/>
      <c r="W104" s="18"/>
      <c r="X104" s="18"/>
      <c r="Y104" s="18"/>
      <c r="Z104" s="18"/>
      <c r="AA104" s="18"/>
      <c r="AB104" s="18"/>
      <c r="AC104" s="18"/>
      <c r="AD104" s="18"/>
      <c r="AE104" s="18"/>
      <c r="AF104" s="18"/>
      <c r="AG104" s="18"/>
      <c r="AH104" s="18"/>
      <c r="AI104" s="18"/>
      <c r="AJ104" s="18"/>
      <c r="AK104" s="18"/>
      <c r="AL104" s="18"/>
      <c r="AM104" s="18"/>
      <c r="AN104" s="18"/>
      <c r="AO104" s="18"/>
      <c r="AP104" s="18"/>
      <c r="AQ104" s="18"/>
      <c r="AR104" s="18"/>
      <c r="AS104" s="18"/>
      <c r="AT104" s="18"/>
      <c r="AU104" s="18"/>
      <c r="AV104" s="18"/>
      <c r="AW104" s="18"/>
      <c r="AX104" s="18"/>
      <c r="AY104" s="18"/>
      <c r="AZ104" s="18"/>
      <c r="BA104" s="18"/>
      <c r="BB104" s="18"/>
      <c r="BC104" s="18"/>
      <c r="BD104" s="18"/>
    </row>
    <row r="105" spans="1:56" ht="28.8">
      <c r="A105" s="27" t="s">
        <v>1071</v>
      </c>
      <c r="B105" s="26">
        <v>51</v>
      </c>
      <c r="C105" s="33">
        <v>20.052869462599901</v>
      </c>
      <c r="D105" s="33">
        <v>34.352804330065403</v>
      </c>
      <c r="E105" s="39"/>
      <c r="I105" s="18"/>
      <c r="J105" s="18"/>
      <c r="K105" s="18"/>
      <c r="L105" s="18"/>
      <c r="N105" s="18"/>
      <c r="O105" s="18"/>
      <c r="P105" s="18"/>
      <c r="Q105" s="18"/>
      <c r="R105" s="18"/>
      <c r="S105" s="18"/>
      <c r="T105" s="18"/>
      <c r="U105" s="18"/>
      <c r="V105" s="18"/>
      <c r="W105" s="18"/>
      <c r="X105" s="18"/>
      <c r="Y105" s="18"/>
      <c r="Z105" s="18"/>
      <c r="AA105" s="18"/>
      <c r="AB105" s="18"/>
      <c r="AC105" s="18"/>
      <c r="AD105" s="18"/>
      <c r="AE105" s="18"/>
      <c r="AF105" s="18"/>
      <c r="AG105" s="18"/>
      <c r="AH105" s="18"/>
      <c r="AI105" s="18"/>
      <c r="AJ105" s="18"/>
      <c r="AK105" s="18"/>
      <c r="AL105" s="18"/>
      <c r="AM105" s="18"/>
      <c r="AN105" s="18"/>
      <c r="AO105" s="18"/>
      <c r="AP105" s="18"/>
      <c r="AQ105" s="18"/>
      <c r="AR105" s="18"/>
      <c r="AS105" s="18"/>
      <c r="AT105" s="18"/>
      <c r="AU105" s="18"/>
      <c r="AV105" s="18"/>
      <c r="AW105" s="18"/>
      <c r="AX105" s="18"/>
      <c r="AY105" s="18"/>
      <c r="AZ105" s="18"/>
      <c r="BA105" s="18"/>
      <c r="BB105" s="18"/>
      <c r="BC105" s="18"/>
      <c r="BD105" s="18"/>
    </row>
    <row r="106" spans="1:56">
      <c r="A106" s="25" t="s">
        <v>1072</v>
      </c>
      <c r="B106" s="26">
        <v>91</v>
      </c>
      <c r="C106" s="33">
        <v>117.879158017908</v>
      </c>
      <c r="D106" s="33">
        <v>145.73506817256799</v>
      </c>
      <c r="E106" s="39"/>
      <c r="I106" s="18"/>
      <c r="J106" s="18"/>
      <c r="K106" s="18"/>
      <c r="L106" s="18"/>
      <c r="N106" s="18"/>
      <c r="O106" s="18"/>
      <c r="P106" s="18"/>
      <c r="Q106" s="18"/>
      <c r="R106" s="18"/>
      <c r="S106" s="18"/>
      <c r="T106" s="18"/>
      <c r="U106" s="18"/>
      <c r="V106" s="18"/>
      <c r="W106" s="18"/>
      <c r="X106" s="18"/>
      <c r="Y106" s="18"/>
      <c r="Z106" s="18"/>
      <c r="AA106" s="18"/>
      <c r="AB106" s="18"/>
      <c r="AC106" s="18"/>
      <c r="AD106" s="18"/>
      <c r="AE106" s="18"/>
      <c r="AF106" s="18"/>
      <c r="AG106" s="18"/>
      <c r="AH106" s="18"/>
      <c r="AI106" s="18"/>
      <c r="AJ106" s="18"/>
      <c r="AK106" s="18"/>
      <c r="AL106" s="18"/>
      <c r="AM106" s="18"/>
      <c r="AN106" s="18"/>
      <c r="AO106" s="18"/>
      <c r="AP106" s="18"/>
      <c r="AQ106" s="18"/>
      <c r="AR106" s="18"/>
      <c r="AS106" s="18"/>
      <c r="AT106" s="18"/>
      <c r="AU106" s="18"/>
      <c r="AV106" s="18"/>
      <c r="AW106" s="18"/>
      <c r="AX106" s="18"/>
      <c r="AY106" s="18"/>
      <c r="AZ106" s="18"/>
      <c r="BA106" s="18"/>
      <c r="BB106" s="18"/>
      <c r="BC106" s="18"/>
      <c r="BD106" s="18"/>
    </row>
    <row r="107" spans="1:56">
      <c r="A107" s="28" t="s">
        <v>1059</v>
      </c>
      <c r="B107" s="29">
        <v>391</v>
      </c>
      <c r="C107" s="38">
        <v>46.956432313867602</v>
      </c>
      <c r="D107" s="38">
        <v>66.3354199228</v>
      </c>
      <c r="E107" s="39"/>
      <c r="I107" s="18"/>
      <c r="J107" s="18"/>
      <c r="K107" s="18"/>
      <c r="L107" s="18"/>
      <c r="N107" s="18"/>
      <c r="O107" s="18"/>
      <c r="P107" s="18"/>
      <c r="Q107" s="18"/>
      <c r="R107" s="18"/>
      <c r="S107" s="18"/>
      <c r="T107" s="18"/>
      <c r="U107" s="18"/>
      <c r="V107" s="18"/>
      <c r="W107" s="18"/>
      <c r="X107" s="18"/>
      <c r="Y107" s="18"/>
      <c r="Z107" s="18"/>
      <c r="AA107" s="18"/>
      <c r="AB107" s="18"/>
      <c r="AC107" s="18"/>
      <c r="AD107" s="18"/>
      <c r="AE107" s="18"/>
      <c r="AF107" s="18"/>
      <c r="AG107" s="18"/>
      <c r="AH107" s="18"/>
      <c r="AI107" s="18"/>
      <c r="AJ107" s="18"/>
      <c r="AK107" s="18"/>
      <c r="AL107" s="18"/>
      <c r="AM107" s="18"/>
      <c r="AN107" s="18"/>
      <c r="AO107" s="18"/>
      <c r="AP107" s="18"/>
      <c r="AQ107" s="18"/>
      <c r="AR107" s="18"/>
      <c r="AS107" s="18"/>
      <c r="AT107" s="18"/>
      <c r="AU107" s="18"/>
      <c r="AV107" s="18"/>
      <c r="AW107" s="18"/>
      <c r="AX107" s="18"/>
      <c r="AY107" s="18"/>
      <c r="AZ107" s="18"/>
      <c r="BA107" s="18"/>
      <c r="BB107" s="18"/>
      <c r="BC107" s="18"/>
      <c r="BD107" s="18"/>
    </row>
    <row r="108" spans="1:56">
      <c r="A108" s="39"/>
      <c r="B108" s="39"/>
      <c r="C108" s="39"/>
      <c r="D108" s="39"/>
      <c r="E108" s="39"/>
      <c r="I108" s="18"/>
      <c r="J108" s="18"/>
      <c r="K108" s="18"/>
      <c r="L108" s="18"/>
      <c r="N108" s="18"/>
      <c r="O108" s="18"/>
      <c r="P108" s="18"/>
      <c r="Q108" s="18"/>
      <c r="R108" s="18"/>
      <c r="S108" s="18"/>
      <c r="T108" s="18"/>
      <c r="U108" s="18"/>
      <c r="V108" s="18"/>
      <c r="W108" s="18"/>
      <c r="X108" s="18"/>
      <c r="Y108" s="18"/>
      <c r="Z108" s="18"/>
      <c r="AA108" s="18"/>
      <c r="AB108" s="18"/>
      <c r="AC108" s="18"/>
      <c r="AD108" s="18"/>
      <c r="AE108" s="18"/>
      <c r="AF108" s="18"/>
      <c r="AG108" s="18"/>
      <c r="AH108" s="18"/>
      <c r="AI108" s="18"/>
      <c r="AJ108" s="18"/>
      <c r="AK108" s="18"/>
      <c r="AL108" s="18"/>
      <c r="AM108" s="18"/>
      <c r="AN108" s="18"/>
      <c r="AO108" s="18"/>
      <c r="AP108" s="18"/>
      <c r="AQ108" s="18"/>
      <c r="AR108" s="18"/>
      <c r="AS108" s="18"/>
      <c r="AT108" s="18"/>
      <c r="AU108" s="18"/>
      <c r="AV108" s="18"/>
      <c r="AW108" s="18"/>
      <c r="AX108" s="18"/>
      <c r="AY108" s="18"/>
      <c r="AZ108" s="18"/>
      <c r="BA108" s="18"/>
      <c r="BB108" s="18"/>
      <c r="BC108" s="18"/>
      <c r="BD108" s="18"/>
    </row>
    <row r="109" spans="1:56">
      <c r="A109" s="39" t="s">
        <v>1091</v>
      </c>
      <c r="B109" s="39"/>
      <c r="C109" s="39"/>
      <c r="D109" s="39"/>
      <c r="E109" s="39"/>
      <c r="I109" s="18"/>
      <c r="J109" s="18"/>
      <c r="K109" s="18"/>
      <c r="L109" s="18"/>
      <c r="N109" s="18"/>
      <c r="O109" s="18"/>
      <c r="P109" s="18"/>
      <c r="Q109" s="18"/>
      <c r="R109" s="18"/>
      <c r="S109" s="18"/>
      <c r="T109" s="18"/>
      <c r="U109" s="18"/>
      <c r="V109" s="18"/>
      <c r="W109" s="18"/>
      <c r="X109" s="18"/>
      <c r="Y109" s="18"/>
      <c r="Z109" s="18"/>
      <c r="AA109" s="18"/>
      <c r="AB109" s="18"/>
      <c r="AC109" s="18"/>
      <c r="AD109" s="18"/>
      <c r="AE109" s="18"/>
      <c r="AF109" s="18"/>
      <c r="AG109" s="18"/>
      <c r="AH109" s="18"/>
      <c r="AI109" s="18"/>
      <c r="AJ109" s="18"/>
      <c r="AK109" s="18"/>
      <c r="AL109" s="18"/>
      <c r="AM109" s="18"/>
      <c r="AN109" s="18"/>
      <c r="AO109" s="18"/>
      <c r="AP109" s="18"/>
      <c r="AQ109" s="18"/>
      <c r="AR109" s="18"/>
      <c r="AS109" s="18"/>
      <c r="AT109" s="18"/>
      <c r="AU109" s="18"/>
      <c r="AV109" s="18"/>
      <c r="AW109" s="18"/>
      <c r="AX109" s="18"/>
      <c r="AY109" s="18"/>
      <c r="AZ109" s="18"/>
      <c r="BA109" s="18"/>
      <c r="BB109" s="18"/>
      <c r="BC109" s="18"/>
      <c r="BD109" s="18"/>
    </row>
    <row r="110" spans="1:56">
      <c r="A110" s="39"/>
      <c r="B110" s="39"/>
      <c r="C110" s="39"/>
      <c r="D110" s="39"/>
      <c r="E110" s="39"/>
      <c r="I110" s="18"/>
      <c r="J110" s="18"/>
      <c r="K110" s="18"/>
      <c r="L110" s="18"/>
      <c r="N110" s="18"/>
      <c r="O110" s="18"/>
      <c r="P110" s="18"/>
      <c r="Q110" s="18"/>
      <c r="R110" s="18"/>
      <c r="S110" s="18"/>
      <c r="T110" s="18"/>
      <c r="U110" s="18"/>
      <c r="V110" s="18"/>
      <c r="W110" s="18"/>
      <c r="X110" s="18"/>
      <c r="Y110" s="18"/>
      <c r="Z110" s="18"/>
      <c r="AA110" s="18"/>
      <c r="AB110" s="18"/>
      <c r="AC110" s="18"/>
      <c r="AD110" s="18"/>
      <c r="AE110" s="18"/>
      <c r="AF110" s="18"/>
      <c r="AG110" s="18"/>
      <c r="AH110" s="18"/>
      <c r="AI110" s="18"/>
      <c r="AJ110" s="18"/>
      <c r="AK110" s="18"/>
      <c r="AL110" s="18"/>
      <c r="AM110" s="18"/>
      <c r="AN110" s="18"/>
      <c r="AO110" s="18"/>
      <c r="AP110" s="18"/>
      <c r="AQ110" s="18"/>
      <c r="AR110" s="18"/>
      <c r="AS110" s="18"/>
      <c r="AT110" s="18"/>
      <c r="AU110" s="18"/>
      <c r="AV110" s="18"/>
      <c r="AW110" s="18"/>
      <c r="AX110" s="18"/>
      <c r="AY110" s="18"/>
      <c r="AZ110" s="18"/>
      <c r="BA110" s="18"/>
      <c r="BB110" s="18"/>
      <c r="BC110" s="18"/>
      <c r="BD110" s="18"/>
    </row>
    <row r="111" spans="1:56">
      <c r="A111" s="39"/>
      <c r="B111" s="39"/>
      <c r="C111" s="39"/>
      <c r="D111" s="39"/>
      <c r="E111" s="39"/>
      <c r="I111" s="18"/>
      <c r="J111" s="18"/>
      <c r="K111" s="18"/>
      <c r="L111" s="18"/>
      <c r="N111" s="18"/>
      <c r="O111" s="18"/>
      <c r="P111" s="18"/>
      <c r="Q111" s="18"/>
      <c r="R111" s="18"/>
      <c r="S111" s="18"/>
      <c r="T111" s="18"/>
      <c r="U111" s="18"/>
      <c r="V111" s="18"/>
      <c r="W111" s="18"/>
      <c r="X111" s="18"/>
      <c r="Y111" s="18"/>
      <c r="Z111" s="18"/>
      <c r="AA111" s="18"/>
      <c r="AB111" s="18"/>
      <c r="AC111" s="18"/>
      <c r="AD111" s="18"/>
      <c r="AE111" s="18"/>
      <c r="AF111" s="18"/>
      <c r="AG111" s="18"/>
      <c r="AH111" s="18"/>
      <c r="AI111" s="18"/>
      <c r="AJ111" s="18"/>
      <c r="AK111" s="18"/>
      <c r="AL111" s="18"/>
      <c r="AM111" s="18"/>
      <c r="AN111" s="18"/>
      <c r="AO111" s="18"/>
      <c r="AP111" s="18"/>
      <c r="AQ111" s="18"/>
      <c r="AR111" s="18"/>
      <c r="AS111" s="18"/>
      <c r="AT111" s="18"/>
      <c r="AU111" s="18"/>
      <c r="AV111" s="18"/>
      <c r="AW111" s="18"/>
      <c r="AX111" s="18"/>
      <c r="AY111" s="18"/>
      <c r="AZ111" s="18"/>
      <c r="BA111" s="18"/>
      <c r="BB111" s="18"/>
      <c r="BC111" s="18"/>
      <c r="BD111" s="18"/>
    </row>
    <row r="112" spans="1:56">
      <c r="A112" s="423" t="s">
        <v>1092</v>
      </c>
      <c r="B112" s="424"/>
      <c r="C112" s="424"/>
      <c r="D112" s="428"/>
      <c r="E112" s="39"/>
      <c r="I112" s="18"/>
      <c r="J112" s="18"/>
      <c r="K112" s="18"/>
      <c r="L112" s="18"/>
      <c r="N112" s="18"/>
      <c r="O112" s="18"/>
      <c r="P112" s="18"/>
      <c r="Q112" s="18"/>
      <c r="R112" s="18"/>
      <c r="S112" s="18"/>
      <c r="T112" s="18"/>
      <c r="U112" s="18"/>
      <c r="V112" s="18"/>
      <c r="W112" s="18"/>
      <c r="X112" s="18"/>
      <c r="Y112" s="18"/>
      <c r="Z112" s="18"/>
      <c r="AA112" s="18"/>
      <c r="AB112" s="18"/>
      <c r="AC112" s="18"/>
      <c r="AD112" s="18"/>
      <c r="AE112" s="18"/>
      <c r="AF112" s="18"/>
      <c r="AG112" s="18"/>
      <c r="AH112" s="18"/>
      <c r="AI112" s="18"/>
      <c r="AJ112" s="18"/>
      <c r="AK112" s="18"/>
      <c r="AL112" s="18"/>
      <c r="AM112" s="18"/>
      <c r="AN112" s="18"/>
      <c r="AO112" s="18"/>
      <c r="AP112" s="18"/>
      <c r="AQ112" s="18"/>
      <c r="AR112" s="18"/>
      <c r="AS112" s="18"/>
      <c r="AT112" s="18"/>
      <c r="AU112" s="18"/>
      <c r="AV112" s="18"/>
      <c r="AW112" s="18"/>
      <c r="AX112" s="18"/>
      <c r="AY112" s="18"/>
      <c r="AZ112" s="18"/>
      <c r="BA112" s="18"/>
      <c r="BB112" s="18"/>
      <c r="BC112" s="18"/>
      <c r="BD112" s="18"/>
    </row>
    <row r="113" spans="1:56" ht="28.8">
      <c r="A113" s="22" t="s">
        <v>1063</v>
      </c>
      <c r="B113" s="23" t="s">
        <v>1064</v>
      </c>
      <c r="C113" s="23" t="s">
        <v>1065</v>
      </c>
      <c r="D113" s="23" t="s">
        <v>1066</v>
      </c>
      <c r="E113" s="39"/>
      <c r="I113" s="18"/>
      <c r="J113" s="18"/>
      <c r="K113" s="18"/>
      <c r="L113" s="18"/>
      <c r="N113" s="18"/>
      <c r="O113" s="18"/>
      <c r="P113" s="18"/>
      <c r="Q113" s="18"/>
      <c r="R113" s="18"/>
      <c r="S113" s="18"/>
      <c r="T113" s="18"/>
      <c r="U113" s="18"/>
      <c r="V113" s="18"/>
      <c r="W113" s="18"/>
      <c r="X113" s="18"/>
      <c r="Y113" s="18"/>
      <c r="Z113" s="18"/>
      <c r="AA113" s="18"/>
      <c r="AB113" s="18"/>
      <c r="AC113" s="18"/>
      <c r="AD113" s="18"/>
      <c r="AE113" s="18"/>
      <c r="AF113" s="18"/>
      <c r="AG113" s="18"/>
      <c r="AH113" s="18"/>
      <c r="AI113" s="18"/>
      <c r="AJ113" s="18"/>
      <c r="AK113" s="18"/>
      <c r="AL113" s="18"/>
      <c r="AM113" s="18"/>
      <c r="AN113" s="18"/>
      <c r="AO113" s="18"/>
      <c r="AP113" s="18"/>
      <c r="AQ113" s="18"/>
      <c r="AR113" s="18"/>
      <c r="AS113" s="18"/>
      <c r="AT113" s="18"/>
      <c r="AU113" s="18"/>
      <c r="AV113" s="18"/>
      <c r="AW113" s="18"/>
      <c r="AX113" s="18"/>
      <c r="AY113" s="18"/>
      <c r="AZ113" s="18"/>
      <c r="BA113" s="18"/>
      <c r="BB113" s="18"/>
      <c r="BC113" s="18"/>
      <c r="BD113" s="18"/>
    </row>
    <row r="114" spans="1:56">
      <c r="A114" s="25" t="s">
        <v>1068</v>
      </c>
      <c r="B114" s="26">
        <v>167</v>
      </c>
      <c r="C114" s="33">
        <v>30.496791417165699</v>
      </c>
      <c r="D114" s="33">
        <v>43.280074573076099</v>
      </c>
      <c r="E114" s="39"/>
      <c r="I114" s="18"/>
      <c r="J114" s="18"/>
      <c r="K114" s="18"/>
      <c r="L114" s="18"/>
      <c r="N114" s="18"/>
      <c r="O114" s="18"/>
      <c r="P114" s="18"/>
      <c r="Q114" s="18"/>
      <c r="R114" s="18"/>
      <c r="S114" s="18"/>
      <c r="T114" s="18"/>
      <c r="U114" s="18"/>
      <c r="V114" s="18"/>
      <c r="W114" s="18"/>
      <c r="X114" s="18"/>
      <c r="Y114" s="18"/>
      <c r="Z114" s="18"/>
      <c r="AA114" s="18"/>
      <c r="AB114" s="18"/>
      <c r="AC114" s="18"/>
      <c r="AD114" s="18"/>
      <c r="AE114" s="18"/>
      <c r="AF114" s="18"/>
      <c r="AG114" s="18"/>
      <c r="AH114" s="18"/>
      <c r="AI114" s="18"/>
      <c r="AJ114" s="18"/>
      <c r="AK114" s="18"/>
      <c r="AL114" s="18"/>
      <c r="AM114" s="18"/>
      <c r="AN114" s="18"/>
      <c r="AO114" s="18"/>
      <c r="AP114" s="18"/>
      <c r="AQ114" s="18"/>
      <c r="AR114" s="18"/>
      <c r="AS114" s="18"/>
      <c r="AT114" s="18"/>
      <c r="AU114" s="18"/>
      <c r="AV114" s="18"/>
      <c r="AW114" s="18"/>
      <c r="AX114" s="18"/>
      <c r="AY114" s="18"/>
      <c r="AZ114" s="18"/>
      <c r="BA114" s="18"/>
      <c r="BB114" s="18"/>
      <c r="BC114" s="18"/>
      <c r="BD114" s="18"/>
    </row>
    <row r="115" spans="1:56">
      <c r="A115" s="25" t="s">
        <v>1069</v>
      </c>
      <c r="B115" s="26">
        <v>28</v>
      </c>
      <c r="C115" s="33">
        <v>53.0399983465608</v>
      </c>
      <c r="D115" s="33">
        <v>79.322636408730204</v>
      </c>
      <c r="E115" s="39"/>
      <c r="I115" s="18"/>
      <c r="J115" s="18"/>
      <c r="K115" s="18"/>
      <c r="L115" s="18"/>
      <c r="N115" s="18"/>
      <c r="O115" s="18"/>
      <c r="P115" s="18"/>
      <c r="Q115" s="18"/>
      <c r="R115" s="18"/>
      <c r="S115" s="18"/>
      <c r="T115" s="18"/>
      <c r="U115" s="18"/>
      <c r="V115" s="18"/>
      <c r="W115" s="18"/>
      <c r="X115" s="18"/>
      <c r="Y115" s="18"/>
      <c r="Z115" s="18"/>
      <c r="AA115" s="18"/>
      <c r="AB115" s="18"/>
      <c r="AC115" s="18"/>
      <c r="AD115" s="18"/>
      <c r="AE115" s="18"/>
      <c r="AF115" s="18"/>
      <c r="AG115" s="18"/>
      <c r="AH115" s="18"/>
      <c r="AI115" s="18"/>
      <c r="AJ115" s="18"/>
      <c r="AK115" s="18"/>
      <c r="AL115" s="18"/>
      <c r="AM115" s="18"/>
      <c r="AN115" s="18"/>
      <c r="AO115" s="18"/>
      <c r="AP115" s="18"/>
      <c r="AQ115" s="18"/>
      <c r="AR115" s="18"/>
      <c r="AS115" s="18"/>
      <c r="AT115" s="18"/>
      <c r="AU115" s="18"/>
      <c r="AV115" s="18"/>
      <c r="AW115" s="18"/>
      <c r="AX115" s="18"/>
      <c r="AY115" s="18"/>
      <c r="AZ115" s="18"/>
      <c r="BA115" s="18"/>
      <c r="BB115" s="18"/>
      <c r="BC115" s="18"/>
      <c r="BD115" s="18"/>
    </row>
    <row r="116" spans="1:56">
      <c r="A116" s="25" t="s">
        <v>1090</v>
      </c>
      <c r="B116" s="26">
        <v>76</v>
      </c>
      <c r="C116" s="33">
        <v>17.020504385964902</v>
      </c>
      <c r="D116" s="33">
        <v>22.3641558540448</v>
      </c>
      <c r="E116" s="39"/>
      <c r="I116" s="18"/>
      <c r="J116" s="18"/>
      <c r="K116" s="18"/>
      <c r="L116" s="18"/>
      <c r="N116" s="18"/>
      <c r="O116" s="18"/>
      <c r="P116" s="18"/>
      <c r="Q116" s="18"/>
      <c r="R116" s="18"/>
      <c r="S116" s="18"/>
      <c r="T116" s="18"/>
      <c r="U116" s="18"/>
      <c r="V116" s="18"/>
      <c r="W116" s="18"/>
      <c r="X116" s="18"/>
      <c r="Y116" s="18"/>
      <c r="Z116" s="18"/>
      <c r="AA116" s="18"/>
      <c r="AB116" s="18"/>
      <c r="AC116" s="18"/>
      <c r="AD116" s="18"/>
      <c r="AE116" s="18"/>
      <c r="AF116" s="18"/>
      <c r="AG116" s="18"/>
      <c r="AH116" s="18"/>
      <c r="AI116" s="18"/>
      <c r="AJ116" s="18"/>
      <c r="AK116" s="18"/>
      <c r="AL116" s="18"/>
      <c r="AM116" s="18"/>
      <c r="AN116" s="18"/>
      <c r="AO116" s="18"/>
      <c r="AP116" s="18"/>
      <c r="AQ116" s="18"/>
      <c r="AR116" s="18"/>
      <c r="AS116" s="18"/>
      <c r="AT116" s="18"/>
      <c r="AU116" s="18"/>
      <c r="AV116" s="18"/>
      <c r="AW116" s="18"/>
      <c r="AX116" s="18"/>
      <c r="AY116" s="18"/>
      <c r="AZ116" s="18"/>
      <c r="BA116" s="18"/>
      <c r="BB116" s="18"/>
      <c r="BC116" s="18"/>
      <c r="BD116" s="18"/>
    </row>
    <row r="117" spans="1:56" ht="28.8">
      <c r="A117" s="27" t="s">
        <v>1071</v>
      </c>
      <c r="B117" s="26">
        <v>63</v>
      </c>
      <c r="C117" s="33">
        <v>24.704727917401499</v>
      </c>
      <c r="D117" s="33">
        <v>37.6242533803645</v>
      </c>
      <c r="E117" s="39"/>
      <c r="I117" s="18"/>
      <c r="J117" s="18"/>
      <c r="K117" s="18"/>
      <c r="L117" s="18"/>
      <c r="N117" s="18"/>
      <c r="O117" s="18"/>
      <c r="P117" s="18"/>
      <c r="Q117" s="18"/>
      <c r="R117" s="18"/>
      <c r="S117" s="18"/>
      <c r="T117" s="18"/>
      <c r="U117" s="18"/>
      <c r="V117" s="18"/>
      <c r="W117" s="18"/>
      <c r="X117" s="18"/>
      <c r="Y117" s="18"/>
      <c r="Z117" s="18"/>
      <c r="AA117" s="18"/>
      <c r="AB117" s="18"/>
      <c r="AC117" s="18"/>
      <c r="AD117" s="18"/>
      <c r="AE117" s="18"/>
      <c r="AF117" s="18"/>
      <c r="AG117" s="18"/>
      <c r="AH117" s="18"/>
      <c r="AI117" s="18"/>
      <c r="AJ117" s="18"/>
      <c r="AK117" s="18"/>
      <c r="AL117" s="18"/>
      <c r="AM117" s="18"/>
      <c r="AN117" s="18"/>
      <c r="AO117" s="18"/>
      <c r="AP117" s="18"/>
      <c r="AQ117" s="18"/>
      <c r="AR117" s="18"/>
      <c r="AS117" s="18"/>
      <c r="AT117" s="18"/>
      <c r="AU117" s="18"/>
      <c r="AV117" s="18"/>
      <c r="AW117" s="18"/>
      <c r="AX117" s="18"/>
      <c r="AY117" s="18"/>
      <c r="AZ117" s="18"/>
      <c r="BA117" s="18"/>
      <c r="BB117" s="18"/>
      <c r="BC117" s="18"/>
      <c r="BD117" s="18"/>
    </row>
    <row r="118" spans="1:56">
      <c r="A118" s="25" t="s">
        <v>1072</v>
      </c>
      <c r="B118" s="26">
        <v>112</v>
      </c>
      <c r="C118" s="33">
        <v>86.869546647652101</v>
      </c>
      <c r="D118" s="33">
        <v>97.625310019841294</v>
      </c>
      <c r="E118" s="39"/>
      <c r="I118" s="18"/>
      <c r="J118" s="18"/>
      <c r="K118" s="18"/>
      <c r="L118" s="18"/>
      <c r="N118" s="18"/>
      <c r="O118" s="18"/>
      <c r="P118" s="18"/>
      <c r="Q118" s="18"/>
      <c r="R118" s="18"/>
      <c r="S118" s="18"/>
      <c r="T118" s="18"/>
      <c r="U118" s="18"/>
      <c r="V118" s="18"/>
      <c r="W118" s="18"/>
      <c r="X118" s="18"/>
      <c r="Y118" s="18"/>
      <c r="Z118" s="18"/>
      <c r="AA118" s="18"/>
      <c r="AB118" s="18"/>
      <c r="AC118" s="18"/>
      <c r="AD118" s="18"/>
      <c r="AE118" s="18"/>
      <c r="AF118" s="18"/>
      <c r="AG118" s="18"/>
      <c r="AH118" s="18"/>
      <c r="AI118" s="18"/>
      <c r="AJ118" s="18"/>
      <c r="AK118" s="18"/>
      <c r="AL118" s="18"/>
      <c r="AM118" s="18"/>
      <c r="AN118" s="18"/>
      <c r="AO118" s="18"/>
      <c r="AP118" s="18"/>
      <c r="AQ118" s="18"/>
      <c r="AR118" s="18"/>
      <c r="AS118" s="18"/>
      <c r="AT118" s="18"/>
      <c r="AU118" s="18"/>
      <c r="AV118" s="18"/>
      <c r="AW118" s="18"/>
      <c r="AX118" s="18"/>
      <c r="AY118" s="18"/>
      <c r="AZ118" s="18"/>
      <c r="BA118" s="18"/>
      <c r="BB118" s="18"/>
      <c r="BC118" s="18"/>
      <c r="BD118" s="18"/>
    </row>
    <row r="119" spans="1:56">
      <c r="A119" s="28" t="s">
        <v>1059</v>
      </c>
      <c r="B119" s="29">
        <v>446</v>
      </c>
      <c r="C119" s="38">
        <v>42.953877885733299</v>
      </c>
      <c r="D119" s="38">
        <v>54.827006285293201</v>
      </c>
      <c r="E119" s="39"/>
      <c r="I119" s="18"/>
      <c r="J119" s="18"/>
      <c r="K119" s="18"/>
      <c r="L119" s="18"/>
      <c r="N119" s="18"/>
      <c r="O119" s="18"/>
      <c r="P119" s="18"/>
      <c r="Q119" s="18"/>
      <c r="R119" s="18"/>
      <c r="S119" s="18"/>
      <c r="T119" s="18"/>
      <c r="U119" s="18"/>
      <c r="V119" s="18"/>
      <c r="W119" s="18"/>
      <c r="X119" s="18"/>
      <c r="Y119" s="18"/>
      <c r="Z119" s="18"/>
      <c r="AA119" s="18"/>
      <c r="AB119" s="18"/>
      <c r="AC119" s="18"/>
      <c r="AD119" s="18"/>
      <c r="AE119" s="18"/>
      <c r="AF119" s="18"/>
      <c r="AG119" s="18"/>
      <c r="AH119" s="18"/>
      <c r="AI119" s="18"/>
      <c r="AJ119" s="18"/>
      <c r="AK119" s="18"/>
      <c r="AL119" s="18"/>
      <c r="AM119" s="18"/>
      <c r="AN119" s="18"/>
      <c r="AO119" s="18"/>
      <c r="AP119" s="18"/>
      <c r="AQ119" s="18"/>
      <c r="AR119" s="18"/>
      <c r="AS119" s="18"/>
      <c r="AT119" s="18"/>
      <c r="AU119" s="18"/>
      <c r="AV119" s="18"/>
      <c r="AW119" s="18"/>
      <c r="AX119" s="18"/>
      <c r="AY119" s="18"/>
      <c r="AZ119" s="18"/>
      <c r="BA119" s="18"/>
      <c r="BB119" s="18"/>
      <c r="BC119" s="18"/>
      <c r="BD119" s="18"/>
    </row>
    <row r="120" spans="1:56">
      <c r="A120" s="39"/>
      <c r="B120" s="39"/>
      <c r="C120" s="39"/>
      <c r="D120" s="39"/>
      <c r="E120" s="39"/>
      <c r="I120" s="18"/>
      <c r="J120" s="18"/>
      <c r="K120" s="18"/>
      <c r="L120" s="18"/>
      <c r="N120" s="18"/>
      <c r="O120" s="18"/>
      <c r="P120" s="18"/>
      <c r="Q120" s="18"/>
      <c r="R120" s="18"/>
      <c r="S120" s="18"/>
      <c r="T120" s="18"/>
      <c r="U120" s="18"/>
      <c r="V120" s="18"/>
      <c r="W120" s="18"/>
      <c r="X120" s="18"/>
      <c r="Y120" s="18"/>
      <c r="Z120" s="18"/>
      <c r="AA120" s="18"/>
      <c r="AB120" s="18"/>
      <c r="AC120" s="18"/>
      <c r="AD120" s="18"/>
      <c r="AE120" s="18"/>
      <c r="AF120" s="18"/>
      <c r="AG120" s="18"/>
      <c r="AH120" s="18"/>
      <c r="AI120" s="18"/>
      <c r="AJ120" s="18"/>
      <c r="AK120" s="18"/>
      <c r="AL120" s="18"/>
      <c r="AM120" s="18"/>
      <c r="AN120" s="18"/>
      <c r="AO120" s="18"/>
      <c r="AP120" s="18"/>
      <c r="AQ120" s="18"/>
      <c r="AR120" s="18"/>
      <c r="AS120" s="18"/>
      <c r="AT120" s="18"/>
      <c r="AU120" s="18"/>
      <c r="AV120" s="18"/>
      <c r="AW120" s="18"/>
      <c r="AX120" s="18"/>
      <c r="AY120" s="18"/>
      <c r="AZ120" s="18"/>
      <c r="BA120" s="18"/>
      <c r="BB120" s="18"/>
      <c r="BC120" s="18"/>
      <c r="BD120" s="18"/>
    </row>
    <row r="121" spans="1:56">
      <c r="A121" s="39" t="s">
        <v>1093</v>
      </c>
      <c r="B121" s="39"/>
      <c r="C121" s="39"/>
      <c r="D121" s="39"/>
      <c r="E121" s="39"/>
      <c r="I121" s="18"/>
      <c r="J121" s="18"/>
      <c r="K121" s="18"/>
      <c r="L121" s="18"/>
      <c r="N121" s="18"/>
      <c r="O121" s="18"/>
      <c r="P121" s="18"/>
      <c r="Q121" s="18"/>
      <c r="R121" s="18"/>
      <c r="S121" s="18"/>
      <c r="T121" s="18"/>
      <c r="U121" s="18"/>
      <c r="V121" s="18"/>
      <c r="W121" s="18"/>
      <c r="X121" s="18"/>
      <c r="Y121" s="18"/>
      <c r="Z121" s="18"/>
      <c r="AA121" s="18"/>
      <c r="AB121" s="18"/>
      <c r="AC121" s="18"/>
      <c r="AD121" s="18"/>
      <c r="AE121" s="18"/>
      <c r="AF121" s="18"/>
      <c r="AG121" s="18"/>
      <c r="AH121" s="18"/>
      <c r="AI121" s="18"/>
      <c r="AJ121" s="18"/>
      <c r="AK121" s="18"/>
      <c r="AL121" s="18"/>
      <c r="AM121" s="18"/>
      <c r="AN121" s="18"/>
      <c r="AO121" s="18"/>
      <c r="AP121" s="18"/>
      <c r="AQ121" s="18"/>
      <c r="AR121" s="18"/>
      <c r="AS121" s="18"/>
      <c r="AT121" s="18"/>
      <c r="AU121" s="18"/>
      <c r="AV121" s="18"/>
      <c r="AW121" s="18"/>
      <c r="AX121" s="18"/>
      <c r="AY121" s="18"/>
      <c r="AZ121" s="18"/>
      <c r="BA121" s="18"/>
      <c r="BB121" s="18"/>
      <c r="BC121" s="18"/>
      <c r="BD121" s="18"/>
    </row>
    <row r="122" spans="1:56">
      <c r="A122" s="39"/>
      <c r="B122" s="39"/>
      <c r="D122" s="39"/>
      <c r="E122" s="39"/>
      <c r="I122" s="18"/>
      <c r="J122" s="18"/>
      <c r="K122" s="18"/>
      <c r="L122" s="18"/>
      <c r="N122" s="18"/>
      <c r="O122" s="18"/>
      <c r="P122" s="18"/>
      <c r="Q122" s="18"/>
      <c r="R122" s="18"/>
      <c r="S122" s="18"/>
      <c r="T122" s="18"/>
      <c r="U122" s="18"/>
      <c r="V122" s="18"/>
      <c r="W122" s="18"/>
      <c r="X122" s="18"/>
      <c r="Y122" s="18"/>
      <c r="Z122" s="18"/>
      <c r="AA122" s="18"/>
      <c r="AB122" s="18"/>
      <c r="AC122" s="18"/>
      <c r="AD122" s="18"/>
      <c r="AE122" s="18"/>
      <c r="AF122" s="18"/>
      <c r="AG122" s="18"/>
      <c r="AH122" s="18"/>
      <c r="AI122" s="18"/>
      <c r="AJ122" s="18"/>
      <c r="AK122" s="18"/>
      <c r="AL122" s="18"/>
      <c r="AM122" s="18"/>
      <c r="AN122" s="18"/>
      <c r="AO122" s="18"/>
      <c r="AP122" s="18"/>
      <c r="AQ122" s="18"/>
      <c r="AR122" s="18"/>
      <c r="AS122" s="18"/>
      <c r="AT122" s="18"/>
      <c r="AU122" s="18"/>
      <c r="AV122" s="18"/>
      <c r="AW122" s="18"/>
      <c r="AX122" s="18"/>
      <c r="AY122" s="18"/>
      <c r="AZ122" s="18"/>
      <c r="BA122" s="18"/>
      <c r="BB122" s="18"/>
      <c r="BC122" s="18"/>
      <c r="BD122" s="18"/>
    </row>
    <row r="123" spans="1:56">
      <c r="A123" s="39"/>
      <c r="B123" s="39"/>
      <c r="C123" s="39"/>
      <c r="D123" s="39"/>
      <c r="E123" s="39"/>
      <c r="I123" s="18"/>
      <c r="J123" s="18"/>
      <c r="K123" s="18"/>
      <c r="L123" s="18"/>
      <c r="N123" s="18"/>
      <c r="O123" s="18"/>
      <c r="P123" s="18"/>
      <c r="Q123" s="18"/>
      <c r="R123" s="18"/>
      <c r="S123" s="18"/>
      <c r="T123" s="18"/>
      <c r="U123" s="18"/>
      <c r="V123" s="18"/>
      <c r="W123" s="18"/>
      <c r="X123" s="18"/>
      <c r="Y123" s="18"/>
      <c r="Z123" s="18"/>
      <c r="AA123" s="18"/>
      <c r="AB123" s="18"/>
      <c r="AC123" s="18"/>
      <c r="AD123" s="18"/>
      <c r="AE123" s="18"/>
      <c r="AF123" s="18"/>
      <c r="AG123" s="18"/>
      <c r="AH123" s="18"/>
      <c r="AI123" s="18"/>
      <c r="AJ123" s="18"/>
      <c r="AK123" s="18"/>
      <c r="AL123" s="18"/>
      <c r="AM123" s="18"/>
      <c r="AN123" s="18"/>
      <c r="AO123" s="18"/>
      <c r="AP123" s="18"/>
      <c r="AQ123" s="18"/>
      <c r="AR123" s="18"/>
      <c r="AS123" s="18"/>
      <c r="AT123" s="18"/>
      <c r="AU123" s="18"/>
      <c r="AV123" s="18"/>
      <c r="AW123" s="18"/>
      <c r="AX123" s="18"/>
      <c r="AY123" s="18"/>
      <c r="AZ123" s="18"/>
      <c r="BA123" s="18"/>
      <c r="BB123" s="18"/>
      <c r="BC123" s="18"/>
      <c r="BD123" s="18"/>
    </row>
    <row r="124" spans="1:56">
      <c r="A124" s="423" t="s">
        <v>1094</v>
      </c>
      <c r="B124" s="424"/>
      <c r="C124" s="424"/>
      <c r="D124" s="428"/>
      <c r="E124" s="39"/>
      <c r="I124" s="18"/>
      <c r="J124" s="18"/>
      <c r="K124" s="18"/>
      <c r="L124" s="18"/>
      <c r="N124" s="18"/>
      <c r="O124" s="18"/>
      <c r="P124" s="18"/>
      <c r="Q124" s="18"/>
      <c r="R124" s="18"/>
      <c r="S124" s="18"/>
      <c r="T124" s="18"/>
      <c r="U124" s="18"/>
      <c r="V124" s="18"/>
      <c r="W124" s="18"/>
      <c r="X124" s="18"/>
      <c r="Y124" s="18"/>
      <c r="Z124" s="18"/>
      <c r="AA124" s="18"/>
      <c r="AB124" s="18"/>
      <c r="AC124" s="18"/>
      <c r="AD124" s="18"/>
      <c r="AE124" s="18"/>
      <c r="AF124" s="18"/>
      <c r="AG124" s="18"/>
      <c r="AH124" s="18"/>
      <c r="AI124" s="18"/>
      <c r="AJ124" s="18"/>
      <c r="AK124" s="18"/>
      <c r="AL124" s="18"/>
      <c r="AM124" s="18"/>
      <c r="AN124" s="18"/>
      <c r="AO124" s="18"/>
      <c r="AP124" s="18"/>
      <c r="AQ124" s="18"/>
      <c r="AR124" s="18"/>
      <c r="AS124" s="18"/>
      <c r="AT124" s="18"/>
      <c r="AU124" s="18"/>
      <c r="AV124" s="18"/>
      <c r="AW124" s="18"/>
      <c r="AX124" s="18"/>
      <c r="AY124" s="18"/>
      <c r="AZ124" s="18"/>
      <c r="BA124" s="18"/>
      <c r="BB124" s="18"/>
      <c r="BC124" s="18"/>
      <c r="BD124" s="18"/>
    </row>
    <row r="125" spans="1:56" ht="28.8">
      <c r="A125" s="22" t="s">
        <v>1063</v>
      </c>
      <c r="B125" s="23" t="s">
        <v>1064</v>
      </c>
      <c r="C125" s="23" t="s">
        <v>1065</v>
      </c>
      <c r="D125" s="23" t="s">
        <v>1066</v>
      </c>
      <c r="E125" s="39"/>
      <c r="I125" s="18"/>
      <c r="J125" s="18"/>
      <c r="K125" s="18"/>
      <c r="L125" s="18"/>
      <c r="N125" s="18"/>
      <c r="O125" s="18"/>
      <c r="P125" s="18"/>
      <c r="Q125" s="18"/>
      <c r="R125" s="18"/>
      <c r="S125" s="18"/>
      <c r="T125" s="18"/>
      <c r="U125" s="18"/>
      <c r="V125" s="18"/>
      <c r="W125" s="18"/>
      <c r="X125" s="18"/>
      <c r="Y125" s="18"/>
      <c r="Z125" s="18"/>
      <c r="AA125" s="18"/>
      <c r="AB125" s="18"/>
      <c r="AC125" s="18"/>
      <c r="AD125" s="18"/>
      <c r="AE125" s="18"/>
      <c r="AF125" s="18"/>
      <c r="AG125" s="18"/>
      <c r="AH125" s="18"/>
      <c r="AI125" s="18"/>
      <c r="AJ125" s="18"/>
      <c r="AK125" s="18"/>
      <c r="AL125" s="18"/>
      <c r="AM125" s="18"/>
      <c r="AN125" s="18"/>
      <c r="AO125" s="18"/>
      <c r="AP125" s="18"/>
      <c r="AQ125" s="18"/>
      <c r="AR125" s="18"/>
      <c r="AS125" s="18"/>
      <c r="AT125" s="18"/>
      <c r="AU125" s="18"/>
      <c r="AV125" s="18"/>
      <c r="AW125" s="18"/>
      <c r="AX125" s="18"/>
      <c r="AY125" s="18"/>
      <c r="AZ125" s="18"/>
      <c r="BA125" s="18"/>
      <c r="BB125" s="18"/>
      <c r="BC125" s="18"/>
      <c r="BD125" s="18"/>
    </row>
    <row r="126" spans="1:56">
      <c r="A126" s="25" t="s">
        <v>1068</v>
      </c>
      <c r="B126" s="26">
        <v>227</v>
      </c>
      <c r="C126" s="33">
        <v>26.809170184777301</v>
      </c>
      <c r="D126" s="33">
        <v>30.2770230444997</v>
      </c>
      <c r="E126" s="39"/>
      <c r="I126" s="18"/>
      <c r="J126" s="18"/>
      <c r="K126" s="18"/>
      <c r="L126" s="18"/>
      <c r="N126" s="18"/>
      <c r="O126" s="18"/>
      <c r="P126" s="18"/>
      <c r="Q126" s="18"/>
      <c r="R126" s="18"/>
      <c r="S126" s="18"/>
      <c r="T126" s="18"/>
      <c r="U126" s="18"/>
      <c r="V126" s="18"/>
      <c r="W126" s="18"/>
      <c r="X126" s="18"/>
      <c r="Y126" s="18"/>
      <c r="Z126" s="18"/>
      <c r="AA126" s="18"/>
      <c r="AB126" s="18"/>
      <c r="AC126" s="18"/>
      <c r="AD126" s="18"/>
      <c r="AE126" s="18"/>
      <c r="AF126" s="18"/>
      <c r="AG126" s="18"/>
      <c r="AH126" s="18"/>
      <c r="AI126" s="18"/>
      <c r="AJ126" s="18"/>
      <c r="AK126" s="18"/>
      <c r="AL126" s="18"/>
      <c r="AM126" s="18"/>
      <c r="AN126" s="18"/>
      <c r="AO126" s="18"/>
      <c r="AP126" s="18"/>
      <c r="AQ126" s="18"/>
      <c r="AR126" s="18"/>
      <c r="AS126" s="18"/>
      <c r="AT126" s="18"/>
      <c r="AU126" s="18"/>
      <c r="AV126" s="18"/>
      <c r="AW126" s="18"/>
      <c r="AX126" s="18"/>
      <c r="AY126" s="18"/>
      <c r="AZ126" s="18"/>
      <c r="BA126" s="18"/>
      <c r="BB126" s="18"/>
      <c r="BC126" s="18"/>
      <c r="BD126" s="18"/>
    </row>
    <row r="127" spans="1:56">
      <c r="A127" s="25" t="s">
        <v>1069</v>
      </c>
      <c r="B127" s="26">
        <v>30</v>
      </c>
      <c r="C127" s="33">
        <v>54.698950617283998</v>
      </c>
      <c r="D127" s="33">
        <v>56.585121328224801</v>
      </c>
      <c r="E127" s="39"/>
      <c r="I127" s="18"/>
      <c r="J127" s="18"/>
      <c r="K127" s="18"/>
      <c r="L127" s="18"/>
      <c r="N127" s="18"/>
      <c r="O127" s="18"/>
      <c r="P127" s="18"/>
      <c r="Q127" s="18"/>
      <c r="R127" s="18"/>
      <c r="S127" s="18"/>
      <c r="T127" s="18"/>
      <c r="U127" s="18"/>
      <c r="V127" s="18"/>
      <c r="W127" s="18"/>
      <c r="X127" s="18"/>
      <c r="Y127" s="18"/>
      <c r="Z127" s="18"/>
      <c r="AA127" s="18"/>
      <c r="AB127" s="18"/>
      <c r="AC127" s="18"/>
      <c r="AD127" s="18"/>
      <c r="AE127" s="18"/>
      <c r="AF127" s="18"/>
      <c r="AG127" s="18"/>
      <c r="AH127" s="18"/>
      <c r="AI127" s="18"/>
      <c r="AJ127" s="18"/>
      <c r="AK127" s="18"/>
      <c r="AL127" s="18"/>
      <c r="AM127" s="18"/>
      <c r="AN127" s="18"/>
      <c r="AO127" s="18"/>
      <c r="AP127" s="18"/>
      <c r="AQ127" s="18"/>
      <c r="AR127" s="18"/>
      <c r="AS127" s="18"/>
      <c r="AT127" s="18"/>
      <c r="AU127" s="18"/>
      <c r="AV127" s="18"/>
      <c r="AW127" s="18"/>
      <c r="AX127" s="18"/>
      <c r="AY127" s="18"/>
      <c r="AZ127" s="18"/>
      <c r="BA127" s="18"/>
      <c r="BB127" s="18"/>
      <c r="BC127" s="18"/>
      <c r="BD127" s="18"/>
    </row>
    <row r="128" spans="1:56">
      <c r="A128" s="25" t="s">
        <v>1090</v>
      </c>
      <c r="B128" s="26">
        <v>104</v>
      </c>
      <c r="C128" s="33">
        <v>17.958786725427402</v>
      </c>
      <c r="D128" s="33">
        <v>18.677138194444399</v>
      </c>
      <c r="E128" s="39"/>
      <c r="I128" s="18"/>
      <c r="J128" s="18"/>
      <c r="K128" s="18"/>
      <c r="L128" s="18"/>
      <c r="N128" s="18"/>
      <c r="O128" s="18"/>
      <c r="P128" s="18"/>
      <c r="Q128" s="18"/>
      <c r="R128" s="18"/>
      <c r="S128" s="18"/>
      <c r="T128" s="18"/>
      <c r="U128" s="18"/>
      <c r="V128" s="18"/>
      <c r="W128" s="18"/>
      <c r="X128" s="18"/>
      <c r="Y128" s="18"/>
      <c r="Z128" s="18"/>
      <c r="AA128" s="18"/>
      <c r="AB128" s="18"/>
      <c r="AC128" s="18"/>
      <c r="AD128" s="18"/>
      <c r="AE128" s="18"/>
      <c r="AF128" s="18"/>
      <c r="AG128" s="18"/>
      <c r="AH128" s="18"/>
      <c r="AI128" s="18"/>
      <c r="AJ128" s="18"/>
      <c r="AK128" s="18"/>
      <c r="AL128" s="18"/>
      <c r="AM128" s="18"/>
      <c r="AN128" s="18"/>
      <c r="AO128" s="18"/>
      <c r="AP128" s="18"/>
      <c r="AQ128" s="18"/>
      <c r="AR128" s="18"/>
      <c r="AS128" s="18"/>
      <c r="AT128" s="18"/>
      <c r="AU128" s="18"/>
      <c r="AV128" s="18"/>
      <c r="AW128" s="18"/>
      <c r="AX128" s="18"/>
      <c r="AY128" s="18"/>
      <c r="AZ128" s="18"/>
      <c r="BA128" s="18"/>
      <c r="BB128" s="18"/>
      <c r="BC128" s="18"/>
      <c r="BD128" s="18"/>
    </row>
    <row r="129" spans="1:56" ht="28.8">
      <c r="A129" s="27" t="s">
        <v>1071</v>
      </c>
      <c r="B129" s="26">
        <v>71</v>
      </c>
      <c r="C129" s="33">
        <v>26.996334441836201</v>
      </c>
      <c r="D129" s="33">
        <v>28.608055901050299</v>
      </c>
      <c r="E129" s="39"/>
      <c r="I129" s="18"/>
      <c r="J129" s="18"/>
      <c r="K129" s="18"/>
      <c r="L129" s="18"/>
      <c r="N129" s="18"/>
      <c r="O129" s="18"/>
      <c r="P129" s="18"/>
      <c r="Q129" s="18"/>
      <c r="R129" s="18"/>
      <c r="S129" s="18"/>
      <c r="T129" s="18"/>
      <c r="U129" s="18"/>
      <c r="V129" s="18"/>
      <c r="W129" s="18"/>
      <c r="X129" s="18"/>
      <c r="Y129" s="18"/>
      <c r="Z129" s="18"/>
      <c r="AA129" s="18"/>
      <c r="AB129" s="18"/>
      <c r="AC129" s="18"/>
      <c r="AD129" s="18"/>
      <c r="AE129" s="18"/>
      <c r="AF129" s="18"/>
      <c r="AG129" s="18"/>
      <c r="AH129" s="18"/>
      <c r="AI129" s="18"/>
      <c r="AJ129" s="18"/>
      <c r="AK129" s="18"/>
      <c r="AL129" s="18"/>
      <c r="AM129" s="18"/>
      <c r="AN129" s="18"/>
      <c r="AO129" s="18"/>
      <c r="AP129" s="18"/>
      <c r="AQ129" s="18"/>
      <c r="AR129" s="18"/>
      <c r="AS129" s="18"/>
      <c r="AT129" s="18"/>
      <c r="AU129" s="18"/>
      <c r="AV129" s="18"/>
      <c r="AW129" s="18"/>
      <c r="AX129" s="18"/>
      <c r="AY129" s="18"/>
      <c r="AZ129" s="18"/>
      <c r="BA129" s="18"/>
      <c r="BB129" s="18"/>
      <c r="BC129" s="18"/>
      <c r="BD129" s="18"/>
    </row>
    <row r="130" spans="1:56">
      <c r="A130" s="25" t="s">
        <v>1072</v>
      </c>
      <c r="B130" s="26">
        <v>113</v>
      </c>
      <c r="C130" s="33">
        <v>78.685321923139995</v>
      </c>
      <c r="D130" s="33">
        <v>88.914413773148198</v>
      </c>
      <c r="E130" s="39"/>
      <c r="I130" s="18"/>
      <c r="J130" s="18"/>
      <c r="K130" s="18"/>
      <c r="L130" s="18"/>
      <c r="N130" s="18"/>
      <c r="O130" s="18"/>
      <c r="P130" s="18"/>
      <c r="Q130" s="18"/>
      <c r="R130" s="18"/>
      <c r="S130" s="18"/>
      <c r="T130" s="18"/>
      <c r="U130" s="18"/>
      <c r="V130" s="18"/>
      <c r="W130" s="18"/>
      <c r="X130" s="18"/>
      <c r="Y130" s="18"/>
      <c r="Z130" s="18"/>
      <c r="AA130" s="18"/>
      <c r="AB130" s="18"/>
      <c r="AC130" s="18"/>
      <c r="AD130" s="18"/>
      <c r="AE130" s="18"/>
      <c r="AF130" s="18"/>
      <c r="AG130" s="18"/>
      <c r="AH130" s="18"/>
      <c r="AI130" s="18"/>
      <c r="AJ130" s="18"/>
      <c r="AK130" s="18"/>
      <c r="AL130" s="18"/>
      <c r="AM130" s="18"/>
      <c r="AN130" s="18"/>
      <c r="AO130" s="18"/>
      <c r="AP130" s="18"/>
      <c r="AQ130" s="18"/>
      <c r="AR130" s="18"/>
      <c r="AS130" s="18"/>
      <c r="AT130" s="18"/>
      <c r="AU130" s="18"/>
      <c r="AV130" s="18"/>
      <c r="AW130" s="18"/>
      <c r="AX130" s="18"/>
      <c r="AY130" s="18"/>
      <c r="AZ130" s="18"/>
      <c r="BA130" s="18"/>
      <c r="BB130" s="18"/>
      <c r="BC130" s="18"/>
      <c r="BD130" s="18"/>
    </row>
    <row r="131" spans="1:56">
      <c r="A131" s="28" t="s">
        <v>1059</v>
      </c>
      <c r="B131" s="29">
        <v>545</v>
      </c>
      <c r="C131" s="38">
        <v>37.435862555215799</v>
      </c>
      <c r="D131" s="38">
        <v>43.502228342414902</v>
      </c>
      <c r="E131" s="39"/>
      <c r="I131" s="18"/>
      <c r="J131" s="18"/>
      <c r="K131" s="18"/>
      <c r="L131" s="18"/>
      <c r="N131" s="18"/>
      <c r="O131" s="18"/>
      <c r="P131" s="18"/>
      <c r="Q131" s="18"/>
      <c r="R131" s="18"/>
      <c r="S131" s="18"/>
      <c r="T131" s="18"/>
      <c r="U131" s="18"/>
      <c r="V131" s="18"/>
      <c r="W131" s="18"/>
      <c r="X131" s="18"/>
      <c r="Y131" s="18"/>
      <c r="Z131" s="18"/>
      <c r="AA131" s="18"/>
      <c r="AB131" s="18"/>
      <c r="AC131" s="18"/>
      <c r="AD131" s="18"/>
      <c r="AE131" s="18"/>
      <c r="AF131" s="18"/>
      <c r="AG131" s="18"/>
      <c r="AH131" s="18"/>
      <c r="AI131" s="18"/>
      <c r="AJ131" s="18"/>
      <c r="AK131" s="18"/>
      <c r="AL131" s="18"/>
      <c r="AM131" s="18"/>
      <c r="AN131" s="18"/>
      <c r="AO131" s="18"/>
      <c r="AP131" s="18"/>
      <c r="AQ131" s="18"/>
      <c r="AR131" s="18"/>
      <c r="AS131" s="18"/>
      <c r="AT131" s="18"/>
      <c r="AU131" s="18"/>
      <c r="AV131" s="18"/>
      <c r="AW131" s="18"/>
      <c r="AX131" s="18"/>
      <c r="AY131" s="18"/>
      <c r="AZ131" s="18"/>
      <c r="BA131" s="18"/>
      <c r="BB131" s="18"/>
      <c r="BC131" s="18"/>
      <c r="BD131" s="18"/>
    </row>
    <row r="132" spans="1:56">
      <c r="A132" s="39"/>
      <c r="B132" s="39"/>
      <c r="C132" s="39"/>
      <c r="D132" s="39"/>
      <c r="E132" s="39"/>
      <c r="I132" s="18"/>
      <c r="J132" s="18"/>
      <c r="K132" s="18"/>
      <c r="L132" s="18"/>
      <c r="N132" s="18"/>
      <c r="O132" s="18"/>
      <c r="P132" s="18"/>
      <c r="Q132" s="18"/>
      <c r="R132" s="18"/>
      <c r="S132" s="18"/>
      <c r="T132" s="18"/>
      <c r="U132" s="18"/>
      <c r="V132" s="18"/>
      <c r="W132" s="18"/>
      <c r="X132" s="18"/>
      <c r="Y132" s="18"/>
      <c r="Z132" s="18"/>
      <c r="AA132" s="18"/>
      <c r="AB132" s="18"/>
      <c r="AC132" s="18"/>
      <c r="AD132" s="18"/>
      <c r="AE132" s="18"/>
      <c r="AF132" s="18"/>
      <c r="AG132" s="18"/>
      <c r="AH132" s="18"/>
      <c r="AI132" s="18"/>
      <c r="AJ132" s="18"/>
      <c r="AK132" s="18"/>
      <c r="AL132" s="18"/>
      <c r="AM132" s="18"/>
      <c r="AN132" s="18"/>
      <c r="AO132" s="18"/>
      <c r="AP132" s="18"/>
      <c r="AQ132" s="18"/>
      <c r="AR132" s="18"/>
      <c r="AS132" s="18"/>
      <c r="AT132" s="18"/>
      <c r="AU132" s="18"/>
      <c r="AV132" s="18"/>
      <c r="AW132" s="18"/>
      <c r="AX132" s="18"/>
      <c r="AY132" s="18"/>
      <c r="AZ132" s="18"/>
      <c r="BA132" s="18"/>
      <c r="BB132" s="18"/>
      <c r="BC132" s="18"/>
      <c r="BD132" s="18"/>
    </row>
    <row r="133" spans="1:56">
      <c r="A133" s="39" t="s">
        <v>1095</v>
      </c>
      <c r="B133" s="39"/>
      <c r="C133" s="39"/>
      <c r="D133" s="39"/>
      <c r="E133" s="39"/>
      <c r="I133" s="18"/>
      <c r="J133" s="18"/>
      <c r="K133" s="18"/>
      <c r="L133" s="18"/>
      <c r="N133" s="18"/>
      <c r="O133" s="18"/>
      <c r="P133" s="18"/>
      <c r="Q133" s="18"/>
      <c r="R133" s="18"/>
      <c r="S133" s="18"/>
      <c r="T133" s="18"/>
      <c r="U133" s="18"/>
      <c r="V133" s="18"/>
      <c r="W133" s="18"/>
      <c r="X133" s="18"/>
      <c r="Y133" s="18"/>
      <c r="Z133" s="18"/>
      <c r="AA133" s="18"/>
      <c r="AB133" s="18"/>
      <c r="AC133" s="18"/>
      <c r="AD133" s="18"/>
      <c r="AE133" s="18"/>
      <c r="AF133" s="18"/>
      <c r="AG133" s="18"/>
      <c r="AH133" s="18"/>
      <c r="AI133" s="18"/>
      <c r="AJ133" s="18"/>
      <c r="AK133" s="18"/>
      <c r="AL133" s="18"/>
      <c r="AM133" s="18"/>
      <c r="AN133" s="18"/>
      <c r="AO133" s="18"/>
      <c r="AP133" s="18"/>
      <c r="AQ133" s="18"/>
      <c r="AR133" s="18"/>
      <c r="AS133" s="18"/>
      <c r="AT133" s="18"/>
      <c r="AU133" s="18"/>
      <c r="AV133" s="18"/>
      <c r="AW133" s="18"/>
      <c r="AX133" s="18"/>
      <c r="AY133" s="18"/>
      <c r="AZ133" s="18"/>
      <c r="BA133" s="18"/>
      <c r="BB133" s="18"/>
      <c r="BC133" s="18"/>
      <c r="BD133" s="18"/>
    </row>
    <row r="134" spans="1:56">
      <c r="A134" s="39"/>
      <c r="B134" s="39"/>
      <c r="C134" s="39"/>
      <c r="D134" s="39"/>
      <c r="E134" s="39"/>
      <c r="I134" s="18"/>
      <c r="J134" s="18"/>
      <c r="K134" s="18"/>
      <c r="L134" s="18"/>
      <c r="N134" s="18"/>
      <c r="O134" s="18"/>
      <c r="P134" s="18"/>
      <c r="Q134" s="18"/>
      <c r="R134" s="18"/>
      <c r="S134" s="18"/>
      <c r="T134" s="18"/>
      <c r="U134" s="18"/>
      <c r="V134" s="18"/>
      <c r="W134" s="18"/>
      <c r="X134" s="18"/>
      <c r="Y134" s="18"/>
      <c r="Z134" s="18"/>
      <c r="AA134" s="18"/>
      <c r="AB134" s="18"/>
      <c r="AC134" s="18"/>
      <c r="AD134" s="18"/>
      <c r="AE134" s="18"/>
      <c r="AF134" s="18"/>
      <c r="AG134" s="18"/>
      <c r="AH134" s="18"/>
      <c r="AI134" s="18"/>
      <c r="AJ134" s="18"/>
      <c r="AK134" s="18"/>
      <c r="AL134" s="18"/>
      <c r="AM134" s="18"/>
      <c r="AN134" s="18"/>
      <c r="AO134" s="18"/>
      <c r="AP134" s="18"/>
      <c r="AQ134" s="18"/>
      <c r="AR134" s="18"/>
      <c r="AS134" s="18"/>
      <c r="AT134" s="18"/>
      <c r="AU134" s="18"/>
      <c r="AV134" s="18"/>
      <c r="AW134" s="18"/>
      <c r="AX134" s="18"/>
      <c r="AY134" s="18"/>
      <c r="AZ134" s="18"/>
      <c r="BA134" s="18"/>
      <c r="BB134" s="18"/>
      <c r="BC134" s="18"/>
      <c r="BD134" s="18"/>
    </row>
    <row r="136" spans="1:56">
      <c r="A136" s="423" t="s">
        <v>1096</v>
      </c>
      <c r="B136" s="424"/>
      <c r="C136" s="424"/>
      <c r="D136" s="428"/>
      <c r="E136" s="39"/>
      <c r="I136" s="18"/>
      <c r="J136" s="18"/>
      <c r="K136" s="18"/>
      <c r="L136" s="18"/>
      <c r="N136" s="18"/>
      <c r="O136" s="18"/>
      <c r="P136" s="18"/>
      <c r="Q136" s="18"/>
      <c r="R136" s="18"/>
      <c r="S136" s="18"/>
      <c r="T136" s="18"/>
      <c r="U136" s="18"/>
      <c r="V136" s="18"/>
      <c r="W136" s="18"/>
      <c r="X136" s="18"/>
      <c r="Y136" s="18"/>
      <c r="Z136" s="18"/>
      <c r="AA136" s="18"/>
      <c r="AB136" s="18"/>
      <c r="AC136" s="18"/>
      <c r="AD136" s="18"/>
      <c r="AE136" s="18"/>
      <c r="AF136" s="18"/>
      <c r="AG136" s="18"/>
      <c r="AH136" s="18"/>
      <c r="AI136" s="18"/>
      <c r="AJ136" s="18"/>
      <c r="AK136" s="18"/>
      <c r="AL136" s="18"/>
      <c r="AM136" s="18"/>
      <c r="AN136" s="18"/>
      <c r="AO136" s="18"/>
      <c r="AP136" s="18"/>
      <c r="AQ136" s="18"/>
      <c r="AR136" s="18"/>
      <c r="AS136" s="18"/>
      <c r="AT136" s="18"/>
      <c r="AU136" s="18"/>
      <c r="AV136" s="18"/>
      <c r="AW136" s="18"/>
      <c r="AX136" s="18"/>
      <c r="AY136" s="18"/>
      <c r="AZ136" s="18"/>
      <c r="BA136" s="18"/>
      <c r="BB136" s="18"/>
      <c r="BC136" s="18"/>
      <c r="BD136" s="18"/>
    </row>
    <row r="137" spans="1:56" ht="28.8">
      <c r="A137" s="22" t="s">
        <v>1063</v>
      </c>
      <c r="B137" s="23" t="s">
        <v>1064</v>
      </c>
      <c r="C137" s="23" t="s">
        <v>1065</v>
      </c>
      <c r="D137" s="23" t="s">
        <v>1066</v>
      </c>
      <c r="E137" s="39"/>
      <c r="I137" s="18"/>
      <c r="J137" s="18"/>
      <c r="K137" s="18"/>
      <c r="L137" s="18"/>
      <c r="N137" s="18"/>
      <c r="O137" s="18"/>
      <c r="P137" s="18"/>
      <c r="Q137" s="18"/>
      <c r="R137" s="18"/>
      <c r="S137" s="18"/>
      <c r="T137" s="18"/>
      <c r="U137" s="18"/>
      <c r="V137" s="18"/>
      <c r="W137" s="18"/>
      <c r="X137" s="18"/>
      <c r="Y137" s="18"/>
      <c r="Z137" s="18"/>
      <c r="AA137" s="18"/>
      <c r="AB137" s="18"/>
      <c r="AC137" s="18"/>
      <c r="AD137" s="18"/>
      <c r="AE137" s="18"/>
      <c r="AF137" s="18"/>
      <c r="AG137" s="18"/>
      <c r="AH137" s="18"/>
      <c r="AI137" s="18"/>
      <c r="AJ137" s="18"/>
      <c r="AK137" s="18"/>
      <c r="AL137" s="18"/>
      <c r="AM137" s="18"/>
      <c r="AN137" s="18"/>
      <c r="AO137" s="18"/>
      <c r="AP137" s="18"/>
      <c r="AQ137" s="18"/>
      <c r="AR137" s="18"/>
      <c r="AS137" s="18"/>
      <c r="AT137" s="18"/>
      <c r="AU137" s="18"/>
      <c r="AV137" s="18"/>
      <c r="AW137" s="18"/>
      <c r="AX137" s="18"/>
      <c r="AY137" s="18"/>
      <c r="AZ137" s="18"/>
      <c r="BA137" s="18"/>
      <c r="BB137" s="18"/>
      <c r="BC137" s="18"/>
      <c r="BD137" s="18"/>
    </row>
    <row r="138" spans="1:56">
      <c r="A138" s="25" t="s">
        <v>1068</v>
      </c>
      <c r="B138" s="26">
        <v>217</v>
      </c>
      <c r="C138" s="33">
        <v>29.896837344256699</v>
      </c>
      <c r="D138" s="33">
        <v>37.285136228182203</v>
      </c>
      <c r="E138" s="39"/>
      <c r="I138" s="18"/>
      <c r="J138" s="18"/>
      <c r="K138" s="18"/>
      <c r="L138" s="18"/>
      <c r="N138" s="18"/>
      <c r="O138" s="18"/>
      <c r="P138" s="18"/>
      <c r="Q138" s="18"/>
      <c r="R138" s="18"/>
      <c r="S138" s="18"/>
      <c r="T138" s="18"/>
      <c r="U138" s="18"/>
      <c r="V138" s="18"/>
      <c r="W138" s="18"/>
      <c r="X138" s="18"/>
      <c r="Y138" s="18"/>
      <c r="Z138" s="18"/>
      <c r="AA138" s="18"/>
      <c r="AB138" s="18"/>
      <c r="AC138" s="18"/>
      <c r="AD138" s="18"/>
      <c r="AE138" s="18"/>
      <c r="AF138" s="18"/>
      <c r="AG138" s="18"/>
      <c r="AH138" s="18"/>
      <c r="AI138" s="18"/>
      <c r="AJ138" s="18"/>
      <c r="AK138" s="18"/>
      <c r="AL138" s="18"/>
      <c r="AM138" s="18"/>
      <c r="AN138" s="18"/>
      <c r="AO138" s="18"/>
      <c r="AP138" s="18"/>
      <c r="AQ138" s="18"/>
      <c r="AR138" s="18"/>
      <c r="AS138" s="18"/>
      <c r="AT138" s="18"/>
      <c r="AU138" s="18"/>
      <c r="AV138" s="18"/>
      <c r="AW138" s="18"/>
      <c r="AX138" s="18"/>
      <c r="AY138" s="18"/>
      <c r="AZ138" s="18"/>
      <c r="BA138" s="18"/>
      <c r="BB138" s="18"/>
      <c r="BC138" s="18"/>
      <c r="BD138" s="18"/>
    </row>
    <row r="139" spans="1:56">
      <c r="A139" s="25" t="s">
        <v>1069</v>
      </c>
      <c r="B139" s="26">
        <v>32</v>
      </c>
      <c r="C139" s="33">
        <v>55.759871961805601</v>
      </c>
      <c r="D139" s="33">
        <v>71.372636111111106</v>
      </c>
      <c r="E139" s="39"/>
      <c r="I139" s="18"/>
      <c r="J139" s="18"/>
      <c r="K139" s="18"/>
      <c r="L139" s="18"/>
      <c r="N139" s="18"/>
      <c r="O139" s="18"/>
      <c r="P139" s="18"/>
      <c r="Q139" s="18"/>
      <c r="R139" s="18"/>
      <c r="S139" s="18"/>
      <c r="T139" s="18"/>
      <c r="U139" s="18"/>
      <c r="V139" s="18"/>
      <c r="W139" s="18"/>
      <c r="X139" s="18"/>
      <c r="Y139" s="18"/>
      <c r="Z139" s="18"/>
      <c r="AA139" s="18"/>
      <c r="AB139" s="18"/>
      <c r="AC139" s="18"/>
      <c r="AD139" s="18"/>
      <c r="AE139" s="18"/>
      <c r="AF139" s="18"/>
      <c r="AG139" s="18"/>
      <c r="AH139" s="18"/>
      <c r="AI139" s="18"/>
      <c r="AJ139" s="18"/>
      <c r="AK139" s="18"/>
      <c r="AL139" s="18"/>
      <c r="AM139" s="18"/>
      <c r="AN139" s="18"/>
      <c r="AO139" s="18"/>
      <c r="AP139" s="18"/>
      <c r="AQ139" s="18"/>
      <c r="AR139" s="18"/>
      <c r="AS139" s="18"/>
      <c r="AT139" s="18"/>
      <c r="AU139" s="18"/>
      <c r="AV139" s="18"/>
      <c r="AW139" s="18"/>
      <c r="AX139" s="18"/>
      <c r="AY139" s="18"/>
      <c r="AZ139" s="18"/>
      <c r="BA139" s="18"/>
      <c r="BB139" s="18"/>
      <c r="BC139" s="18"/>
      <c r="BD139" s="18"/>
    </row>
    <row r="140" spans="1:56">
      <c r="A140" s="25" t="s">
        <v>1090</v>
      </c>
      <c r="B140" s="26">
        <v>61</v>
      </c>
      <c r="C140" s="33">
        <v>17.079201388888901</v>
      </c>
      <c r="D140" s="33">
        <v>19.657194051362701</v>
      </c>
      <c r="E140" s="39"/>
      <c r="I140" s="18"/>
      <c r="J140" s="18"/>
      <c r="K140" s="18"/>
      <c r="L140" s="18"/>
      <c r="N140" s="18"/>
      <c r="O140" s="18"/>
      <c r="P140" s="18"/>
      <c r="Q140" s="18"/>
      <c r="R140" s="18"/>
      <c r="S140" s="18"/>
      <c r="T140" s="18"/>
      <c r="U140" s="18"/>
      <c r="V140" s="18"/>
      <c r="W140" s="18"/>
      <c r="X140" s="18"/>
      <c r="Y140" s="18"/>
      <c r="Z140" s="18"/>
      <c r="AA140" s="18"/>
      <c r="AB140" s="18"/>
      <c r="AC140" s="18"/>
      <c r="AD140" s="18"/>
      <c r="AE140" s="18"/>
      <c r="AF140" s="18"/>
      <c r="AG140" s="18"/>
      <c r="AH140" s="18"/>
      <c r="AI140" s="18"/>
      <c r="AJ140" s="18"/>
      <c r="AK140" s="18"/>
      <c r="AL140" s="18"/>
      <c r="AM140" s="18"/>
      <c r="AN140" s="18"/>
      <c r="AO140" s="18"/>
      <c r="AP140" s="18"/>
      <c r="AQ140" s="18"/>
      <c r="AR140" s="18"/>
      <c r="AS140" s="18"/>
      <c r="AT140" s="18"/>
      <c r="AU140" s="18"/>
      <c r="AV140" s="18"/>
      <c r="AW140" s="18"/>
      <c r="AX140" s="18"/>
      <c r="AY140" s="18"/>
      <c r="AZ140" s="18"/>
      <c r="BA140" s="18"/>
      <c r="BB140" s="18"/>
      <c r="BC140" s="18"/>
      <c r="BD140" s="18"/>
    </row>
    <row r="141" spans="1:56" ht="28.8">
      <c r="A141" s="27" t="s">
        <v>1071</v>
      </c>
      <c r="B141" s="26">
        <v>69</v>
      </c>
      <c r="C141" s="33">
        <v>38.828809883252802</v>
      </c>
      <c r="D141" s="33">
        <v>44.653131365740698</v>
      </c>
      <c r="E141" s="39"/>
      <c r="I141" s="18"/>
      <c r="J141" s="18"/>
      <c r="K141" s="18"/>
      <c r="L141" s="18"/>
      <c r="N141" s="18"/>
      <c r="O141" s="18"/>
      <c r="P141" s="18"/>
      <c r="Q141" s="18"/>
      <c r="R141" s="18"/>
      <c r="S141" s="18"/>
      <c r="T141" s="18"/>
      <c r="U141" s="18"/>
      <c r="V141" s="18"/>
      <c r="W141" s="18"/>
      <c r="X141" s="18"/>
      <c r="Y141" s="18"/>
      <c r="Z141" s="18"/>
      <c r="AA141" s="18"/>
      <c r="AB141" s="18"/>
      <c r="AC141" s="18"/>
      <c r="AD141" s="18"/>
      <c r="AE141" s="18"/>
      <c r="AF141" s="18"/>
      <c r="AG141" s="18"/>
      <c r="AH141" s="18"/>
      <c r="AI141" s="18"/>
      <c r="AJ141" s="18"/>
      <c r="AK141" s="18"/>
      <c r="AL141" s="18"/>
      <c r="AM141" s="18"/>
      <c r="AN141" s="18"/>
      <c r="AO141" s="18"/>
      <c r="AP141" s="18"/>
      <c r="AQ141" s="18"/>
      <c r="AR141" s="18"/>
      <c r="AS141" s="18"/>
      <c r="AT141" s="18"/>
      <c r="AU141" s="18"/>
      <c r="AV141" s="18"/>
      <c r="AW141" s="18"/>
      <c r="AX141" s="18"/>
      <c r="AY141" s="18"/>
      <c r="AZ141" s="18"/>
      <c r="BA141" s="18"/>
      <c r="BB141" s="18"/>
      <c r="BC141" s="18"/>
      <c r="BD141" s="18"/>
    </row>
    <row r="142" spans="1:56">
      <c r="A142" s="25" t="s">
        <v>1072</v>
      </c>
      <c r="B142" s="26">
        <v>96</v>
      </c>
      <c r="C142" s="33">
        <v>84.002954764660501</v>
      </c>
      <c r="D142" s="33">
        <v>90.609928734914703</v>
      </c>
      <c r="E142" s="39"/>
      <c r="I142" s="18"/>
      <c r="J142" s="18"/>
      <c r="K142" s="18"/>
      <c r="L142" s="18"/>
      <c r="N142" s="18"/>
      <c r="O142" s="18"/>
      <c r="P142" s="18"/>
      <c r="Q142" s="18"/>
      <c r="R142" s="18"/>
      <c r="S142" s="18"/>
      <c r="T142" s="18"/>
      <c r="U142" s="18"/>
      <c r="V142" s="18"/>
      <c r="W142" s="18"/>
      <c r="X142" s="18"/>
      <c r="Y142" s="18"/>
      <c r="Z142" s="18"/>
      <c r="AA142" s="18"/>
      <c r="AB142" s="18"/>
      <c r="AC142" s="18"/>
      <c r="AD142" s="18"/>
      <c r="AE142" s="18"/>
      <c r="AF142" s="18"/>
      <c r="AG142" s="18"/>
      <c r="AH142" s="18"/>
      <c r="AI142" s="18"/>
      <c r="AJ142" s="18"/>
      <c r="AK142" s="18"/>
      <c r="AL142" s="18"/>
      <c r="AM142" s="18"/>
      <c r="AN142" s="18"/>
      <c r="AO142" s="18"/>
      <c r="AP142" s="18"/>
      <c r="AQ142" s="18"/>
      <c r="AR142" s="18"/>
      <c r="AS142" s="18"/>
      <c r="AT142" s="18"/>
      <c r="AU142" s="18"/>
      <c r="AV142" s="18"/>
      <c r="AW142" s="18"/>
      <c r="AX142" s="18"/>
      <c r="AY142" s="18"/>
      <c r="AZ142" s="18"/>
      <c r="BA142" s="18"/>
      <c r="BB142" s="18"/>
      <c r="BC142" s="18"/>
      <c r="BD142" s="18"/>
    </row>
    <row r="143" spans="1:56">
      <c r="A143" s="28" t="s">
        <v>1059</v>
      </c>
      <c r="B143" s="29">
        <v>475</v>
      </c>
      <c r="C143" s="38">
        <v>42.225752485380099</v>
      </c>
      <c r="D143" s="38">
        <v>50.018035986422902</v>
      </c>
      <c r="E143" s="39"/>
      <c r="I143" s="18"/>
      <c r="J143" s="18"/>
      <c r="K143" s="18"/>
      <c r="L143" s="18"/>
      <c r="N143" s="18"/>
      <c r="O143" s="18"/>
      <c r="P143" s="18"/>
      <c r="Q143" s="18"/>
      <c r="R143" s="18"/>
      <c r="S143" s="18"/>
      <c r="T143" s="18"/>
      <c r="U143" s="18"/>
      <c r="V143" s="18"/>
      <c r="W143" s="18"/>
      <c r="X143" s="18"/>
      <c r="Y143" s="18"/>
      <c r="Z143" s="18"/>
      <c r="AA143" s="18"/>
      <c r="AB143" s="18"/>
      <c r="AC143" s="18"/>
      <c r="AD143" s="18"/>
      <c r="AE143" s="18"/>
      <c r="AF143" s="18"/>
      <c r="AG143" s="18"/>
      <c r="AH143" s="18"/>
      <c r="AI143" s="18"/>
      <c r="AJ143" s="18"/>
      <c r="AK143" s="18"/>
      <c r="AL143" s="18"/>
      <c r="AM143" s="18"/>
      <c r="AN143" s="18"/>
      <c r="AO143" s="18"/>
      <c r="AP143" s="18"/>
      <c r="AQ143" s="18"/>
      <c r="AR143" s="18"/>
      <c r="AS143" s="18"/>
      <c r="AT143" s="18"/>
      <c r="AU143" s="18"/>
      <c r="AV143" s="18"/>
      <c r="AW143" s="18"/>
      <c r="AX143" s="18"/>
      <c r="AY143" s="18"/>
      <c r="AZ143" s="18"/>
      <c r="BA143" s="18"/>
      <c r="BB143" s="18"/>
      <c r="BC143" s="18"/>
      <c r="BD143" s="18"/>
    </row>
    <row r="144" spans="1:56">
      <c r="A144" s="39"/>
      <c r="B144" s="39"/>
      <c r="C144" s="39"/>
      <c r="D144" s="39"/>
      <c r="E144" s="39"/>
      <c r="I144" s="18"/>
      <c r="J144" s="18"/>
      <c r="K144" s="18"/>
      <c r="L144" s="18"/>
      <c r="N144" s="18"/>
      <c r="O144" s="18"/>
      <c r="P144" s="18"/>
      <c r="Q144" s="18"/>
      <c r="R144" s="18"/>
      <c r="S144" s="18"/>
      <c r="T144" s="18"/>
      <c r="U144" s="18"/>
      <c r="V144" s="18"/>
      <c r="W144" s="18"/>
      <c r="X144" s="18"/>
      <c r="Y144" s="18"/>
      <c r="Z144" s="18"/>
      <c r="AA144" s="18"/>
      <c r="AB144" s="18"/>
      <c r="AC144" s="18"/>
      <c r="AD144" s="18"/>
      <c r="AE144" s="18"/>
      <c r="AF144" s="18"/>
      <c r="AG144" s="18"/>
      <c r="AH144" s="18"/>
      <c r="AI144" s="18"/>
      <c r="AJ144" s="18"/>
      <c r="AK144" s="18"/>
      <c r="AL144" s="18"/>
      <c r="AM144" s="18"/>
      <c r="AN144" s="18"/>
      <c r="AO144" s="18"/>
      <c r="AP144" s="18"/>
      <c r="AQ144" s="18"/>
      <c r="AR144" s="18"/>
      <c r="AS144" s="18"/>
      <c r="AT144" s="18"/>
      <c r="AU144" s="18"/>
      <c r="AV144" s="18"/>
      <c r="AW144" s="18"/>
      <c r="AX144" s="18"/>
      <c r="AY144" s="18"/>
      <c r="AZ144" s="18"/>
      <c r="BA144" s="18"/>
      <c r="BB144" s="18"/>
      <c r="BC144" s="18"/>
      <c r="BD144" s="18"/>
    </row>
    <row r="145" spans="1:56">
      <c r="A145" s="39" t="s">
        <v>1097</v>
      </c>
      <c r="B145" s="39"/>
      <c r="C145" s="39"/>
      <c r="D145" s="39"/>
      <c r="E145" s="39"/>
      <c r="I145" s="18"/>
      <c r="J145" s="18"/>
      <c r="K145" s="18"/>
      <c r="L145" s="18"/>
      <c r="N145" s="18"/>
      <c r="O145" s="18"/>
      <c r="P145" s="18"/>
      <c r="Q145" s="18"/>
      <c r="R145" s="18"/>
      <c r="S145" s="18"/>
      <c r="T145" s="18"/>
      <c r="U145" s="18"/>
      <c r="V145" s="18"/>
      <c r="W145" s="18"/>
      <c r="X145" s="18"/>
      <c r="Y145" s="18"/>
      <c r="Z145" s="18"/>
      <c r="AA145" s="18"/>
      <c r="AB145" s="18"/>
      <c r="AC145" s="18"/>
      <c r="AD145" s="18"/>
      <c r="AE145" s="18"/>
      <c r="AF145" s="18"/>
      <c r="AG145" s="18"/>
      <c r="AH145" s="18"/>
      <c r="AI145" s="18"/>
      <c r="AJ145" s="18"/>
      <c r="AK145" s="18"/>
      <c r="AL145" s="18"/>
      <c r="AM145" s="18"/>
      <c r="AN145" s="18"/>
      <c r="AO145" s="18"/>
      <c r="AP145" s="18"/>
      <c r="AQ145" s="18"/>
      <c r="AR145" s="18"/>
      <c r="AS145" s="18"/>
      <c r="AT145" s="18"/>
      <c r="AU145" s="18"/>
      <c r="AV145" s="18"/>
      <c r="AW145" s="18"/>
      <c r="AX145" s="18"/>
      <c r="AY145" s="18"/>
      <c r="AZ145" s="18"/>
      <c r="BA145" s="18"/>
      <c r="BB145" s="18"/>
      <c r="BC145" s="18"/>
      <c r="BD145" s="18"/>
    </row>
    <row r="146" spans="1:56">
      <c r="A146" s="39"/>
      <c r="B146" s="39"/>
      <c r="C146" s="39"/>
      <c r="D146" s="39"/>
      <c r="E146" s="39"/>
      <c r="I146" s="18"/>
      <c r="J146" s="18"/>
      <c r="K146" s="18"/>
      <c r="L146" s="18"/>
      <c r="N146" s="18"/>
      <c r="O146" s="18"/>
      <c r="P146" s="18"/>
      <c r="Q146" s="18"/>
      <c r="R146" s="18"/>
      <c r="S146" s="18"/>
      <c r="T146" s="18"/>
      <c r="U146" s="18"/>
      <c r="V146" s="18"/>
      <c r="W146" s="18"/>
      <c r="X146" s="18"/>
      <c r="Y146" s="18"/>
      <c r="Z146" s="18"/>
      <c r="AA146" s="18"/>
      <c r="AB146" s="18"/>
      <c r="AC146" s="18"/>
      <c r="AD146" s="18"/>
      <c r="AE146" s="18"/>
      <c r="AF146" s="18"/>
      <c r="AG146" s="18"/>
      <c r="AH146" s="18"/>
      <c r="AI146" s="18"/>
      <c r="AJ146" s="18"/>
      <c r="AK146" s="18"/>
      <c r="AL146" s="18"/>
      <c r="AM146" s="18"/>
      <c r="AN146" s="18"/>
      <c r="AO146" s="18"/>
      <c r="AP146" s="18"/>
      <c r="AQ146" s="18"/>
      <c r="AR146" s="18"/>
      <c r="AS146" s="18"/>
      <c r="AT146" s="18"/>
      <c r="AU146" s="18"/>
      <c r="AV146" s="18"/>
      <c r="AW146" s="18"/>
      <c r="AX146" s="18"/>
      <c r="AY146" s="18"/>
      <c r="AZ146" s="18"/>
      <c r="BA146" s="18"/>
      <c r="BB146" s="18"/>
      <c r="BC146" s="18"/>
      <c r="BD146" s="18"/>
    </row>
    <row r="147" spans="1:56">
      <c r="A147" s="39"/>
      <c r="B147" s="39"/>
      <c r="C147" s="39"/>
      <c r="D147" s="39"/>
      <c r="E147" s="39"/>
      <c r="I147" s="18"/>
      <c r="J147" s="18"/>
      <c r="K147" s="18"/>
      <c r="L147" s="18"/>
      <c r="N147" s="18"/>
      <c r="O147" s="18"/>
      <c r="P147" s="18"/>
      <c r="Q147" s="18"/>
      <c r="R147" s="18"/>
      <c r="S147" s="18"/>
      <c r="T147" s="18"/>
      <c r="U147" s="18"/>
      <c r="V147" s="18"/>
      <c r="W147" s="18"/>
      <c r="X147" s="18"/>
      <c r="Y147" s="18"/>
      <c r="Z147" s="18"/>
      <c r="AA147" s="18"/>
      <c r="AB147" s="18"/>
      <c r="AC147" s="18"/>
      <c r="AD147" s="18"/>
      <c r="AE147" s="18"/>
      <c r="AF147" s="18"/>
      <c r="AG147" s="18"/>
      <c r="AH147" s="18"/>
      <c r="AI147" s="18"/>
      <c r="AJ147" s="18"/>
      <c r="AK147" s="18"/>
      <c r="AL147" s="18"/>
      <c r="AM147" s="18"/>
      <c r="AN147" s="18"/>
      <c r="AO147" s="18"/>
      <c r="AP147" s="18"/>
      <c r="AQ147" s="18"/>
      <c r="AR147" s="18"/>
      <c r="AS147" s="18"/>
      <c r="AT147" s="18"/>
      <c r="AU147" s="18"/>
      <c r="AV147" s="18"/>
      <c r="AW147" s="18"/>
      <c r="AX147" s="18"/>
      <c r="AY147" s="18"/>
      <c r="AZ147" s="18"/>
      <c r="BA147" s="18"/>
      <c r="BB147" s="18"/>
      <c r="BC147" s="18"/>
      <c r="BD147" s="18"/>
    </row>
    <row r="148" spans="1:56">
      <c r="A148" s="423" t="s">
        <v>1098</v>
      </c>
      <c r="B148" s="424"/>
      <c r="C148" s="424"/>
      <c r="D148" s="428"/>
      <c r="E148" s="39"/>
      <c r="I148" s="18"/>
      <c r="J148" s="18"/>
      <c r="K148" s="18"/>
      <c r="L148" s="18"/>
      <c r="N148" s="18"/>
      <c r="O148" s="18"/>
      <c r="P148" s="18"/>
      <c r="Q148" s="18"/>
      <c r="R148" s="18"/>
      <c r="S148" s="18"/>
      <c r="T148" s="18"/>
      <c r="U148" s="18"/>
      <c r="V148" s="18"/>
      <c r="W148" s="18"/>
      <c r="X148" s="18"/>
      <c r="Y148" s="18"/>
      <c r="Z148" s="18"/>
      <c r="AA148" s="18"/>
      <c r="AB148" s="18"/>
      <c r="AC148" s="18"/>
      <c r="AD148" s="18"/>
      <c r="AE148" s="18"/>
      <c r="AF148" s="18"/>
      <c r="AG148" s="18"/>
      <c r="AH148" s="18"/>
      <c r="AI148" s="18"/>
      <c r="AJ148" s="18"/>
      <c r="AK148" s="18"/>
      <c r="AL148" s="18"/>
      <c r="AM148" s="18"/>
      <c r="AN148" s="18"/>
      <c r="AO148" s="18"/>
      <c r="AP148" s="18"/>
      <c r="AQ148" s="18"/>
      <c r="AR148" s="18"/>
      <c r="AS148" s="18"/>
      <c r="AT148" s="18"/>
      <c r="AU148" s="18"/>
      <c r="AV148" s="18"/>
      <c r="AW148" s="18"/>
      <c r="AX148" s="18"/>
      <c r="AY148" s="18"/>
      <c r="AZ148" s="18"/>
      <c r="BA148" s="18"/>
      <c r="BB148" s="18"/>
      <c r="BC148" s="18"/>
      <c r="BD148" s="18"/>
    </row>
    <row r="149" spans="1:56" ht="28.8">
      <c r="A149" s="22" t="s">
        <v>1063</v>
      </c>
      <c r="B149" s="23" t="s">
        <v>1064</v>
      </c>
      <c r="C149" s="23" t="s">
        <v>1065</v>
      </c>
      <c r="D149" s="23" t="s">
        <v>1066</v>
      </c>
      <c r="E149" s="39"/>
      <c r="I149" s="18"/>
      <c r="J149" s="18"/>
      <c r="K149" s="18"/>
      <c r="L149" s="18"/>
      <c r="N149" s="18"/>
      <c r="O149" s="18"/>
      <c r="P149" s="18"/>
      <c r="Q149" s="18"/>
      <c r="R149" s="18"/>
      <c r="S149" s="18"/>
      <c r="T149" s="18"/>
      <c r="U149" s="18"/>
      <c r="V149" s="18"/>
      <c r="W149" s="18"/>
      <c r="X149" s="18"/>
      <c r="Y149" s="18"/>
      <c r="Z149" s="18"/>
      <c r="AA149" s="18"/>
      <c r="AB149" s="18"/>
      <c r="AC149" s="18"/>
      <c r="AD149" s="18"/>
      <c r="AE149" s="18"/>
      <c r="AF149" s="18"/>
      <c r="AG149" s="18"/>
      <c r="AH149" s="18"/>
      <c r="AI149" s="18"/>
      <c r="AJ149" s="18"/>
      <c r="AK149" s="18"/>
      <c r="AL149" s="18"/>
      <c r="AM149" s="18"/>
      <c r="AN149" s="18"/>
      <c r="AO149" s="18"/>
      <c r="AP149" s="18"/>
      <c r="AQ149" s="18"/>
      <c r="AR149" s="18"/>
      <c r="AS149" s="18"/>
      <c r="AT149" s="18"/>
      <c r="AU149" s="18"/>
      <c r="AV149" s="18"/>
      <c r="AW149" s="18"/>
      <c r="AX149" s="18"/>
      <c r="AY149" s="18"/>
      <c r="AZ149" s="18"/>
      <c r="BA149" s="18"/>
      <c r="BB149" s="18"/>
      <c r="BC149" s="18"/>
      <c r="BD149" s="18"/>
    </row>
    <row r="150" spans="1:56">
      <c r="A150" s="25" t="s">
        <v>1068</v>
      </c>
      <c r="B150" s="26">
        <v>170</v>
      </c>
      <c r="C150" s="33">
        <v>33.082036492374698</v>
      </c>
      <c r="D150" s="33">
        <v>41.050702216815402</v>
      </c>
      <c r="E150" s="39"/>
      <c r="I150" s="18"/>
      <c r="J150" s="18"/>
      <c r="K150" s="18"/>
      <c r="L150" s="18"/>
      <c r="N150" s="18"/>
      <c r="O150" s="18"/>
      <c r="P150" s="18"/>
      <c r="Q150" s="18"/>
      <c r="R150" s="18"/>
      <c r="S150" s="18"/>
      <c r="T150" s="18"/>
      <c r="U150" s="18"/>
      <c r="V150" s="18"/>
      <c r="W150" s="18"/>
      <c r="X150" s="18"/>
      <c r="Y150" s="18"/>
      <c r="Z150" s="18"/>
      <c r="AA150" s="18"/>
      <c r="AB150" s="18"/>
      <c r="AC150" s="18"/>
      <c r="AD150" s="18"/>
      <c r="AE150" s="18"/>
      <c r="AF150" s="18"/>
      <c r="AG150" s="18"/>
      <c r="AH150" s="18"/>
      <c r="AI150" s="18"/>
      <c r="AJ150" s="18"/>
      <c r="AK150" s="18"/>
      <c r="AL150" s="18"/>
      <c r="AM150" s="18"/>
      <c r="AN150" s="18"/>
      <c r="AO150" s="18"/>
      <c r="AP150" s="18"/>
      <c r="AQ150" s="18"/>
      <c r="AR150" s="18"/>
      <c r="AS150" s="18"/>
      <c r="AT150" s="18"/>
      <c r="AU150" s="18"/>
      <c r="AV150" s="18"/>
      <c r="AW150" s="18"/>
      <c r="AX150" s="18"/>
      <c r="AY150" s="18"/>
      <c r="AZ150" s="18"/>
      <c r="BA150" s="18"/>
      <c r="BB150" s="18"/>
      <c r="BC150" s="18"/>
      <c r="BD150" s="18"/>
    </row>
    <row r="151" spans="1:56">
      <c r="A151" s="25" t="s">
        <v>1069</v>
      </c>
      <c r="B151" s="26">
        <v>40</v>
      </c>
      <c r="C151" s="33">
        <v>55.9153370949074</v>
      </c>
      <c r="D151" s="33">
        <v>60.4490130755756</v>
      </c>
      <c r="E151" s="39"/>
      <c r="I151" s="18"/>
      <c r="J151" s="18"/>
      <c r="K151" s="18"/>
      <c r="L151" s="18"/>
      <c r="N151" s="18"/>
      <c r="O151" s="18"/>
      <c r="P151" s="18"/>
      <c r="Q151" s="18"/>
      <c r="R151" s="18"/>
      <c r="S151" s="18"/>
      <c r="T151" s="18"/>
      <c r="U151" s="18"/>
      <c r="V151" s="18"/>
      <c r="W151" s="18"/>
      <c r="X151" s="18"/>
      <c r="Y151" s="18"/>
      <c r="Z151" s="18"/>
      <c r="AA151" s="18"/>
      <c r="AB151" s="18"/>
      <c r="AC151" s="18"/>
      <c r="AD151" s="18"/>
      <c r="AE151" s="18"/>
      <c r="AF151" s="18"/>
      <c r="AG151" s="18"/>
      <c r="AH151" s="18"/>
      <c r="AI151" s="18"/>
      <c r="AJ151" s="18"/>
      <c r="AK151" s="18"/>
      <c r="AL151" s="18"/>
      <c r="AM151" s="18"/>
      <c r="AN151" s="18"/>
      <c r="AO151" s="18"/>
      <c r="AP151" s="18"/>
      <c r="AQ151" s="18"/>
      <c r="AR151" s="18"/>
      <c r="AS151" s="18"/>
      <c r="AT151" s="18"/>
      <c r="AU151" s="18"/>
      <c r="AV151" s="18"/>
      <c r="AW151" s="18"/>
      <c r="AX151" s="18"/>
      <c r="AY151" s="18"/>
      <c r="AZ151" s="18"/>
      <c r="BA151" s="18"/>
      <c r="BB151" s="18"/>
      <c r="BC151" s="18"/>
      <c r="BD151" s="18"/>
    </row>
    <row r="152" spans="1:56">
      <c r="A152" s="25" t="s">
        <v>1090</v>
      </c>
      <c r="B152" s="26">
        <v>90</v>
      </c>
      <c r="C152" s="33">
        <v>8.4658746141975296</v>
      </c>
      <c r="D152" s="33">
        <v>9.1798640394912905</v>
      </c>
      <c r="E152" s="39"/>
      <c r="I152" s="18"/>
      <c r="J152" s="18"/>
      <c r="K152" s="18"/>
      <c r="L152" s="18"/>
      <c r="N152" s="18"/>
      <c r="O152" s="18"/>
      <c r="P152" s="18"/>
      <c r="Q152" s="18"/>
      <c r="R152" s="18"/>
      <c r="S152" s="18"/>
      <c r="T152" s="18"/>
      <c r="U152" s="18"/>
      <c r="V152" s="18"/>
      <c r="W152" s="18"/>
      <c r="X152" s="18"/>
      <c r="Y152" s="18"/>
      <c r="Z152" s="18"/>
      <c r="AA152" s="18"/>
      <c r="AB152" s="18"/>
      <c r="AC152" s="18"/>
      <c r="AD152" s="18"/>
      <c r="AE152" s="18"/>
      <c r="AF152" s="18"/>
      <c r="AG152" s="18"/>
      <c r="AH152" s="18"/>
      <c r="AI152" s="18"/>
      <c r="AJ152" s="18"/>
      <c r="AK152" s="18"/>
      <c r="AL152" s="18"/>
      <c r="AM152" s="18"/>
      <c r="AN152" s="18"/>
      <c r="AO152" s="18"/>
      <c r="AP152" s="18"/>
      <c r="AQ152" s="18"/>
      <c r="AR152" s="18"/>
      <c r="AS152" s="18"/>
      <c r="AT152" s="18"/>
      <c r="AU152" s="18"/>
      <c r="AV152" s="18"/>
      <c r="AW152" s="18"/>
      <c r="AX152" s="18"/>
      <c r="AY152" s="18"/>
      <c r="AZ152" s="18"/>
      <c r="BA152" s="18"/>
      <c r="BB152" s="18"/>
      <c r="BC152" s="18"/>
      <c r="BD152" s="18"/>
    </row>
    <row r="153" spans="1:56" ht="28.8">
      <c r="A153" s="27" t="s">
        <v>1071</v>
      </c>
      <c r="B153" s="26">
        <v>85</v>
      </c>
      <c r="C153" s="33">
        <v>34.169700435729801</v>
      </c>
      <c r="D153" s="33">
        <v>39.248980230230202</v>
      </c>
      <c r="E153" s="39"/>
      <c r="I153" s="18"/>
      <c r="J153" s="18"/>
      <c r="K153" s="18"/>
      <c r="L153" s="18"/>
      <c r="N153" s="18"/>
      <c r="O153" s="18"/>
      <c r="P153" s="18"/>
      <c r="Q153" s="18"/>
      <c r="R153" s="18"/>
      <c r="S153" s="18"/>
      <c r="T153" s="18"/>
      <c r="U153" s="18"/>
      <c r="V153" s="18"/>
      <c r="W153" s="18"/>
      <c r="X153" s="18"/>
      <c r="Y153" s="18"/>
      <c r="Z153" s="18"/>
      <c r="AA153" s="18"/>
      <c r="AB153" s="18"/>
      <c r="AC153" s="18"/>
      <c r="AD153" s="18"/>
      <c r="AE153" s="18"/>
      <c r="AF153" s="18"/>
      <c r="AG153" s="18"/>
      <c r="AH153" s="18"/>
      <c r="AI153" s="18"/>
      <c r="AJ153" s="18"/>
      <c r="AK153" s="18"/>
      <c r="AL153" s="18"/>
      <c r="AM153" s="18"/>
      <c r="AN153" s="18"/>
      <c r="AO153" s="18"/>
      <c r="AP153" s="18"/>
      <c r="AQ153" s="18"/>
      <c r="AR153" s="18"/>
      <c r="AS153" s="18"/>
      <c r="AT153" s="18"/>
      <c r="AU153" s="18"/>
      <c r="AV153" s="18"/>
      <c r="AW153" s="18"/>
      <c r="AX153" s="18"/>
      <c r="AY153" s="18"/>
      <c r="AZ153" s="18"/>
      <c r="BA153" s="18"/>
      <c r="BB153" s="18"/>
      <c r="BC153" s="18"/>
      <c r="BD153" s="18"/>
    </row>
    <row r="154" spans="1:56">
      <c r="A154" s="25" t="s">
        <v>1072</v>
      </c>
      <c r="B154" s="26">
        <v>105</v>
      </c>
      <c r="C154" s="33">
        <v>68.099399250440896</v>
      </c>
      <c r="D154" s="33">
        <v>76.068477886130793</v>
      </c>
      <c r="E154" s="39"/>
      <c r="I154" s="18"/>
      <c r="J154" s="18"/>
      <c r="K154" s="18"/>
      <c r="L154" s="18"/>
      <c r="N154" s="18"/>
      <c r="O154" s="18"/>
      <c r="P154" s="18"/>
      <c r="Q154" s="18"/>
      <c r="R154" s="18"/>
      <c r="S154" s="18"/>
      <c r="T154" s="18"/>
      <c r="U154" s="18"/>
      <c r="V154" s="18"/>
      <c r="W154" s="18"/>
      <c r="X154" s="18"/>
      <c r="Y154" s="18"/>
      <c r="Z154" s="18"/>
      <c r="AA154" s="18"/>
      <c r="AB154" s="18"/>
      <c r="AC154" s="18"/>
      <c r="AD154" s="18"/>
      <c r="AE154" s="18"/>
      <c r="AF154" s="18"/>
      <c r="AG154" s="18"/>
      <c r="AH154" s="18"/>
      <c r="AI154" s="18"/>
      <c r="AJ154" s="18"/>
      <c r="AK154" s="18"/>
      <c r="AL154" s="18"/>
      <c r="AM154" s="18"/>
      <c r="AN154" s="18"/>
      <c r="AO154" s="18"/>
      <c r="AP154" s="18"/>
      <c r="AQ154" s="18"/>
      <c r="AR154" s="18"/>
      <c r="AS154" s="18"/>
      <c r="AT154" s="18"/>
      <c r="AU154" s="18"/>
      <c r="AV154" s="18"/>
      <c r="AW154" s="18"/>
      <c r="AX154" s="18"/>
      <c r="AY154" s="18"/>
      <c r="AZ154" s="18"/>
      <c r="BA154" s="18"/>
      <c r="BB154" s="18"/>
      <c r="BC154" s="18"/>
      <c r="BD154" s="18"/>
    </row>
    <row r="155" spans="1:56">
      <c r="A155" s="28" t="s">
        <v>1059</v>
      </c>
      <c r="B155" s="29">
        <v>490</v>
      </c>
      <c r="C155" s="38">
        <v>38.117040532879898</v>
      </c>
      <c r="D155" s="38">
        <v>43.946705555555603</v>
      </c>
      <c r="E155" s="39"/>
      <c r="I155" s="18"/>
      <c r="J155" s="18"/>
      <c r="K155" s="18"/>
      <c r="L155" s="18"/>
      <c r="N155" s="18"/>
      <c r="O155" s="18"/>
      <c r="P155" s="18"/>
      <c r="Q155" s="18"/>
      <c r="R155" s="18"/>
      <c r="S155" s="18"/>
      <c r="T155" s="18"/>
      <c r="U155" s="18"/>
      <c r="V155" s="18"/>
      <c r="W155" s="18"/>
      <c r="X155" s="18"/>
      <c r="Y155" s="18"/>
      <c r="Z155" s="18"/>
      <c r="AA155" s="18"/>
      <c r="AB155" s="18"/>
      <c r="AC155" s="18"/>
      <c r="AD155" s="18"/>
      <c r="AE155" s="18"/>
      <c r="AF155" s="18"/>
      <c r="AG155" s="18"/>
      <c r="AH155" s="18"/>
      <c r="AI155" s="18"/>
      <c r="AJ155" s="18"/>
      <c r="AK155" s="18"/>
      <c r="AL155" s="18"/>
      <c r="AM155" s="18"/>
      <c r="AN155" s="18"/>
      <c r="AO155" s="18"/>
      <c r="AP155" s="18"/>
      <c r="AQ155" s="18"/>
      <c r="AR155" s="18"/>
      <c r="AS155" s="18"/>
      <c r="AT155" s="18"/>
      <c r="AU155" s="18"/>
      <c r="AV155" s="18"/>
      <c r="AW155" s="18"/>
      <c r="AX155" s="18"/>
      <c r="AY155" s="18"/>
      <c r="AZ155" s="18"/>
      <c r="BA155" s="18"/>
      <c r="BB155" s="18"/>
      <c r="BC155" s="18"/>
      <c r="BD155" s="18"/>
    </row>
    <row r="156" spans="1:56">
      <c r="A156" s="39"/>
      <c r="B156" s="39"/>
      <c r="C156" s="39"/>
      <c r="D156" s="39"/>
      <c r="E156" s="39"/>
      <c r="I156" s="18"/>
      <c r="J156" s="18"/>
      <c r="K156" s="18"/>
      <c r="L156" s="18"/>
      <c r="N156" s="18"/>
      <c r="O156" s="18"/>
      <c r="P156" s="18"/>
      <c r="Q156" s="18"/>
      <c r="R156" s="18"/>
      <c r="S156" s="18"/>
      <c r="T156" s="18"/>
      <c r="U156" s="18"/>
      <c r="V156" s="18"/>
      <c r="W156" s="18"/>
      <c r="X156" s="18"/>
      <c r="Y156" s="18"/>
      <c r="Z156" s="18"/>
      <c r="AA156" s="18"/>
      <c r="AB156" s="18"/>
      <c r="AC156" s="18"/>
      <c r="AD156" s="18"/>
      <c r="AE156" s="18"/>
      <c r="AF156" s="18"/>
      <c r="AG156" s="18"/>
      <c r="AH156" s="18"/>
      <c r="AI156" s="18"/>
      <c r="AJ156" s="18"/>
      <c r="AK156" s="18"/>
      <c r="AL156" s="18"/>
      <c r="AM156" s="18"/>
      <c r="AN156" s="18"/>
      <c r="AO156" s="18"/>
      <c r="AP156" s="18"/>
      <c r="AQ156" s="18"/>
      <c r="AR156" s="18"/>
      <c r="AS156" s="18"/>
      <c r="AT156" s="18"/>
      <c r="AU156" s="18"/>
      <c r="AV156" s="18"/>
      <c r="AW156" s="18"/>
      <c r="AX156" s="18"/>
      <c r="AY156" s="18"/>
      <c r="AZ156" s="18"/>
      <c r="BA156" s="18"/>
      <c r="BB156" s="18"/>
      <c r="BC156" s="18"/>
      <c r="BD156" s="18"/>
    </row>
    <row r="157" spans="1:56">
      <c r="A157" s="39" t="s">
        <v>1099</v>
      </c>
      <c r="B157" s="39"/>
      <c r="C157" s="39"/>
      <c r="D157" s="39"/>
      <c r="E157" s="39"/>
      <c r="I157" s="18"/>
      <c r="J157" s="18"/>
      <c r="K157" s="18"/>
      <c r="L157" s="18"/>
      <c r="N157" s="18"/>
      <c r="O157" s="18"/>
      <c r="P157" s="18"/>
      <c r="Q157" s="18"/>
      <c r="R157" s="18"/>
      <c r="S157" s="18"/>
      <c r="T157" s="18"/>
      <c r="U157" s="18"/>
      <c r="V157" s="18"/>
      <c r="W157" s="18"/>
      <c r="X157" s="18"/>
      <c r="Y157" s="18"/>
      <c r="Z157" s="18"/>
      <c r="AA157" s="18"/>
      <c r="AB157" s="18"/>
      <c r="AC157" s="18"/>
      <c r="AD157" s="18"/>
      <c r="AE157" s="18"/>
      <c r="AF157" s="18"/>
      <c r="AG157" s="18"/>
      <c r="AH157" s="18"/>
      <c r="AI157" s="18"/>
      <c r="AJ157" s="18"/>
      <c r="AK157" s="18"/>
      <c r="AL157" s="18"/>
      <c r="AM157" s="18"/>
      <c r="AN157" s="18"/>
      <c r="AO157" s="18"/>
      <c r="AP157" s="18"/>
      <c r="AQ157" s="18"/>
      <c r="AR157" s="18"/>
      <c r="AS157" s="18"/>
      <c r="AT157" s="18"/>
      <c r="AU157" s="18"/>
      <c r="AV157" s="18"/>
      <c r="AW157" s="18"/>
      <c r="AX157" s="18"/>
      <c r="AY157" s="18"/>
      <c r="AZ157" s="18"/>
      <c r="BA157" s="18"/>
      <c r="BB157" s="18"/>
      <c r="BC157" s="18"/>
      <c r="BD157" s="18"/>
    </row>
    <row r="158" spans="1:56">
      <c r="A158" s="39"/>
      <c r="B158" s="39"/>
      <c r="C158" s="39"/>
      <c r="D158" s="39"/>
      <c r="E158" s="39"/>
      <c r="I158" s="18"/>
      <c r="J158" s="18"/>
      <c r="K158" s="18"/>
      <c r="L158" s="18"/>
      <c r="N158" s="18"/>
      <c r="O158" s="18"/>
      <c r="P158" s="18"/>
      <c r="Q158" s="18"/>
      <c r="R158" s="18"/>
      <c r="S158" s="18"/>
      <c r="T158" s="18"/>
      <c r="U158" s="18"/>
      <c r="V158" s="18"/>
      <c r="W158" s="18"/>
      <c r="X158" s="18"/>
      <c r="Y158" s="18"/>
      <c r="Z158" s="18"/>
      <c r="AA158" s="18"/>
      <c r="AB158" s="18"/>
      <c r="AC158" s="18"/>
      <c r="AD158" s="18"/>
      <c r="AE158" s="18"/>
      <c r="AF158" s="18"/>
      <c r="AG158" s="18"/>
      <c r="AH158" s="18"/>
      <c r="AI158" s="18"/>
      <c r="AJ158" s="18"/>
      <c r="AK158" s="18"/>
      <c r="AL158" s="18"/>
      <c r="AM158" s="18"/>
      <c r="AN158" s="18"/>
      <c r="AO158" s="18"/>
      <c r="AP158" s="18"/>
      <c r="AQ158" s="18"/>
      <c r="AR158" s="18"/>
      <c r="AS158" s="18"/>
      <c r="AT158" s="18"/>
      <c r="AU158" s="18"/>
      <c r="AV158" s="18"/>
      <c r="AW158" s="18"/>
      <c r="AX158" s="18"/>
      <c r="AY158" s="18"/>
      <c r="AZ158" s="18"/>
      <c r="BA158" s="18"/>
      <c r="BB158" s="18"/>
      <c r="BC158" s="18"/>
      <c r="BD158" s="18"/>
    </row>
    <row r="159" spans="1:56">
      <c r="A159" s="39"/>
      <c r="B159" s="39"/>
      <c r="C159" s="39"/>
      <c r="D159" s="39"/>
      <c r="E159" s="39"/>
      <c r="I159" s="18"/>
      <c r="J159" s="18"/>
      <c r="K159" s="18"/>
      <c r="L159" s="18"/>
      <c r="N159" s="18"/>
      <c r="O159" s="18"/>
      <c r="P159" s="18"/>
      <c r="Q159" s="18"/>
      <c r="R159" s="18"/>
      <c r="S159" s="18"/>
      <c r="T159" s="18"/>
      <c r="U159" s="18"/>
      <c r="V159" s="18"/>
      <c r="W159" s="18"/>
      <c r="X159" s="18"/>
      <c r="Y159" s="18"/>
      <c r="Z159" s="18"/>
      <c r="AA159" s="18"/>
      <c r="AB159" s="18"/>
      <c r="AC159" s="18"/>
      <c r="AD159" s="18"/>
      <c r="AE159" s="18"/>
      <c r="AF159" s="18"/>
      <c r="AG159" s="18"/>
      <c r="AH159" s="18"/>
      <c r="AI159" s="18"/>
      <c r="AJ159" s="18"/>
      <c r="AK159" s="18"/>
      <c r="AL159" s="18"/>
      <c r="AM159" s="18"/>
      <c r="AN159" s="18"/>
      <c r="AO159" s="18"/>
      <c r="AP159" s="18"/>
      <c r="AQ159" s="18"/>
      <c r="AR159" s="18"/>
      <c r="AS159" s="18"/>
      <c r="AT159" s="18"/>
      <c r="AU159" s="18"/>
      <c r="AV159" s="18"/>
      <c r="AW159" s="18"/>
      <c r="AX159" s="18"/>
      <c r="AY159" s="18"/>
      <c r="AZ159" s="18"/>
      <c r="BA159" s="18"/>
      <c r="BB159" s="18"/>
      <c r="BC159" s="18"/>
      <c r="BD159" s="18"/>
    </row>
    <row r="160" spans="1:56">
      <c r="A160" s="423" t="s">
        <v>1100</v>
      </c>
      <c r="B160" s="424"/>
      <c r="C160" s="424"/>
      <c r="D160" s="428"/>
      <c r="E160" s="39"/>
      <c r="I160" s="18"/>
      <c r="J160" s="18"/>
      <c r="K160" s="18"/>
      <c r="L160" s="18"/>
      <c r="N160" s="18"/>
      <c r="O160" s="18"/>
      <c r="P160" s="18"/>
      <c r="Q160" s="18"/>
      <c r="R160" s="18"/>
      <c r="S160" s="18"/>
      <c r="T160" s="18"/>
      <c r="U160" s="18"/>
      <c r="V160" s="18"/>
      <c r="W160" s="18"/>
      <c r="X160" s="18"/>
      <c r="Y160" s="18"/>
      <c r="Z160" s="18"/>
      <c r="AA160" s="18"/>
      <c r="AB160" s="18"/>
      <c r="AC160" s="18"/>
      <c r="AD160" s="18"/>
      <c r="AE160" s="18"/>
      <c r="AF160" s="18"/>
      <c r="AG160" s="18"/>
      <c r="AH160" s="18"/>
      <c r="AI160" s="18"/>
      <c r="AJ160" s="18"/>
      <c r="AK160" s="18"/>
      <c r="AL160" s="18"/>
      <c r="AM160" s="18"/>
      <c r="AN160" s="18"/>
      <c r="AO160" s="18"/>
      <c r="AP160" s="18"/>
      <c r="AQ160" s="18"/>
      <c r="AR160" s="18"/>
      <c r="AS160" s="18"/>
      <c r="AT160" s="18"/>
      <c r="AU160" s="18"/>
      <c r="AV160" s="18"/>
      <c r="AW160" s="18"/>
      <c r="AX160" s="18"/>
      <c r="AY160" s="18"/>
      <c r="AZ160" s="18"/>
      <c r="BA160" s="18"/>
      <c r="BB160" s="18"/>
      <c r="BC160" s="18"/>
      <c r="BD160" s="18"/>
    </row>
    <row r="161" spans="1:56" ht="28.8">
      <c r="A161" s="22" t="s">
        <v>1063</v>
      </c>
      <c r="B161" s="23" t="s">
        <v>1064</v>
      </c>
      <c r="C161" s="23" t="s">
        <v>1065</v>
      </c>
      <c r="D161" s="23" t="s">
        <v>1066</v>
      </c>
      <c r="E161" s="39"/>
      <c r="I161" s="18"/>
      <c r="J161" s="18"/>
      <c r="K161" s="18"/>
      <c r="L161" s="18"/>
      <c r="N161" s="18"/>
      <c r="O161" s="18"/>
      <c r="P161" s="18"/>
      <c r="Q161" s="18"/>
      <c r="R161" s="18"/>
      <c r="S161" s="18"/>
      <c r="T161" s="18"/>
      <c r="U161" s="18"/>
      <c r="V161" s="18"/>
      <c r="W161" s="18"/>
      <c r="X161" s="18"/>
      <c r="Y161" s="18"/>
      <c r="Z161" s="18"/>
      <c r="AA161" s="18"/>
      <c r="AB161" s="18"/>
      <c r="AC161" s="18"/>
      <c r="AD161" s="18"/>
      <c r="AE161" s="18"/>
      <c r="AF161" s="18"/>
      <c r="AG161" s="18"/>
      <c r="AH161" s="18"/>
      <c r="AI161" s="18"/>
      <c r="AJ161" s="18"/>
      <c r="AK161" s="18"/>
      <c r="AL161" s="18"/>
      <c r="AM161" s="18"/>
      <c r="AN161" s="18"/>
      <c r="AO161" s="18"/>
      <c r="AP161" s="18"/>
      <c r="AQ161" s="18"/>
      <c r="AR161" s="18"/>
      <c r="AS161" s="18"/>
      <c r="AT161" s="18"/>
      <c r="AU161" s="18"/>
      <c r="AV161" s="18"/>
      <c r="AW161" s="18"/>
      <c r="AX161" s="18"/>
      <c r="AY161" s="18"/>
      <c r="AZ161" s="18"/>
      <c r="BA161" s="18"/>
      <c r="BB161" s="18"/>
      <c r="BC161" s="18"/>
      <c r="BD161" s="18"/>
    </row>
    <row r="162" spans="1:56">
      <c r="A162" s="25" t="s">
        <v>1068</v>
      </c>
      <c r="B162" s="26">
        <v>162</v>
      </c>
      <c r="C162" s="33">
        <v>35.07</v>
      </c>
      <c r="D162" s="33">
        <v>50.28</v>
      </c>
      <c r="E162" s="39"/>
      <c r="I162" s="18"/>
      <c r="J162" s="18"/>
      <c r="K162" s="18"/>
      <c r="L162" s="18"/>
      <c r="N162" s="18"/>
      <c r="O162" s="18"/>
      <c r="P162" s="18"/>
      <c r="Q162" s="18"/>
      <c r="R162" s="18"/>
      <c r="S162" s="18"/>
      <c r="T162" s="18"/>
      <c r="U162" s="18"/>
      <c r="V162" s="18"/>
      <c r="W162" s="18"/>
      <c r="X162" s="18"/>
      <c r="Y162" s="18"/>
      <c r="Z162" s="18"/>
      <c r="AA162" s="18"/>
      <c r="AB162" s="18"/>
      <c r="AC162" s="18"/>
      <c r="AD162" s="18"/>
      <c r="AE162" s="18"/>
      <c r="AF162" s="18"/>
      <c r="AG162" s="18"/>
      <c r="AH162" s="18"/>
      <c r="AI162" s="18"/>
      <c r="AJ162" s="18"/>
      <c r="AK162" s="18"/>
      <c r="AL162" s="18"/>
      <c r="AM162" s="18"/>
      <c r="AN162" s="18"/>
      <c r="AO162" s="18"/>
      <c r="AP162" s="18"/>
      <c r="AQ162" s="18"/>
      <c r="AR162" s="18"/>
      <c r="AS162" s="18"/>
      <c r="AT162" s="18"/>
      <c r="AU162" s="18"/>
      <c r="AV162" s="18"/>
      <c r="AW162" s="18"/>
      <c r="AX162" s="18"/>
      <c r="AY162" s="18"/>
      <c r="AZ162" s="18"/>
      <c r="BA162" s="18"/>
      <c r="BB162" s="18"/>
      <c r="BC162" s="18"/>
      <c r="BD162" s="18"/>
    </row>
    <row r="163" spans="1:56">
      <c r="A163" s="25" t="s">
        <v>1069</v>
      </c>
      <c r="B163" s="26">
        <v>45</v>
      </c>
      <c r="C163" s="33">
        <v>86.56</v>
      </c>
      <c r="D163" s="33">
        <v>114.57</v>
      </c>
      <c r="E163" s="39"/>
      <c r="I163" s="18"/>
      <c r="J163" s="18"/>
      <c r="K163" s="18"/>
      <c r="L163" s="18"/>
      <c r="N163" s="18"/>
      <c r="O163" s="18"/>
      <c r="P163" s="18"/>
      <c r="Q163" s="18"/>
      <c r="R163" s="18"/>
      <c r="S163" s="18"/>
      <c r="T163" s="18"/>
      <c r="U163" s="18"/>
      <c r="V163" s="18"/>
      <c r="W163" s="18"/>
      <c r="X163" s="18"/>
      <c r="Y163" s="18"/>
      <c r="Z163" s="18"/>
      <c r="AA163" s="18"/>
      <c r="AB163" s="18"/>
      <c r="AC163" s="18"/>
      <c r="AD163" s="18"/>
      <c r="AE163" s="18"/>
      <c r="AF163" s="18"/>
      <c r="AG163" s="18"/>
      <c r="AH163" s="18"/>
      <c r="AI163" s="18"/>
      <c r="AJ163" s="18"/>
      <c r="AK163" s="18"/>
      <c r="AL163" s="18"/>
      <c r="AM163" s="18"/>
      <c r="AN163" s="18"/>
      <c r="AO163" s="18"/>
      <c r="AP163" s="18"/>
      <c r="AQ163" s="18"/>
      <c r="AR163" s="18"/>
      <c r="AS163" s="18"/>
      <c r="AT163" s="18"/>
      <c r="AU163" s="18"/>
      <c r="AV163" s="18"/>
      <c r="AW163" s="18"/>
      <c r="AX163" s="18"/>
      <c r="AY163" s="18"/>
      <c r="AZ163" s="18"/>
      <c r="BA163" s="18"/>
      <c r="BB163" s="18"/>
      <c r="BC163" s="18"/>
      <c r="BD163" s="18"/>
    </row>
    <row r="164" spans="1:56">
      <c r="A164" s="25" t="s">
        <v>1090</v>
      </c>
      <c r="B164" s="26">
        <v>131</v>
      </c>
      <c r="C164" s="33">
        <v>11.53</v>
      </c>
      <c r="D164" s="33">
        <v>14.39</v>
      </c>
      <c r="E164" s="39"/>
      <c r="I164" s="18"/>
      <c r="J164" s="18"/>
      <c r="K164" s="18"/>
      <c r="L164" s="18"/>
      <c r="N164" s="18"/>
      <c r="O164" s="18"/>
      <c r="P164" s="18"/>
      <c r="Q164" s="18"/>
      <c r="R164" s="18"/>
      <c r="S164" s="18"/>
      <c r="T164" s="18"/>
      <c r="U164" s="18"/>
      <c r="V164" s="18"/>
      <c r="W164" s="18"/>
      <c r="X164" s="18"/>
      <c r="Y164" s="18"/>
      <c r="Z164" s="18"/>
      <c r="AA164" s="18"/>
      <c r="AB164" s="18"/>
      <c r="AC164" s="18"/>
      <c r="AD164" s="18"/>
      <c r="AE164" s="18"/>
      <c r="AF164" s="18"/>
      <c r="AG164" s="18"/>
      <c r="AH164" s="18"/>
      <c r="AI164" s="18"/>
      <c r="AJ164" s="18"/>
      <c r="AK164" s="18"/>
      <c r="AL164" s="18"/>
      <c r="AM164" s="18"/>
      <c r="AN164" s="18"/>
      <c r="AO164" s="18"/>
      <c r="AP164" s="18"/>
      <c r="AQ164" s="18"/>
      <c r="AR164" s="18"/>
      <c r="AS164" s="18"/>
      <c r="AT164" s="18"/>
      <c r="AU164" s="18"/>
      <c r="AV164" s="18"/>
      <c r="AW164" s="18"/>
      <c r="AX164" s="18"/>
      <c r="AY164" s="18"/>
      <c r="AZ164" s="18"/>
      <c r="BA164" s="18"/>
      <c r="BB164" s="18"/>
      <c r="BC164" s="18"/>
      <c r="BD164" s="18"/>
    </row>
    <row r="165" spans="1:56" ht="28.8">
      <c r="A165" s="27" t="s">
        <v>1071</v>
      </c>
      <c r="B165" s="26">
        <v>106</v>
      </c>
      <c r="C165" s="33">
        <v>19.5</v>
      </c>
      <c r="D165" s="33">
        <v>24.61</v>
      </c>
      <c r="E165" s="39"/>
      <c r="I165" s="18"/>
      <c r="J165" s="18"/>
      <c r="K165" s="18"/>
      <c r="L165" s="18"/>
      <c r="N165" s="18"/>
      <c r="O165" s="18"/>
      <c r="P165" s="18"/>
      <c r="Q165" s="18"/>
      <c r="R165" s="18"/>
      <c r="S165" s="18"/>
      <c r="T165" s="18"/>
      <c r="U165" s="18"/>
      <c r="V165" s="18"/>
      <c r="W165" s="18"/>
      <c r="X165" s="18"/>
      <c r="Y165" s="18"/>
      <c r="Z165" s="18"/>
      <c r="AA165" s="18"/>
      <c r="AB165" s="18"/>
      <c r="AC165" s="18"/>
      <c r="AD165" s="18"/>
      <c r="AE165" s="18"/>
      <c r="AF165" s="18"/>
      <c r="AG165" s="18"/>
      <c r="AH165" s="18"/>
      <c r="AI165" s="18"/>
      <c r="AJ165" s="18"/>
      <c r="AK165" s="18"/>
      <c r="AL165" s="18"/>
      <c r="AM165" s="18"/>
      <c r="AN165" s="18"/>
      <c r="AO165" s="18"/>
      <c r="AP165" s="18"/>
      <c r="AQ165" s="18"/>
      <c r="AR165" s="18"/>
      <c r="AS165" s="18"/>
      <c r="AT165" s="18"/>
      <c r="AU165" s="18"/>
      <c r="AV165" s="18"/>
      <c r="AW165" s="18"/>
      <c r="AX165" s="18"/>
      <c r="AY165" s="18"/>
      <c r="AZ165" s="18"/>
      <c r="BA165" s="18"/>
      <c r="BB165" s="18"/>
      <c r="BC165" s="18"/>
      <c r="BD165" s="18"/>
    </row>
    <row r="166" spans="1:56">
      <c r="A166" s="25" t="s">
        <v>1072</v>
      </c>
      <c r="B166" s="26">
        <v>122</v>
      </c>
      <c r="C166" s="33">
        <v>94.72</v>
      </c>
      <c r="D166" s="33">
        <v>120.38</v>
      </c>
      <c r="E166" s="39"/>
      <c r="I166" s="18"/>
      <c r="J166" s="18"/>
      <c r="K166" s="18"/>
      <c r="L166" s="18"/>
      <c r="N166" s="18"/>
      <c r="O166" s="18"/>
      <c r="P166" s="18"/>
      <c r="Q166" s="18"/>
      <c r="R166" s="18"/>
      <c r="S166" s="18"/>
      <c r="T166" s="18"/>
      <c r="U166" s="18"/>
      <c r="V166" s="18"/>
      <c r="W166" s="18"/>
      <c r="X166" s="18"/>
      <c r="Y166" s="18"/>
      <c r="Z166" s="18"/>
      <c r="AA166" s="18"/>
      <c r="AB166" s="18"/>
      <c r="AC166" s="18"/>
      <c r="AD166" s="18"/>
      <c r="AE166" s="18"/>
      <c r="AF166" s="18"/>
      <c r="AG166" s="18"/>
      <c r="AH166" s="18"/>
      <c r="AI166" s="18"/>
      <c r="AJ166" s="18"/>
      <c r="AK166" s="18"/>
      <c r="AL166" s="18"/>
      <c r="AM166" s="18"/>
      <c r="AN166" s="18"/>
      <c r="AO166" s="18"/>
      <c r="AP166" s="18"/>
      <c r="AQ166" s="18"/>
      <c r="AR166" s="18"/>
      <c r="AS166" s="18"/>
      <c r="AT166" s="18"/>
      <c r="AU166" s="18"/>
      <c r="AV166" s="18"/>
      <c r="AW166" s="18"/>
      <c r="AX166" s="18"/>
      <c r="AY166" s="18"/>
      <c r="AZ166" s="18"/>
      <c r="BA166" s="18"/>
      <c r="BB166" s="18"/>
      <c r="BC166" s="18"/>
      <c r="BD166" s="18"/>
    </row>
    <row r="167" spans="1:56">
      <c r="A167" s="28" t="s">
        <v>1059</v>
      </c>
      <c r="B167" s="29">
        <v>566</v>
      </c>
      <c r="C167" s="38">
        <v>49.48</v>
      </c>
      <c r="D167" s="38">
        <v>64.849999999999994</v>
      </c>
      <c r="E167" s="39"/>
      <c r="I167" s="18"/>
      <c r="J167" s="18"/>
      <c r="K167" s="18"/>
      <c r="L167" s="18"/>
      <c r="N167" s="18"/>
      <c r="O167" s="18"/>
      <c r="P167" s="18"/>
      <c r="Q167" s="18"/>
      <c r="R167" s="18"/>
      <c r="S167" s="18"/>
      <c r="T167" s="18"/>
      <c r="U167" s="18"/>
      <c r="V167" s="18"/>
      <c r="W167" s="18"/>
      <c r="X167" s="18"/>
      <c r="Y167" s="18"/>
      <c r="Z167" s="18"/>
      <c r="AA167" s="18"/>
      <c r="AB167" s="18"/>
      <c r="AC167" s="18"/>
      <c r="AD167" s="18"/>
      <c r="AE167" s="18"/>
      <c r="AF167" s="18"/>
      <c r="AG167" s="18"/>
      <c r="AH167" s="18"/>
      <c r="AI167" s="18"/>
      <c r="AJ167" s="18"/>
      <c r="AK167" s="18"/>
      <c r="AL167" s="18"/>
      <c r="AM167" s="18"/>
      <c r="AN167" s="18"/>
      <c r="AO167" s="18"/>
      <c r="AP167" s="18"/>
      <c r="AQ167" s="18"/>
      <c r="AR167" s="18"/>
      <c r="AS167" s="18"/>
      <c r="AT167" s="18"/>
      <c r="AU167" s="18"/>
      <c r="AV167" s="18"/>
      <c r="AW167" s="18"/>
      <c r="AX167" s="18"/>
      <c r="AY167" s="18"/>
      <c r="AZ167" s="18"/>
      <c r="BA167" s="18"/>
      <c r="BB167" s="18"/>
      <c r="BC167" s="18"/>
      <c r="BD167" s="18"/>
    </row>
    <row r="168" spans="1:56">
      <c r="A168" s="39"/>
      <c r="B168" s="39"/>
      <c r="C168" s="39"/>
      <c r="D168" s="39"/>
      <c r="E168" s="39"/>
      <c r="I168" s="18"/>
      <c r="J168" s="18"/>
      <c r="K168" s="18"/>
      <c r="L168" s="18"/>
      <c r="N168" s="18"/>
      <c r="O168" s="18"/>
      <c r="P168" s="18"/>
      <c r="Q168" s="18"/>
      <c r="R168" s="18"/>
      <c r="S168" s="18"/>
      <c r="T168" s="18"/>
      <c r="U168" s="18"/>
      <c r="V168" s="18"/>
      <c r="W168" s="18"/>
      <c r="X168" s="18"/>
      <c r="Y168" s="18"/>
      <c r="Z168" s="18"/>
      <c r="AA168" s="18"/>
      <c r="AB168" s="18"/>
      <c r="AC168" s="18"/>
      <c r="AD168" s="18"/>
      <c r="AE168" s="18"/>
      <c r="AF168" s="18"/>
      <c r="AG168" s="18"/>
      <c r="AH168" s="18"/>
      <c r="AI168" s="18"/>
      <c r="AJ168" s="18"/>
      <c r="AK168" s="18"/>
      <c r="AL168" s="18"/>
      <c r="AM168" s="18"/>
      <c r="AN168" s="18"/>
      <c r="AO168" s="18"/>
      <c r="AP168" s="18"/>
      <c r="AQ168" s="18"/>
      <c r="AR168" s="18"/>
      <c r="AS168" s="18"/>
      <c r="AT168" s="18"/>
      <c r="AU168" s="18"/>
      <c r="AV168" s="18"/>
      <c r="AW168" s="18"/>
      <c r="AX168" s="18"/>
      <c r="AY168" s="18"/>
      <c r="AZ168" s="18"/>
      <c r="BA168" s="18"/>
      <c r="BB168" s="18"/>
      <c r="BC168" s="18"/>
      <c r="BD168" s="18"/>
    </row>
    <row r="169" spans="1:56">
      <c r="A169" s="39" t="s">
        <v>1101</v>
      </c>
      <c r="B169" s="39"/>
      <c r="C169" s="39"/>
      <c r="D169" s="39"/>
      <c r="E169" s="39"/>
      <c r="I169" s="18"/>
      <c r="J169" s="18"/>
      <c r="K169" s="18"/>
      <c r="L169" s="18"/>
      <c r="N169" s="18"/>
      <c r="O169" s="18"/>
      <c r="P169" s="18"/>
      <c r="Q169" s="18"/>
      <c r="R169" s="18"/>
      <c r="S169" s="18"/>
      <c r="T169" s="18"/>
      <c r="U169" s="18"/>
      <c r="V169" s="18"/>
      <c r="W169" s="18"/>
      <c r="X169" s="18"/>
      <c r="Y169" s="18"/>
      <c r="Z169" s="18"/>
      <c r="AA169" s="18"/>
      <c r="AB169" s="18"/>
      <c r="AC169" s="18"/>
      <c r="AD169" s="18"/>
      <c r="AE169" s="18"/>
      <c r="AF169" s="18"/>
      <c r="AG169" s="18"/>
      <c r="AH169" s="18"/>
      <c r="AI169" s="18"/>
      <c r="AJ169" s="18"/>
      <c r="AK169" s="18"/>
      <c r="AL169" s="18"/>
      <c r="AM169" s="18"/>
      <c r="AN169" s="18"/>
      <c r="AO169" s="18"/>
      <c r="AP169" s="18"/>
      <c r="AQ169" s="18"/>
      <c r="AR169" s="18"/>
      <c r="AS169" s="18"/>
      <c r="AT169" s="18"/>
      <c r="AU169" s="18"/>
      <c r="AV169" s="18"/>
      <c r="AW169" s="18"/>
      <c r="AX169" s="18"/>
      <c r="AY169" s="18"/>
      <c r="AZ169" s="18"/>
      <c r="BA169" s="18"/>
      <c r="BB169" s="18"/>
      <c r="BC169" s="18"/>
      <c r="BD169" s="18"/>
    </row>
    <row r="170" spans="1:56">
      <c r="A170" s="39"/>
      <c r="B170" s="39"/>
      <c r="C170" s="39"/>
      <c r="D170" s="39"/>
      <c r="E170" s="39"/>
      <c r="I170" s="18"/>
      <c r="J170" s="18"/>
      <c r="K170" s="18"/>
      <c r="L170" s="18"/>
      <c r="N170" s="18"/>
      <c r="O170" s="18"/>
      <c r="P170" s="18"/>
      <c r="Q170" s="18"/>
      <c r="R170" s="18"/>
      <c r="S170" s="18"/>
      <c r="T170" s="18"/>
      <c r="U170" s="18"/>
      <c r="V170" s="18"/>
      <c r="W170" s="18"/>
      <c r="X170" s="18"/>
      <c r="Y170" s="18"/>
      <c r="Z170" s="18"/>
      <c r="AA170" s="18"/>
      <c r="AB170" s="18"/>
      <c r="AC170" s="18"/>
      <c r="AD170" s="18"/>
      <c r="AE170" s="18"/>
      <c r="AF170" s="18"/>
      <c r="AG170" s="18"/>
      <c r="AH170" s="18"/>
      <c r="AI170" s="18"/>
      <c r="AJ170" s="18"/>
      <c r="AK170" s="18"/>
      <c r="AL170" s="18"/>
      <c r="AM170" s="18"/>
      <c r="AN170" s="18"/>
      <c r="AO170" s="18"/>
      <c r="AP170" s="18"/>
      <c r="AQ170" s="18"/>
      <c r="AR170" s="18"/>
      <c r="AS170" s="18"/>
      <c r="AT170" s="18"/>
      <c r="AU170" s="18"/>
      <c r="AV170" s="18"/>
      <c r="AW170" s="18"/>
      <c r="AX170" s="18"/>
      <c r="AY170" s="18"/>
      <c r="AZ170" s="18"/>
      <c r="BA170" s="18"/>
      <c r="BB170" s="18"/>
      <c r="BC170" s="18"/>
      <c r="BD170" s="18"/>
    </row>
    <row r="174" spans="1:56">
      <c r="A174" s="430" t="s">
        <v>1102</v>
      </c>
      <c r="B174" s="431"/>
      <c r="C174" s="431"/>
      <c r="D174" s="431"/>
      <c r="E174" s="431"/>
      <c r="F174" s="431"/>
      <c r="G174" s="431"/>
      <c r="H174" s="431"/>
      <c r="I174" s="18"/>
      <c r="J174" s="18"/>
      <c r="K174" s="18"/>
      <c r="L174" s="18"/>
      <c r="N174" s="18"/>
      <c r="O174" s="18"/>
      <c r="P174" s="18"/>
      <c r="Q174" s="18"/>
      <c r="R174" s="18"/>
      <c r="S174" s="18"/>
      <c r="T174" s="18"/>
      <c r="U174" s="18"/>
      <c r="V174" s="18"/>
      <c r="W174" s="18"/>
      <c r="X174" s="18"/>
      <c r="Y174" s="18"/>
      <c r="Z174" s="18"/>
      <c r="AA174" s="18"/>
      <c r="AB174" s="18"/>
      <c r="AC174" s="18"/>
      <c r="AD174" s="18"/>
      <c r="AE174" s="18"/>
      <c r="AF174" s="18"/>
      <c r="AG174" s="18"/>
      <c r="AH174" s="18"/>
      <c r="AI174" s="18"/>
      <c r="AJ174" s="18"/>
      <c r="AK174" s="18"/>
      <c r="AL174" s="18"/>
      <c r="AM174" s="18"/>
      <c r="AN174" s="18"/>
      <c r="AO174" s="18"/>
      <c r="AP174" s="18"/>
      <c r="AQ174" s="18"/>
      <c r="AR174" s="18"/>
      <c r="AS174" s="18"/>
      <c r="AT174" s="18"/>
      <c r="AU174" s="18"/>
      <c r="AV174" s="18"/>
      <c r="AW174" s="18"/>
      <c r="AX174" s="18"/>
      <c r="AY174" s="18"/>
      <c r="AZ174" s="18"/>
      <c r="BA174" s="18"/>
      <c r="BB174" s="18"/>
      <c r="BC174" s="18"/>
      <c r="BD174" s="18"/>
    </row>
    <row r="175" spans="1:56" ht="15.6" customHeight="1">
      <c r="A175" s="434" t="s">
        <v>1103</v>
      </c>
      <c r="B175" s="435"/>
      <c r="C175" s="435"/>
      <c r="D175" s="435"/>
      <c r="E175" s="435"/>
      <c r="F175" s="435"/>
      <c r="G175" s="435"/>
      <c r="H175" s="435"/>
      <c r="I175" s="18"/>
      <c r="J175" s="18"/>
      <c r="K175" s="18"/>
      <c r="L175" s="18"/>
      <c r="N175" s="18"/>
      <c r="O175" s="18"/>
      <c r="P175" s="18"/>
      <c r="Q175" s="18"/>
      <c r="R175" s="18"/>
      <c r="S175" s="18"/>
      <c r="T175" s="18"/>
      <c r="U175" s="18"/>
      <c r="V175" s="18"/>
      <c r="W175" s="18"/>
      <c r="X175" s="18"/>
      <c r="Y175" s="18"/>
      <c r="Z175" s="18"/>
      <c r="AA175" s="18"/>
      <c r="AB175" s="18"/>
      <c r="AC175" s="18"/>
      <c r="AD175" s="18"/>
      <c r="AE175" s="18"/>
      <c r="AF175" s="18"/>
      <c r="AG175" s="18"/>
      <c r="AH175" s="18"/>
      <c r="AI175" s="18"/>
      <c r="AJ175" s="18"/>
      <c r="AK175" s="18"/>
      <c r="AL175" s="18"/>
      <c r="AM175" s="18"/>
      <c r="AN175" s="18"/>
      <c r="AO175" s="18"/>
      <c r="AP175" s="18"/>
      <c r="AQ175" s="18"/>
      <c r="AR175" s="18"/>
      <c r="AS175" s="18"/>
      <c r="AT175" s="18"/>
      <c r="AU175" s="18"/>
      <c r="AV175" s="18"/>
      <c r="AW175" s="18"/>
      <c r="AX175" s="18"/>
      <c r="AY175" s="18"/>
      <c r="AZ175" s="18"/>
      <c r="BA175" s="18"/>
      <c r="BB175" s="18"/>
      <c r="BC175" s="18"/>
      <c r="BD175" s="18"/>
    </row>
    <row r="176" spans="1:56">
      <c r="I176" s="18"/>
      <c r="J176" s="18"/>
      <c r="K176" s="18"/>
      <c r="L176" s="18"/>
      <c r="N176" s="18"/>
      <c r="O176" s="18"/>
      <c r="P176" s="18"/>
      <c r="Q176" s="18"/>
      <c r="R176" s="18"/>
      <c r="S176" s="18"/>
      <c r="T176" s="18"/>
      <c r="U176" s="18"/>
      <c r="V176" s="18"/>
      <c r="W176" s="18"/>
      <c r="X176" s="18"/>
      <c r="Y176" s="18"/>
      <c r="Z176" s="18"/>
      <c r="AA176" s="18"/>
      <c r="AB176" s="18"/>
      <c r="AC176" s="18"/>
      <c r="AD176" s="18"/>
      <c r="AE176" s="18"/>
      <c r="AF176" s="18"/>
      <c r="AG176" s="18"/>
      <c r="AH176" s="18"/>
      <c r="AI176" s="18"/>
      <c r="AJ176" s="18"/>
      <c r="AK176" s="18"/>
      <c r="AL176" s="18"/>
      <c r="AM176" s="18"/>
      <c r="AN176" s="18"/>
      <c r="AO176" s="18"/>
      <c r="AP176" s="18"/>
      <c r="AQ176" s="18"/>
      <c r="AR176" s="18"/>
      <c r="AS176" s="18"/>
      <c r="AT176" s="18"/>
      <c r="AU176" s="18"/>
      <c r="AV176" s="18"/>
      <c r="AW176" s="18"/>
      <c r="AX176" s="18"/>
      <c r="AY176" s="18"/>
      <c r="AZ176" s="18"/>
      <c r="BA176" s="18"/>
      <c r="BB176" s="18"/>
      <c r="BC176" s="18"/>
      <c r="BD176" s="18"/>
    </row>
    <row r="177" spans="1:56">
      <c r="A177" s="430" t="s">
        <v>1104</v>
      </c>
      <c r="B177" s="431"/>
      <c r="C177" s="431"/>
      <c r="D177" s="431"/>
      <c r="E177" s="431"/>
      <c r="F177" s="431"/>
      <c r="G177" s="431"/>
      <c r="H177" s="431"/>
      <c r="I177" s="18"/>
      <c r="J177" s="18"/>
      <c r="K177" s="18"/>
      <c r="L177" s="18"/>
      <c r="N177" s="18"/>
      <c r="O177" s="18"/>
      <c r="P177" s="18"/>
      <c r="Q177" s="18"/>
      <c r="R177" s="18"/>
      <c r="S177" s="18"/>
      <c r="T177" s="18"/>
      <c r="U177" s="18"/>
      <c r="V177" s="18"/>
      <c r="W177" s="18"/>
      <c r="X177" s="18"/>
      <c r="Y177" s="18"/>
      <c r="Z177" s="18"/>
      <c r="AA177" s="18"/>
      <c r="AB177" s="18"/>
      <c r="AC177" s="18"/>
      <c r="AD177" s="18"/>
      <c r="AE177" s="18"/>
      <c r="AF177" s="18"/>
      <c r="AG177" s="18"/>
      <c r="AH177" s="18"/>
      <c r="AI177" s="18"/>
      <c r="AJ177" s="18"/>
      <c r="AK177" s="18"/>
      <c r="AL177" s="18"/>
      <c r="AM177" s="18"/>
      <c r="AN177" s="18"/>
      <c r="AO177" s="18"/>
      <c r="AP177" s="18"/>
      <c r="AQ177" s="18"/>
      <c r="AR177" s="18"/>
      <c r="AS177" s="18"/>
      <c r="AT177" s="18"/>
      <c r="AU177" s="18"/>
      <c r="AV177" s="18"/>
      <c r="AW177" s="18"/>
      <c r="AX177" s="18"/>
      <c r="AY177" s="18"/>
      <c r="AZ177" s="18"/>
      <c r="BA177" s="18"/>
      <c r="BB177" s="18"/>
      <c r="BC177" s="18"/>
      <c r="BD177" s="18"/>
    </row>
    <row r="178" spans="1:56">
      <c r="A178" s="432" t="s">
        <v>1105</v>
      </c>
      <c r="B178" s="433"/>
      <c r="C178" s="433"/>
      <c r="D178" s="433"/>
      <c r="E178" s="433"/>
      <c r="F178" s="433"/>
      <c r="G178" s="433"/>
      <c r="H178" s="433"/>
      <c r="I178" s="18"/>
      <c r="J178" s="18"/>
      <c r="K178" s="18"/>
      <c r="L178" s="18"/>
      <c r="N178" s="18"/>
      <c r="O178" s="18"/>
      <c r="P178" s="18"/>
      <c r="Q178" s="18"/>
      <c r="R178" s="18"/>
      <c r="S178" s="18"/>
      <c r="T178" s="18"/>
      <c r="U178" s="18"/>
      <c r="V178" s="18"/>
      <c r="W178" s="18"/>
      <c r="X178" s="18"/>
      <c r="Y178" s="18"/>
      <c r="Z178" s="18"/>
      <c r="AA178" s="18"/>
      <c r="AB178" s="18"/>
      <c r="AC178" s="18"/>
      <c r="AD178" s="18"/>
      <c r="AE178" s="18"/>
      <c r="AF178" s="18"/>
      <c r="AG178" s="18"/>
      <c r="AH178" s="18"/>
      <c r="AI178" s="18"/>
      <c r="AJ178" s="18"/>
      <c r="AK178" s="18"/>
      <c r="AL178" s="18"/>
      <c r="AM178" s="18"/>
      <c r="AN178" s="18"/>
      <c r="AO178" s="18"/>
      <c r="AP178" s="18"/>
      <c r="AQ178" s="18"/>
      <c r="AR178" s="18"/>
      <c r="AS178" s="18"/>
      <c r="AT178" s="18"/>
      <c r="AU178" s="18"/>
      <c r="AV178" s="18"/>
      <c r="AW178" s="18"/>
      <c r="AX178" s="18"/>
      <c r="AY178" s="18"/>
      <c r="AZ178" s="18"/>
      <c r="BA178" s="18"/>
      <c r="BB178" s="18"/>
      <c r="BC178" s="18"/>
      <c r="BD178" s="18"/>
    </row>
    <row r="179" spans="1:56">
      <c r="A179" s="36"/>
      <c r="B179" s="36"/>
      <c r="C179" s="36"/>
      <c r="D179" s="36"/>
      <c r="E179" s="36"/>
      <c r="F179" s="36"/>
      <c r="G179" s="36"/>
      <c r="H179" s="36"/>
      <c r="I179" s="18"/>
      <c r="J179" s="18"/>
      <c r="K179" s="18"/>
      <c r="L179" s="18"/>
      <c r="N179" s="18"/>
      <c r="O179" s="18"/>
      <c r="P179" s="18"/>
      <c r="Q179" s="18"/>
      <c r="R179" s="18"/>
      <c r="S179" s="18"/>
      <c r="T179" s="18"/>
      <c r="U179" s="18"/>
      <c r="V179" s="18"/>
      <c r="W179" s="18"/>
      <c r="X179" s="18"/>
      <c r="Y179" s="18"/>
      <c r="Z179" s="18"/>
      <c r="AA179" s="18"/>
      <c r="AB179" s="18"/>
      <c r="AC179" s="18"/>
      <c r="AD179" s="18"/>
      <c r="AE179" s="18"/>
      <c r="AF179" s="18"/>
      <c r="AG179" s="18"/>
      <c r="AH179" s="18"/>
      <c r="AI179" s="18"/>
      <c r="AJ179" s="18"/>
      <c r="AK179" s="18"/>
      <c r="AL179" s="18"/>
      <c r="AM179" s="18"/>
      <c r="AN179" s="18"/>
      <c r="AO179" s="18"/>
      <c r="AP179" s="18"/>
      <c r="AQ179" s="18"/>
      <c r="AR179" s="18"/>
      <c r="AS179" s="18"/>
      <c r="AT179" s="18"/>
      <c r="AU179" s="18"/>
      <c r="AV179" s="18"/>
      <c r="AW179" s="18"/>
      <c r="AX179" s="18"/>
      <c r="AY179" s="18"/>
      <c r="AZ179" s="18"/>
      <c r="BA179" s="18"/>
      <c r="BB179" s="18"/>
      <c r="BC179" s="18"/>
      <c r="BD179" s="18"/>
    </row>
    <row r="180" spans="1:56">
      <c r="A180" s="36"/>
      <c r="B180" s="36"/>
      <c r="C180" s="36"/>
      <c r="D180" s="36"/>
      <c r="E180" s="36"/>
      <c r="F180" s="36"/>
      <c r="G180" s="36"/>
      <c r="H180" s="36"/>
      <c r="I180" s="18"/>
      <c r="J180" s="18"/>
      <c r="K180" s="18"/>
      <c r="L180" s="18"/>
      <c r="N180" s="18"/>
      <c r="O180" s="18"/>
      <c r="P180" s="18"/>
      <c r="Q180" s="18"/>
      <c r="R180" s="18"/>
      <c r="S180" s="18"/>
      <c r="T180" s="18"/>
      <c r="U180" s="18"/>
      <c r="V180" s="18"/>
      <c r="W180" s="18"/>
      <c r="X180" s="18"/>
      <c r="Y180" s="18"/>
      <c r="Z180" s="18"/>
      <c r="AA180" s="18"/>
      <c r="AB180" s="18"/>
      <c r="AC180" s="18"/>
      <c r="AD180" s="18"/>
      <c r="AE180" s="18"/>
      <c r="AF180" s="18"/>
      <c r="AG180" s="18"/>
      <c r="AH180" s="18"/>
      <c r="AI180" s="18"/>
      <c r="AJ180" s="18"/>
      <c r="AK180" s="18"/>
      <c r="AL180" s="18"/>
      <c r="AM180" s="18"/>
      <c r="AN180" s="18"/>
      <c r="AO180" s="18"/>
      <c r="AP180" s="18"/>
      <c r="AQ180" s="18"/>
      <c r="AR180" s="18"/>
      <c r="AS180" s="18"/>
      <c r="AT180" s="18"/>
      <c r="AU180" s="18"/>
      <c r="AV180" s="18"/>
      <c r="AW180" s="18"/>
      <c r="AX180" s="18"/>
      <c r="AY180" s="18"/>
      <c r="AZ180" s="18"/>
      <c r="BA180" s="18"/>
      <c r="BB180" s="18"/>
      <c r="BC180" s="18"/>
      <c r="BD180" s="18"/>
    </row>
    <row r="181" spans="1:56">
      <c r="A181" s="36"/>
      <c r="B181" s="36"/>
      <c r="C181" s="36"/>
      <c r="D181" s="36"/>
      <c r="E181" s="36"/>
      <c r="F181" s="36"/>
      <c r="G181" s="36"/>
      <c r="H181" s="36"/>
      <c r="I181" s="18"/>
      <c r="J181" s="18"/>
      <c r="K181" s="18"/>
      <c r="L181" s="18"/>
      <c r="N181" s="18"/>
      <c r="O181" s="18"/>
      <c r="P181" s="18"/>
      <c r="Q181" s="18"/>
      <c r="R181" s="18"/>
      <c r="S181" s="18"/>
      <c r="T181" s="18"/>
      <c r="U181" s="18"/>
      <c r="V181" s="18"/>
      <c r="W181" s="18"/>
      <c r="X181" s="18"/>
      <c r="Y181" s="18"/>
      <c r="Z181" s="18"/>
      <c r="AA181" s="18"/>
      <c r="AB181" s="18"/>
      <c r="AC181" s="18"/>
      <c r="AD181" s="18"/>
      <c r="AE181" s="18"/>
      <c r="AF181" s="18"/>
      <c r="AG181" s="18"/>
      <c r="AH181" s="18"/>
      <c r="AI181" s="18"/>
      <c r="AJ181" s="18"/>
      <c r="AK181" s="18"/>
      <c r="AL181" s="18"/>
      <c r="AM181" s="18"/>
      <c r="AN181" s="18"/>
      <c r="AO181" s="18"/>
      <c r="AP181" s="18"/>
      <c r="AQ181" s="18"/>
      <c r="AR181" s="18"/>
      <c r="AS181" s="18"/>
      <c r="AT181" s="18"/>
      <c r="AU181" s="18"/>
      <c r="AV181" s="18"/>
      <c r="AW181" s="18"/>
      <c r="AX181" s="18"/>
      <c r="AY181" s="18"/>
      <c r="AZ181" s="18"/>
      <c r="BA181" s="18"/>
      <c r="BB181" s="18"/>
      <c r="BC181" s="18"/>
      <c r="BD181" s="18"/>
    </row>
    <row r="182" spans="1:56">
      <c r="A182" s="40"/>
      <c r="B182" s="40"/>
      <c r="C182" s="40"/>
      <c r="D182" s="40"/>
      <c r="E182" s="36"/>
      <c r="F182" s="36"/>
      <c r="G182" s="36"/>
      <c r="H182" s="36"/>
      <c r="I182" s="18"/>
      <c r="J182" s="18"/>
      <c r="K182" s="18"/>
      <c r="L182" s="18"/>
      <c r="N182" s="18"/>
      <c r="O182" s="18"/>
      <c r="P182" s="18"/>
      <c r="Q182" s="18"/>
      <c r="R182" s="18"/>
      <c r="S182" s="18"/>
      <c r="T182" s="18"/>
      <c r="U182" s="18"/>
      <c r="V182" s="18"/>
      <c r="W182" s="18"/>
      <c r="X182" s="18"/>
      <c r="Y182" s="18"/>
      <c r="Z182" s="18"/>
      <c r="AA182" s="18"/>
      <c r="AB182" s="18"/>
      <c r="AC182" s="18"/>
      <c r="AD182" s="18"/>
      <c r="AE182" s="18"/>
      <c r="AF182" s="18"/>
      <c r="AG182" s="18"/>
      <c r="AH182" s="18"/>
      <c r="AI182" s="18"/>
      <c r="AJ182" s="18"/>
      <c r="AK182" s="18"/>
      <c r="AL182" s="18"/>
      <c r="AM182" s="18"/>
      <c r="AN182" s="18"/>
      <c r="AO182" s="18"/>
      <c r="AP182" s="18"/>
      <c r="AQ182" s="18"/>
      <c r="AR182" s="18"/>
      <c r="AS182" s="18"/>
      <c r="AT182" s="18"/>
      <c r="AU182" s="18"/>
      <c r="AV182" s="18"/>
      <c r="AW182" s="18"/>
      <c r="AX182" s="18"/>
      <c r="AY182" s="18"/>
      <c r="AZ182" s="18"/>
      <c r="BA182" s="18"/>
      <c r="BB182" s="18"/>
      <c r="BC182" s="18"/>
      <c r="BD182" s="18"/>
    </row>
    <row r="183" spans="1:56">
      <c r="A183" s="40"/>
      <c r="B183" s="40"/>
      <c r="C183" s="40"/>
      <c r="D183" s="40"/>
      <c r="E183" s="36"/>
      <c r="F183" s="36"/>
      <c r="G183" s="36"/>
      <c r="H183" s="36"/>
      <c r="I183" s="18"/>
      <c r="J183" s="18"/>
      <c r="K183" s="18"/>
      <c r="L183" s="18"/>
      <c r="N183" s="18"/>
      <c r="O183" s="18"/>
      <c r="P183" s="18"/>
      <c r="Q183" s="18"/>
      <c r="R183" s="18"/>
      <c r="S183" s="18"/>
      <c r="T183" s="18"/>
      <c r="U183" s="18"/>
      <c r="V183" s="18"/>
      <c r="W183" s="18"/>
      <c r="X183" s="18"/>
      <c r="Y183" s="18"/>
      <c r="Z183" s="18"/>
      <c r="AA183" s="18"/>
      <c r="AB183" s="18"/>
      <c r="AC183" s="18"/>
      <c r="AD183" s="18"/>
      <c r="AE183" s="18"/>
      <c r="AF183" s="18"/>
      <c r="AG183" s="18"/>
      <c r="AH183" s="18"/>
      <c r="AI183" s="18"/>
      <c r="AJ183" s="18"/>
      <c r="AK183" s="18"/>
      <c r="AL183" s="18"/>
      <c r="AM183" s="18"/>
      <c r="AN183" s="18"/>
      <c r="AO183" s="18"/>
      <c r="AP183" s="18"/>
      <c r="AQ183" s="18"/>
      <c r="AR183" s="18"/>
      <c r="AS183" s="18"/>
      <c r="AT183" s="18"/>
      <c r="AU183" s="18"/>
      <c r="AV183" s="18"/>
      <c r="AW183" s="18"/>
      <c r="AX183" s="18"/>
      <c r="AY183" s="18"/>
      <c r="AZ183" s="18"/>
      <c r="BA183" s="18"/>
      <c r="BB183" s="18"/>
      <c r="BC183" s="18"/>
      <c r="BD183" s="18"/>
    </row>
    <row r="184" spans="1:56">
      <c r="A184" s="40"/>
      <c r="B184" s="40"/>
      <c r="C184" s="40"/>
      <c r="D184" s="40"/>
      <c r="E184" s="36"/>
      <c r="F184" s="36"/>
      <c r="G184" s="36"/>
      <c r="H184" s="36"/>
      <c r="I184" s="18"/>
      <c r="J184" s="18"/>
      <c r="K184" s="18"/>
      <c r="L184" s="18"/>
      <c r="N184" s="18"/>
      <c r="O184" s="18"/>
      <c r="P184" s="18"/>
      <c r="Q184" s="18"/>
      <c r="R184" s="18"/>
      <c r="S184" s="18"/>
      <c r="T184" s="18"/>
      <c r="U184" s="18"/>
      <c r="V184" s="18"/>
      <c r="W184" s="18"/>
      <c r="X184" s="18"/>
      <c r="Y184" s="18"/>
      <c r="Z184" s="18"/>
      <c r="AA184" s="18"/>
      <c r="AB184" s="18"/>
      <c r="AC184" s="18"/>
      <c r="AD184" s="18"/>
      <c r="AE184" s="18"/>
      <c r="AF184" s="18"/>
      <c r="AG184" s="18"/>
      <c r="AH184" s="18"/>
      <c r="AI184" s="18"/>
      <c r="AJ184" s="18"/>
      <c r="AK184" s="18"/>
      <c r="AL184" s="18"/>
      <c r="AM184" s="18"/>
      <c r="AN184" s="18"/>
      <c r="AO184" s="18"/>
      <c r="AP184" s="18"/>
      <c r="AQ184" s="18"/>
      <c r="AR184" s="18"/>
      <c r="AS184" s="18"/>
      <c r="AT184" s="18"/>
      <c r="AU184" s="18"/>
      <c r="AV184" s="18"/>
      <c r="AW184" s="18"/>
      <c r="AX184" s="18"/>
      <c r="AY184" s="18"/>
      <c r="AZ184" s="18"/>
      <c r="BA184" s="18"/>
      <c r="BB184" s="18"/>
      <c r="BC184" s="18"/>
      <c r="BD184" s="18"/>
    </row>
    <row r="185" spans="1:56">
      <c r="A185" s="40"/>
      <c r="B185" s="40"/>
      <c r="C185" s="40"/>
      <c r="D185" s="40"/>
      <c r="E185" s="36"/>
      <c r="F185" s="36"/>
      <c r="G185" s="36"/>
      <c r="H185" s="36"/>
      <c r="I185" s="18"/>
      <c r="J185" s="18"/>
      <c r="K185" s="18"/>
      <c r="L185" s="18"/>
      <c r="N185" s="18"/>
      <c r="O185" s="18"/>
      <c r="P185" s="18"/>
      <c r="Q185" s="18"/>
      <c r="R185" s="18"/>
      <c r="S185" s="18"/>
      <c r="T185" s="18"/>
      <c r="U185" s="18"/>
      <c r="V185" s="18"/>
      <c r="W185" s="18"/>
      <c r="X185" s="18"/>
      <c r="Y185" s="18"/>
      <c r="Z185" s="18"/>
      <c r="AA185" s="18"/>
      <c r="AB185" s="18"/>
      <c r="AC185" s="18"/>
      <c r="AD185" s="18"/>
      <c r="AE185" s="18"/>
      <c r="AF185" s="18"/>
      <c r="AG185" s="18"/>
      <c r="AH185" s="18"/>
      <c r="AI185" s="18"/>
      <c r="AJ185" s="18"/>
      <c r="AK185" s="18"/>
      <c r="AL185" s="18"/>
      <c r="AM185" s="18"/>
      <c r="AN185" s="18"/>
      <c r="AO185" s="18"/>
      <c r="AP185" s="18"/>
      <c r="AQ185" s="18"/>
      <c r="AR185" s="18"/>
      <c r="AS185" s="18"/>
      <c r="AT185" s="18"/>
      <c r="AU185" s="18"/>
      <c r="AV185" s="18"/>
      <c r="AW185" s="18"/>
      <c r="AX185" s="18"/>
      <c r="AY185" s="18"/>
      <c r="AZ185" s="18"/>
      <c r="BA185" s="18"/>
      <c r="BB185" s="18"/>
      <c r="BC185" s="18"/>
      <c r="BD185" s="18"/>
    </row>
    <row r="186" spans="1:56">
      <c r="A186" s="40"/>
      <c r="B186" s="40"/>
      <c r="C186" s="40"/>
      <c r="D186" s="40"/>
      <c r="E186" s="36"/>
      <c r="F186" s="36"/>
      <c r="G186" s="36"/>
      <c r="H186" s="36"/>
      <c r="I186" s="18"/>
      <c r="J186" s="18"/>
      <c r="K186" s="18"/>
      <c r="L186" s="18"/>
      <c r="N186" s="18"/>
      <c r="O186" s="18"/>
      <c r="P186" s="18"/>
      <c r="Q186" s="18"/>
      <c r="R186" s="18"/>
      <c r="S186" s="18"/>
      <c r="T186" s="18"/>
      <c r="U186" s="18"/>
      <c r="V186" s="18"/>
      <c r="W186" s="18"/>
      <c r="X186" s="18"/>
      <c r="Y186" s="18"/>
      <c r="Z186" s="18"/>
      <c r="AA186" s="18"/>
      <c r="AB186" s="18"/>
      <c r="AC186" s="18"/>
      <c r="AD186" s="18"/>
      <c r="AE186" s="18"/>
      <c r="AF186" s="18"/>
      <c r="AG186" s="18"/>
      <c r="AH186" s="18"/>
      <c r="AI186" s="18"/>
      <c r="AJ186" s="18"/>
      <c r="AK186" s="18"/>
      <c r="AL186" s="18"/>
      <c r="AM186" s="18"/>
      <c r="AN186" s="18"/>
      <c r="AO186" s="18"/>
      <c r="AP186" s="18"/>
      <c r="AQ186" s="18"/>
      <c r="AR186" s="18"/>
      <c r="AS186" s="18"/>
      <c r="AT186" s="18"/>
      <c r="AU186" s="18"/>
      <c r="AV186" s="18"/>
      <c r="AW186" s="18"/>
      <c r="AX186" s="18"/>
      <c r="AY186" s="18"/>
      <c r="AZ186" s="18"/>
      <c r="BA186" s="18"/>
      <c r="BB186" s="18"/>
      <c r="BC186" s="18"/>
      <c r="BD186" s="18"/>
    </row>
    <row r="187" spans="1:56">
      <c r="A187" s="40"/>
      <c r="B187" s="40"/>
      <c r="C187" s="40"/>
      <c r="D187" s="40"/>
      <c r="E187" s="36"/>
      <c r="F187" s="36"/>
      <c r="G187" s="36"/>
      <c r="H187" s="36"/>
      <c r="I187" s="18"/>
      <c r="J187" s="18"/>
      <c r="K187" s="18"/>
      <c r="L187" s="18"/>
      <c r="N187" s="18"/>
      <c r="O187" s="18"/>
      <c r="P187" s="18"/>
      <c r="Q187" s="18"/>
      <c r="R187" s="18"/>
      <c r="S187" s="18"/>
      <c r="T187" s="18"/>
      <c r="U187" s="18"/>
      <c r="V187" s="18"/>
      <c r="W187" s="18"/>
      <c r="X187" s="18"/>
      <c r="Y187" s="18"/>
      <c r="Z187" s="18"/>
      <c r="AA187" s="18"/>
      <c r="AB187" s="18"/>
      <c r="AC187" s="18"/>
      <c r="AD187" s="18"/>
      <c r="AE187" s="18"/>
      <c r="AF187" s="18"/>
      <c r="AG187" s="18"/>
      <c r="AH187" s="18"/>
      <c r="AI187" s="18"/>
      <c r="AJ187" s="18"/>
      <c r="AK187" s="18"/>
      <c r="AL187" s="18"/>
      <c r="AM187" s="18"/>
      <c r="AN187" s="18"/>
      <c r="AO187" s="18"/>
      <c r="AP187" s="18"/>
      <c r="AQ187" s="18"/>
      <c r="AR187" s="18"/>
      <c r="AS187" s="18"/>
      <c r="AT187" s="18"/>
      <c r="AU187" s="18"/>
      <c r="AV187" s="18"/>
      <c r="AW187" s="18"/>
      <c r="AX187" s="18"/>
      <c r="AY187" s="18"/>
      <c r="AZ187" s="18"/>
      <c r="BA187" s="18"/>
      <c r="BB187" s="18"/>
      <c r="BC187" s="18"/>
      <c r="BD187" s="18"/>
    </row>
    <row r="188" spans="1:56">
      <c r="A188" s="40"/>
      <c r="B188" s="40"/>
      <c r="C188" s="40"/>
      <c r="D188" s="40"/>
      <c r="E188" s="36"/>
      <c r="F188" s="36"/>
      <c r="G188" s="36"/>
      <c r="H188" s="36"/>
      <c r="I188" s="18"/>
      <c r="J188" s="18"/>
      <c r="K188" s="18"/>
      <c r="L188" s="18"/>
      <c r="N188" s="18"/>
      <c r="O188" s="18"/>
      <c r="P188" s="18"/>
      <c r="Q188" s="18"/>
      <c r="R188" s="18"/>
      <c r="S188" s="18"/>
      <c r="T188" s="18"/>
      <c r="U188" s="18"/>
      <c r="V188" s="18"/>
      <c r="W188" s="18"/>
      <c r="X188" s="18"/>
      <c r="Y188" s="18"/>
      <c r="Z188" s="18"/>
      <c r="AA188" s="18"/>
      <c r="AB188" s="18"/>
      <c r="AC188" s="18"/>
      <c r="AD188" s="18"/>
      <c r="AE188" s="18"/>
      <c r="AF188" s="18"/>
      <c r="AG188" s="18"/>
      <c r="AH188" s="18"/>
      <c r="AI188" s="18"/>
      <c r="AJ188" s="18"/>
      <c r="AK188" s="18"/>
      <c r="AL188" s="18"/>
      <c r="AM188" s="18"/>
      <c r="AN188" s="18"/>
      <c r="AO188" s="18"/>
      <c r="AP188" s="18"/>
      <c r="AQ188" s="18"/>
      <c r="AR188" s="18"/>
      <c r="AS188" s="18"/>
      <c r="AT188" s="18"/>
      <c r="AU188" s="18"/>
      <c r="AV188" s="18"/>
      <c r="AW188" s="18"/>
      <c r="AX188" s="18"/>
      <c r="AY188" s="18"/>
      <c r="AZ188" s="18"/>
      <c r="BA188" s="18"/>
      <c r="BB188" s="18"/>
      <c r="BC188" s="18"/>
      <c r="BD188" s="18"/>
    </row>
    <row r="189" spans="1:56">
      <c r="A189" s="40"/>
      <c r="B189" s="40"/>
      <c r="C189" s="40"/>
      <c r="D189" s="40"/>
      <c r="E189" s="36"/>
      <c r="F189" s="36"/>
      <c r="G189" s="36"/>
      <c r="H189" s="36"/>
      <c r="I189" s="18"/>
      <c r="J189" s="18"/>
      <c r="K189" s="18"/>
      <c r="L189" s="18"/>
      <c r="N189" s="18"/>
      <c r="O189" s="18"/>
      <c r="P189" s="18"/>
      <c r="Q189" s="18"/>
      <c r="R189" s="18"/>
      <c r="S189" s="18"/>
      <c r="T189" s="18"/>
      <c r="U189" s="18"/>
      <c r="V189" s="18"/>
      <c r="W189" s="18"/>
      <c r="X189" s="18"/>
      <c r="Y189" s="18"/>
      <c r="Z189" s="18"/>
      <c r="AA189" s="18"/>
      <c r="AB189" s="18"/>
      <c r="AC189" s="18"/>
      <c r="AD189" s="18"/>
      <c r="AE189" s="18"/>
      <c r="AF189" s="18"/>
      <c r="AG189" s="18"/>
      <c r="AH189" s="18"/>
      <c r="AI189" s="18"/>
      <c r="AJ189" s="18"/>
      <c r="AK189" s="18"/>
      <c r="AL189" s="18"/>
      <c r="AM189" s="18"/>
      <c r="AN189" s="18"/>
      <c r="AO189" s="18"/>
      <c r="AP189" s="18"/>
      <c r="AQ189" s="18"/>
      <c r="AR189" s="18"/>
      <c r="AS189" s="18"/>
      <c r="AT189" s="18"/>
      <c r="AU189" s="18"/>
      <c r="AV189" s="18"/>
      <c r="AW189" s="18"/>
      <c r="AX189" s="18"/>
      <c r="AY189" s="18"/>
      <c r="AZ189" s="18"/>
      <c r="BA189" s="18"/>
      <c r="BB189" s="18"/>
      <c r="BC189" s="18"/>
      <c r="BD189" s="18"/>
    </row>
    <row r="190" spans="1:56">
      <c r="A190" s="40"/>
      <c r="B190" s="40"/>
      <c r="C190" s="40"/>
      <c r="D190" s="40"/>
      <c r="E190" s="36"/>
      <c r="F190" s="36"/>
      <c r="G190" s="36"/>
      <c r="H190" s="36"/>
      <c r="I190" s="18"/>
      <c r="J190" s="18"/>
      <c r="K190" s="18"/>
      <c r="L190" s="18"/>
      <c r="N190" s="18"/>
      <c r="O190" s="18"/>
      <c r="P190" s="18"/>
      <c r="Q190" s="18"/>
      <c r="R190" s="18"/>
      <c r="S190" s="18"/>
      <c r="T190" s="18"/>
      <c r="U190" s="18"/>
      <c r="V190" s="18"/>
      <c r="W190" s="18"/>
      <c r="X190" s="18"/>
      <c r="Y190" s="18"/>
      <c r="Z190" s="18"/>
      <c r="AA190" s="18"/>
      <c r="AB190" s="18"/>
      <c r="AC190" s="18"/>
      <c r="AD190" s="18"/>
      <c r="AE190" s="18"/>
      <c r="AF190" s="18"/>
      <c r="AG190" s="18"/>
      <c r="AH190" s="18"/>
      <c r="AI190" s="18"/>
      <c r="AJ190" s="18"/>
      <c r="AK190" s="18"/>
      <c r="AL190" s="18"/>
      <c r="AM190" s="18"/>
      <c r="AN190" s="18"/>
      <c r="AO190" s="18"/>
      <c r="AP190" s="18"/>
      <c r="AQ190" s="18"/>
      <c r="AR190" s="18"/>
      <c r="AS190" s="18"/>
      <c r="AT190" s="18"/>
      <c r="AU190" s="18"/>
      <c r="AV190" s="18"/>
      <c r="AW190" s="18"/>
      <c r="AX190" s="18"/>
      <c r="AY190" s="18"/>
      <c r="AZ190" s="18"/>
      <c r="BA190" s="18"/>
      <c r="BB190" s="18"/>
      <c r="BC190" s="18"/>
      <c r="BD190" s="18"/>
    </row>
    <row r="191" spans="1:56">
      <c r="A191" s="40"/>
      <c r="B191" s="40"/>
      <c r="C191" s="40"/>
      <c r="D191" s="40"/>
      <c r="E191" s="36"/>
      <c r="F191" s="36"/>
      <c r="G191" s="36"/>
      <c r="H191" s="36"/>
      <c r="I191" s="18"/>
      <c r="J191" s="18"/>
      <c r="K191" s="18"/>
      <c r="L191" s="18"/>
      <c r="N191" s="18"/>
      <c r="O191" s="18"/>
      <c r="P191" s="18"/>
      <c r="Q191" s="18"/>
      <c r="R191" s="18"/>
      <c r="S191" s="18"/>
      <c r="T191" s="18"/>
      <c r="U191" s="18"/>
      <c r="V191" s="18"/>
      <c r="W191" s="18"/>
      <c r="X191" s="18"/>
      <c r="Y191" s="18"/>
      <c r="Z191" s="18"/>
      <c r="AA191" s="18"/>
      <c r="AB191" s="18"/>
      <c r="AC191" s="18"/>
      <c r="AD191" s="18"/>
      <c r="AE191" s="18"/>
      <c r="AF191" s="18"/>
      <c r="AG191" s="18"/>
      <c r="AH191" s="18"/>
      <c r="AI191" s="18"/>
      <c r="AJ191" s="18"/>
      <c r="AK191" s="18"/>
      <c r="AL191" s="18"/>
      <c r="AM191" s="18"/>
      <c r="AN191" s="18"/>
      <c r="AO191" s="18"/>
      <c r="AP191" s="18"/>
      <c r="AQ191" s="18"/>
      <c r="AR191" s="18"/>
      <c r="AS191" s="18"/>
      <c r="AT191" s="18"/>
      <c r="AU191" s="18"/>
      <c r="AV191" s="18"/>
      <c r="AW191" s="18"/>
      <c r="AX191" s="18"/>
      <c r="AY191" s="18"/>
      <c r="AZ191" s="18"/>
      <c r="BA191" s="18"/>
      <c r="BB191" s="18"/>
      <c r="BC191" s="18"/>
      <c r="BD191" s="18"/>
    </row>
    <row r="192" spans="1:56">
      <c r="A192" s="40"/>
      <c r="B192" s="40"/>
      <c r="C192" s="40"/>
      <c r="D192" s="40"/>
      <c r="E192" s="36"/>
      <c r="F192" s="36"/>
      <c r="G192" s="36"/>
      <c r="H192" s="36"/>
      <c r="I192" s="18"/>
      <c r="J192" s="18"/>
      <c r="K192" s="18"/>
      <c r="L192" s="18"/>
      <c r="N192" s="18"/>
      <c r="O192" s="18"/>
      <c r="P192" s="18"/>
      <c r="Q192" s="18"/>
      <c r="R192" s="18"/>
      <c r="S192" s="18"/>
      <c r="T192" s="18"/>
      <c r="U192" s="18"/>
      <c r="V192" s="18"/>
      <c r="W192" s="18"/>
      <c r="X192" s="18"/>
      <c r="Y192" s="18"/>
      <c r="Z192" s="18"/>
      <c r="AA192" s="18"/>
      <c r="AB192" s="18"/>
      <c r="AC192" s="18"/>
      <c r="AD192" s="18"/>
      <c r="AE192" s="18"/>
      <c r="AF192" s="18"/>
      <c r="AG192" s="18"/>
      <c r="AH192" s="18"/>
      <c r="AI192" s="18"/>
      <c r="AJ192" s="18"/>
      <c r="AK192" s="18"/>
      <c r="AL192" s="18"/>
      <c r="AM192" s="18"/>
      <c r="AN192" s="18"/>
      <c r="AO192" s="18"/>
      <c r="AP192" s="18"/>
      <c r="AQ192" s="18"/>
      <c r="AR192" s="18"/>
      <c r="AS192" s="18"/>
      <c r="AT192" s="18"/>
      <c r="AU192" s="18"/>
      <c r="AV192" s="18"/>
      <c r="AW192" s="18"/>
      <c r="AX192" s="18"/>
      <c r="AY192" s="18"/>
      <c r="AZ192" s="18"/>
      <c r="BA192" s="18"/>
      <c r="BB192" s="18"/>
      <c r="BC192" s="18"/>
      <c r="BD192" s="18"/>
    </row>
    <row r="193" spans="1:56">
      <c r="A193" s="40"/>
      <c r="B193" s="40"/>
      <c r="C193" s="40"/>
      <c r="D193" s="40"/>
      <c r="E193" s="36"/>
      <c r="F193" s="36"/>
      <c r="G193" s="36"/>
      <c r="H193" s="36"/>
      <c r="I193" s="18"/>
      <c r="J193" s="18"/>
      <c r="K193" s="18"/>
      <c r="L193" s="18"/>
      <c r="N193" s="18"/>
      <c r="O193" s="18"/>
      <c r="P193" s="18"/>
      <c r="Q193" s="18"/>
      <c r="R193" s="18"/>
      <c r="S193" s="18"/>
      <c r="T193" s="18"/>
      <c r="U193" s="18"/>
      <c r="V193" s="18"/>
      <c r="W193" s="18"/>
      <c r="X193" s="18"/>
      <c r="Y193" s="18"/>
      <c r="Z193" s="18"/>
      <c r="AA193" s="18"/>
      <c r="AB193" s="18"/>
      <c r="AC193" s="18"/>
      <c r="AD193" s="18"/>
      <c r="AE193" s="18"/>
      <c r="AF193" s="18"/>
      <c r="AG193" s="18"/>
      <c r="AH193" s="18"/>
      <c r="AI193" s="18"/>
      <c r="AJ193" s="18"/>
      <c r="AK193" s="18"/>
      <c r="AL193" s="18"/>
      <c r="AM193" s="18"/>
      <c r="AN193" s="18"/>
      <c r="AO193" s="18"/>
      <c r="AP193" s="18"/>
      <c r="AQ193" s="18"/>
      <c r="AR193" s="18"/>
      <c r="AS193" s="18"/>
      <c r="AT193" s="18"/>
      <c r="AU193" s="18"/>
      <c r="AV193" s="18"/>
      <c r="AW193" s="18"/>
      <c r="AX193" s="18"/>
      <c r="AY193" s="18"/>
      <c r="AZ193" s="18"/>
      <c r="BA193" s="18"/>
      <c r="BB193" s="18"/>
      <c r="BC193" s="18"/>
      <c r="BD193" s="18"/>
    </row>
    <row r="194" spans="1:56">
      <c r="A194" s="40"/>
      <c r="B194" s="40"/>
      <c r="C194" s="40"/>
      <c r="D194" s="40"/>
      <c r="E194" s="36"/>
      <c r="F194" s="36"/>
      <c r="G194" s="36"/>
      <c r="H194" s="36"/>
      <c r="I194" s="18"/>
      <c r="J194" s="18"/>
      <c r="K194" s="18"/>
      <c r="L194" s="18"/>
      <c r="N194" s="18"/>
      <c r="O194" s="18"/>
      <c r="P194" s="18"/>
      <c r="Q194" s="18"/>
      <c r="R194" s="18"/>
      <c r="S194" s="18"/>
      <c r="T194" s="18"/>
      <c r="U194" s="18"/>
      <c r="V194" s="18"/>
      <c r="W194" s="18"/>
      <c r="X194" s="18"/>
      <c r="Y194" s="18"/>
      <c r="Z194" s="18"/>
      <c r="AA194" s="18"/>
      <c r="AB194" s="18"/>
      <c r="AC194" s="18"/>
      <c r="AD194" s="18"/>
      <c r="AE194" s="18"/>
      <c r="AF194" s="18"/>
      <c r="AG194" s="18"/>
      <c r="AH194" s="18"/>
      <c r="AI194" s="18"/>
      <c r="AJ194" s="18"/>
      <c r="AK194" s="18"/>
      <c r="AL194" s="18"/>
      <c r="AM194" s="18"/>
      <c r="AN194" s="18"/>
      <c r="AO194" s="18"/>
      <c r="AP194" s="18"/>
      <c r="AQ194" s="18"/>
      <c r="AR194" s="18"/>
      <c r="AS194" s="18"/>
      <c r="AT194" s="18"/>
      <c r="AU194" s="18"/>
      <c r="AV194" s="18"/>
      <c r="AW194" s="18"/>
      <c r="AX194" s="18"/>
      <c r="AY194" s="18"/>
      <c r="AZ194" s="18"/>
      <c r="BA194" s="18"/>
      <c r="BB194" s="18"/>
      <c r="BC194" s="18"/>
      <c r="BD194" s="18"/>
    </row>
    <row r="195" spans="1:56">
      <c r="A195" s="40"/>
      <c r="B195" s="40"/>
      <c r="C195" s="40"/>
      <c r="D195" s="40"/>
      <c r="E195" s="36"/>
      <c r="F195" s="36"/>
      <c r="G195" s="36"/>
      <c r="H195" s="36"/>
      <c r="I195" s="18"/>
      <c r="J195" s="18"/>
      <c r="K195" s="18"/>
      <c r="L195" s="18"/>
      <c r="N195" s="18"/>
      <c r="O195" s="18"/>
      <c r="P195" s="18"/>
      <c r="Q195" s="18"/>
      <c r="R195" s="18"/>
      <c r="S195" s="18"/>
      <c r="T195" s="18"/>
      <c r="U195" s="18"/>
      <c r="V195" s="18"/>
      <c r="W195" s="18"/>
      <c r="X195" s="18"/>
      <c r="Y195" s="18"/>
      <c r="Z195" s="18"/>
      <c r="AA195" s="18"/>
      <c r="AB195" s="18"/>
      <c r="AC195" s="18"/>
      <c r="AD195" s="18"/>
      <c r="AE195" s="18"/>
      <c r="AF195" s="18"/>
      <c r="AG195" s="18"/>
      <c r="AH195" s="18"/>
      <c r="AI195" s="18"/>
      <c r="AJ195" s="18"/>
      <c r="AK195" s="18"/>
      <c r="AL195" s="18"/>
      <c r="AM195" s="18"/>
      <c r="AN195" s="18"/>
      <c r="AO195" s="18"/>
      <c r="AP195" s="18"/>
      <c r="AQ195" s="18"/>
      <c r="AR195" s="18"/>
      <c r="AS195" s="18"/>
      <c r="AT195" s="18"/>
      <c r="AU195" s="18"/>
      <c r="AV195" s="18"/>
      <c r="AW195" s="18"/>
      <c r="AX195" s="18"/>
      <c r="AY195" s="18"/>
      <c r="AZ195" s="18"/>
      <c r="BA195" s="18"/>
      <c r="BB195" s="18"/>
      <c r="BC195" s="18"/>
      <c r="BD195" s="18"/>
    </row>
    <row r="196" spans="1:56">
      <c r="A196" s="40"/>
      <c r="B196" s="40"/>
      <c r="C196" s="40"/>
      <c r="D196" s="40"/>
      <c r="E196" s="36"/>
      <c r="F196" s="36"/>
      <c r="G196" s="36"/>
      <c r="H196" s="36"/>
      <c r="I196" s="18"/>
      <c r="J196" s="18"/>
      <c r="K196" s="18"/>
      <c r="L196" s="18"/>
      <c r="N196" s="18"/>
      <c r="O196" s="18"/>
      <c r="P196" s="18"/>
      <c r="Q196" s="18"/>
      <c r="R196" s="18"/>
      <c r="S196" s="18"/>
      <c r="T196" s="18"/>
      <c r="U196" s="18"/>
      <c r="V196" s="18"/>
      <c r="W196" s="18"/>
      <c r="X196" s="18"/>
      <c r="Y196" s="18"/>
      <c r="Z196" s="18"/>
      <c r="AA196" s="18"/>
      <c r="AB196" s="18"/>
      <c r="AC196" s="18"/>
      <c r="AD196" s="18"/>
      <c r="AE196" s="18"/>
      <c r="AF196" s="18"/>
      <c r="AG196" s="18"/>
      <c r="AH196" s="18"/>
      <c r="AI196" s="18"/>
      <c r="AJ196" s="18"/>
      <c r="AK196" s="18"/>
      <c r="AL196" s="18"/>
      <c r="AM196" s="18"/>
      <c r="AN196" s="18"/>
      <c r="AO196" s="18"/>
      <c r="AP196" s="18"/>
      <c r="AQ196" s="18"/>
      <c r="AR196" s="18"/>
      <c r="AS196" s="18"/>
      <c r="AT196" s="18"/>
      <c r="AU196" s="18"/>
      <c r="AV196" s="18"/>
      <c r="AW196" s="18"/>
      <c r="AX196" s="18"/>
      <c r="AY196" s="18"/>
      <c r="AZ196" s="18"/>
      <c r="BA196" s="18"/>
      <c r="BB196" s="18"/>
      <c r="BC196" s="18"/>
      <c r="BD196" s="18"/>
    </row>
    <row r="197" spans="1:56">
      <c r="A197" s="40"/>
      <c r="B197" s="40"/>
      <c r="C197" s="40"/>
      <c r="D197" s="40"/>
      <c r="E197" s="36"/>
      <c r="F197" s="36"/>
      <c r="G197" s="36"/>
      <c r="H197" s="36"/>
      <c r="I197" s="18"/>
      <c r="J197" s="18"/>
      <c r="K197" s="18"/>
      <c r="L197" s="18"/>
      <c r="N197" s="18"/>
      <c r="O197" s="18"/>
      <c r="P197" s="18"/>
      <c r="Q197" s="18"/>
      <c r="R197" s="18"/>
      <c r="S197" s="18"/>
      <c r="T197" s="18"/>
      <c r="U197" s="18"/>
      <c r="V197" s="18"/>
      <c r="W197" s="18"/>
      <c r="X197" s="18"/>
      <c r="Y197" s="18"/>
      <c r="Z197" s="18"/>
      <c r="AA197" s="18"/>
      <c r="AB197" s="18"/>
      <c r="AC197" s="18"/>
      <c r="AD197" s="18"/>
      <c r="AE197" s="18"/>
      <c r="AF197" s="18"/>
      <c r="AG197" s="18"/>
      <c r="AH197" s="18"/>
      <c r="AI197" s="18"/>
      <c r="AJ197" s="18"/>
      <c r="AK197" s="18"/>
      <c r="AL197" s="18"/>
      <c r="AM197" s="18"/>
      <c r="AN197" s="18"/>
      <c r="AO197" s="18"/>
      <c r="AP197" s="18"/>
      <c r="AQ197" s="18"/>
      <c r="AR197" s="18"/>
      <c r="AS197" s="18"/>
      <c r="AT197" s="18"/>
      <c r="AU197" s="18"/>
      <c r="AV197" s="18"/>
      <c r="AW197" s="18"/>
      <c r="AX197" s="18"/>
      <c r="AY197" s="18"/>
      <c r="AZ197" s="18"/>
      <c r="BA197" s="18"/>
      <c r="BB197" s="18"/>
      <c r="BC197" s="18"/>
      <c r="BD197" s="18"/>
    </row>
    <row r="198" spans="1:56">
      <c r="A198" s="40"/>
      <c r="B198" s="40"/>
      <c r="C198" s="40"/>
      <c r="D198" s="40"/>
      <c r="E198" s="36"/>
      <c r="F198" s="36"/>
      <c r="G198" s="36"/>
      <c r="H198" s="36"/>
      <c r="I198" s="18"/>
      <c r="J198" s="18"/>
      <c r="K198" s="18"/>
      <c r="L198" s="18"/>
      <c r="N198" s="18"/>
      <c r="O198" s="18"/>
      <c r="P198" s="18"/>
      <c r="Q198" s="18"/>
      <c r="R198" s="18"/>
      <c r="S198" s="18"/>
      <c r="T198" s="18"/>
      <c r="U198" s="18"/>
      <c r="V198" s="18"/>
      <c r="W198" s="18"/>
      <c r="X198" s="18"/>
      <c r="Y198" s="18"/>
      <c r="Z198" s="18"/>
      <c r="AA198" s="18"/>
      <c r="AB198" s="18"/>
      <c r="AC198" s="18"/>
      <c r="AD198" s="18"/>
      <c r="AE198" s="18"/>
      <c r="AF198" s="18"/>
      <c r="AG198" s="18"/>
      <c r="AH198" s="18"/>
      <c r="AI198" s="18"/>
      <c r="AJ198" s="18"/>
      <c r="AK198" s="18"/>
      <c r="AL198" s="18"/>
      <c r="AM198" s="18"/>
      <c r="AN198" s="18"/>
      <c r="AO198" s="18"/>
      <c r="AP198" s="18"/>
      <c r="AQ198" s="18"/>
      <c r="AR198" s="18"/>
      <c r="AS198" s="18"/>
      <c r="AT198" s="18"/>
      <c r="AU198" s="18"/>
      <c r="AV198" s="18"/>
      <c r="AW198" s="18"/>
      <c r="AX198" s="18"/>
      <c r="AY198" s="18"/>
      <c r="AZ198" s="18"/>
      <c r="BA198" s="18"/>
      <c r="BB198" s="18"/>
      <c r="BC198" s="18"/>
      <c r="BD198" s="18"/>
    </row>
    <row r="199" spans="1:56">
      <c r="A199" s="40"/>
      <c r="B199" s="40"/>
      <c r="C199" s="40"/>
      <c r="D199" s="40"/>
      <c r="E199" s="36"/>
      <c r="F199" s="36"/>
      <c r="G199" s="36"/>
      <c r="H199" s="36"/>
      <c r="I199" s="18"/>
      <c r="J199" s="18"/>
      <c r="K199" s="18"/>
      <c r="L199" s="18"/>
      <c r="N199" s="18"/>
      <c r="O199" s="18"/>
      <c r="P199" s="18"/>
      <c r="Q199" s="18"/>
      <c r="R199" s="18"/>
      <c r="S199" s="18"/>
      <c r="T199" s="18"/>
      <c r="U199" s="18"/>
      <c r="V199" s="18"/>
      <c r="W199" s="18"/>
      <c r="X199" s="18"/>
      <c r="Y199" s="18"/>
      <c r="Z199" s="18"/>
      <c r="AA199" s="18"/>
      <c r="AB199" s="18"/>
      <c r="AC199" s="18"/>
      <c r="AD199" s="18"/>
      <c r="AE199" s="18"/>
      <c r="AF199" s="18"/>
      <c r="AG199" s="18"/>
      <c r="AH199" s="18"/>
      <c r="AI199" s="18"/>
      <c r="AJ199" s="18"/>
      <c r="AK199" s="18"/>
      <c r="AL199" s="18"/>
      <c r="AM199" s="18"/>
      <c r="AN199" s="18"/>
      <c r="AO199" s="18"/>
      <c r="AP199" s="18"/>
      <c r="AQ199" s="18"/>
      <c r="AR199" s="18"/>
      <c r="AS199" s="18"/>
      <c r="AT199" s="18"/>
      <c r="AU199" s="18"/>
      <c r="AV199" s="18"/>
      <c r="AW199" s="18"/>
      <c r="AX199" s="18"/>
      <c r="AY199" s="18"/>
      <c r="AZ199" s="18"/>
      <c r="BA199" s="18"/>
      <c r="BB199" s="18"/>
      <c r="BC199" s="18"/>
      <c r="BD199" s="18"/>
    </row>
    <row r="200" spans="1:56">
      <c r="A200" s="40"/>
      <c r="B200" s="40"/>
      <c r="C200" s="40"/>
      <c r="D200" s="40"/>
      <c r="E200" s="36"/>
      <c r="F200" s="36"/>
      <c r="G200" s="36"/>
      <c r="H200" s="36"/>
      <c r="I200" s="18"/>
      <c r="J200" s="18"/>
      <c r="K200" s="18"/>
      <c r="L200" s="18"/>
      <c r="N200" s="18"/>
      <c r="O200" s="18"/>
      <c r="P200" s="18"/>
      <c r="Q200" s="18"/>
      <c r="R200" s="18"/>
      <c r="S200" s="18"/>
      <c r="T200" s="18"/>
      <c r="U200" s="18"/>
      <c r="V200" s="18"/>
      <c r="W200" s="18"/>
      <c r="X200" s="18"/>
      <c r="Y200" s="18"/>
      <c r="Z200" s="18"/>
      <c r="AA200" s="18"/>
      <c r="AB200" s="18"/>
      <c r="AC200" s="18"/>
      <c r="AD200" s="18"/>
      <c r="AE200" s="18"/>
      <c r="AF200" s="18"/>
      <c r="AG200" s="18"/>
      <c r="AH200" s="18"/>
      <c r="AI200" s="18"/>
      <c r="AJ200" s="18"/>
      <c r="AK200" s="18"/>
      <c r="AL200" s="18"/>
      <c r="AM200" s="18"/>
      <c r="AN200" s="18"/>
      <c r="AO200" s="18"/>
      <c r="AP200" s="18"/>
      <c r="AQ200" s="18"/>
      <c r="AR200" s="18"/>
      <c r="AS200" s="18"/>
      <c r="AT200" s="18"/>
      <c r="AU200" s="18"/>
      <c r="AV200" s="18"/>
      <c r="AW200" s="18"/>
      <c r="AX200" s="18"/>
      <c r="AY200" s="18"/>
      <c r="AZ200" s="18"/>
      <c r="BA200" s="18"/>
      <c r="BB200" s="18"/>
      <c r="BC200" s="18"/>
      <c r="BD200" s="18"/>
    </row>
    <row r="201" spans="1:56">
      <c r="A201" s="40"/>
      <c r="B201" s="40"/>
      <c r="C201" s="40"/>
      <c r="D201" s="40"/>
      <c r="E201" s="36"/>
      <c r="F201" s="36"/>
      <c r="G201" s="36"/>
      <c r="H201" s="36"/>
      <c r="I201" s="18"/>
      <c r="J201" s="18"/>
      <c r="K201" s="18"/>
      <c r="L201" s="18"/>
      <c r="N201" s="18"/>
      <c r="O201" s="18"/>
      <c r="P201" s="18"/>
      <c r="Q201" s="18"/>
      <c r="R201" s="18"/>
      <c r="S201" s="18"/>
      <c r="T201" s="18"/>
      <c r="U201" s="18"/>
      <c r="V201" s="18"/>
      <c r="W201" s="18"/>
      <c r="X201" s="18"/>
      <c r="Y201" s="18"/>
      <c r="Z201" s="18"/>
      <c r="AA201" s="18"/>
      <c r="AB201" s="18"/>
      <c r="AC201" s="18"/>
      <c r="AD201" s="18"/>
      <c r="AE201" s="18"/>
      <c r="AF201" s="18"/>
      <c r="AG201" s="18"/>
      <c r="AH201" s="18"/>
      <c r="AI201" s="18"/>
      <c r="AJ201" s="18"/>
      <c r="AK201" s="18"/>
      <c r="AL201" s="18"/>
      <c r="AM201" s="18"/>
      <c r="AN201" s="18"/>
      <c r="AO201" s="18"/>
      <c r="AP201" s="18"/>
      <c r="AQ201" s="18"/>
      <c r="AR201" s="18"/>
      <c r="AS201" s="18"/>
      <c r="AT201" s="18"/>
      <c r="AU201" s="18"/>
      <c r="AV201" s="18"/>
      <c r="AW201" s="18"/>
      <c r="AX201" s="18"/>
      <c r="AY201" s="18"/>
      <c r="AZ201" s="18"/>
      <c r="BA201" s="18"/>
      <c r="BB201" s="18"/>
      <c r="BC201" s="18"/>
      <c r="BD201" s="18"/>
    </row>
    <row r="202" spans="1:56">
      <c r="A202" s="40"/>
      <c r="B202" s="40"/>
      <c r="C202" s="40"/>
      <c r="D202" s="40"/>
      <c r="E202" s="36"/>
      <c r="F202" s="36"/>
      <c r="G202" s="36"/>
      <c r="H202" s="36"/>
      <c r="I202" s="18"/>
      <c r="J202" s="18"/>
      <c r="K202" s="18"/>
      <c r="L202" s="18"/>
      <c r="N202" s="18"/>
      <c r="O202" s="18"/>
      <c r="P202" s="18"/>
      <c r="Q202" s="18"/>
      <c r="R202" s="18"/>
      <c r="S202" s="18"/>
      <c r="T202" s="18"/>
      <c r="U202" s="18"/>
      <c r="V202" s="18"/>
      <c r="W202" s="18"/>
      <c r="X202" s="18"/>
      <c r="Y202" s="18"/>
      <c r="Z202" s="18"/>
      <c r="AA202" s="18"/>
      <c r="AB202" s="18"/>
      <c r="AC202" s="18"/>
      <c r="AD202" s="18"/>
      <c r="AE202" s="18"/>
      <c r="AF202" s="18"/>
      <c r="AG202" s="18"/>
      <c r="AH202" s="18"/>
      <c r="AI202" s="18"/>
      <c r="AJ202" s="18"/>
      <c r="AK202" s="18"/>
      <c r="AL202" s="18"/>
      <c r="AM202" s="18"/>
      <c r="AN202" s="18"/>
      <c r="AO202" s="18"/>
      <c r="AP202" s="18"/>
      <c r="AQ202" s="18"/>
      <c r="AR202" s="18"/>
      <c r="AS202" s="18"/>
      <c r="AT202" s="18"/>
      <c r="AU202" s="18"/>
      <c r="AV202" s="18"/>
      <c r="AW202" s="18"/>
      <c r="AX202" s="18"/>
      <c r="AY202" s="18"/>
      <c r="AZ202" s="18"/>
      <c r="BA202" s="18"/>
      <c r="BB202" s="18"/>
      <c r="BC202" s="18"/>
      <c r="BD202" s="18"/>
    </row>
    <row r="203" spans="1:56">
      <c r="A203" s="40"/>
      <c r="B203" s="40"/>
      <c r="C203" s="40"/>
      <c r="D203" s="40"/>
      <c r="E203" s="36"/>
      <c r="F203" s="36"/>
      <c r="G203" s="36"/>
      <c r="H203" s="36"/>
      <c r="I203" s="18"/>
      <c r="J203" s="18"/>
      <c r="K203" s="18"/>
      <c r="L203" s="18"/>
      <c r="N203" s="18"/>
      <c r="O203" s="18"/>
      <c r="P203" s="18"/>
      <c r="Q203" s="18"/>
      <c r="R203" s="18"/>
      <c r="S203" s="18"/>
      <c r="T203" s="18"/>
      <c r="U203" s="18"/>
      <c r="V203" s="18"/>
      <c r="W203" s="18"/>
      <c r="X203" s="18"/>
      <c r="Y203" s="18"/>
      <c r="Z203" s="18"/>
      <c r="AA203" s="18"/>
      <c r="AB203" s="18"/>
      <c r="AC203" s="18"/>
      <c r="AD203" s="18"/>
      <c r="AE203" s="18"/>
      <c r="AF203" s="18"/>
      <c r="AG203" s="18"/>
      <c r="AH203" s="18"/>
      <c r="AI203" s="18"/>
      <c r="AJ203" s="18"/>
      <c r="AK203" s="18"/>
      <c r="AL203" s="18"/>
      <c r="AM203" s="18"/>
      <c r="AN203" s="18"/>
      <c r="AO203" s="18"/>
      <c r="AP203" s="18"/>
      <c r="AQ203" s="18"/>
      <c r="AR203" s="18"/>
      <c r="AS203" s="18"/>
      <c r="AT203" s="18"/>
      <c r="AU203" s="18"/>
      <c r="AV203" s="18"/>
      <c r="AW203" s="18"/>
      <c r="AX203" s="18"/>
      <c r="AY203" s="18"/>
      <c r="AZ203" s="18"/>
      <c r="BA203" s="18"/>
      <c r="BB203" s="18"/>
      <c r="BC203" s="18"/>
      <c r="BD203" s="18"/>
    </row>
    <row r="204" spans="1:56">
      <c r="A204" s="40"/>
      <c r="B204" s="40"/>
      <c r="C204" s="40"/>
      <c r="D204" s="40"/>
      <c r="E204" s="36"/>
      <c r="F204" s="36"/>
      <c r="G204" s="36"/>
      <c r="H204" s="36"/>
      <c r="I204" s="18"/>
      <c r="J204" s="18"/>
      <c r="K204" s="18"/>
      <c r="L204" s="18"/>
      <c r="N204" s="18"/>
      <c r="O204" s="18"/>
      <c r="P204" s="18"/>
      <c r="Q204" s="18"/>
      <c r="R204" s="18"/>
      <c r="S204" s="18"/>
      <c r="T204" s="18"/>
      <c r="U204" s="18"/>
      <c r="V204" s="18"/>
      <c r="W204" s="18"/>
      <c r="X204" s="18"/>
      <c r="Y204" s="18"/>
      <c r="Z204" s="18"/>
      <c r="AA204" s="18"/>
      <c r="AB204" s="18"/>
      <c r="AC204" s="18"/>
      <c r="AD204" s="18"/>
      <c r="AE204" s="18"/>
      <c r="AF204" s="18"/>
      <c r="AG204" s="18"/>
      <c r="AH204" s="18"/>
      <c r="AI204" s="18"/>
      <c r="AJ204" s="18"/>
      <c r="AK204" s="18"/>
      <c r="AL204" s="18"/>
      <c r="AM204" s="18"/>
      <c r="AN204" s="18"/>
      <c r="AO204" s="18"/>
      <c r="AP204" s="18"/>
      <c r="AQ204" s="18"/>
      <c r="AR204" s="18"/>
      <c r="AS204" s="18"/>
      <c r="AT204" s="18"/>
      <c r="AU204" s="18"/>
      <c r="AV204" s="18"/>
      <c r="AW204" s="18"/>
      <c r="AX204" s="18"/>
      <c r="AY204" s="18"/>
      <c r="AZ204" s="18"/>
      <c r="BA204" s="18"/>
      <c r="BB204" s="18"/>
      <c r="BC204" s="18"/>
      <c r="BD204" s="18"/>
    </row>
    <row r="205" spans="1:56">
      <c r="A205" s="40"/>
      <c r="B205" s="40"/>
      <c r="C205" s="40"/>
      <c r="D205" s="40"/>
      <c r="E205" s="36"/>
      <c r="F205" s="36"/>
      <c r="G205" s="36"/>
      <c r="H205" s="36"/>
      <c r="I205" s="18"/>
      <c r="J205" s="18"/>
      <c r="K205" s="18"/>
      <c r="L205" s="18"/>
      <c r="N205" s="18"/>
      <c r="O205" s="18"/>
      <c r="P205" s="18"/>
      <c r="Q205" s="18"/>
      <c r="R205" s="18"/>
      <c r="S205" s="18"/>
      <c r="T205" s="18"/>
      <c r="U205" s="18"/>
      <c r="V205" s="18"/>
      <c r="W205" s="18"/>
      <c r="X205" s="18"/>
      <c r="Y205" s="18"/>
      <c r="Z205" s="18"/>
      <c r="AA205" s="18"/>
      <c r="AB205" s="18"/>
      <c r="AC205" s="18"/>
      <c r="AD205" s="18"/>
      <c r="AE205" s="18"/>
      <c r="AF205" s="18"/>
      <c r="AG205" s="18"/>
      <c r="AH205" s="18"/>
      <c r="AI205" s="18"/>
      <c r="AJ205" s="18"/>
      <c r="AK205" s="18"/>
      <c r="AL205" s="18"/>
      <c r="AM205" s="18"/>
      <c r="AN205" s="18"/>
      <c r="AO205" s="18"/>
      <c r="AP205" s="18"/>
      <c r="AQ205" s="18"/>
      <c r="AR205" s="18"/>
      <c r="AS205" s="18"/>
      <c r="AT205" s="18"/>
      <c r="AU205" s="18"/>
      <c r="AV205" s="18"/>
      <c r="AW205" s="18"/>
      <c r="AX205" s="18"/>
      <c r="AY205" s="18"/>
      <c r="AZ205" s="18"/>
      <c r="BA205" s="18"/>
      <c r="BB205" s="18"/>
      <c r="BC205" s="18"/>
      <c r="BD205" s="18"/>
    </row>
    <row r="206" spans="1:56">
      <c r="A206" s="40"/>
      <c r="B206" s="40"/>
      <c r="C206" s="40"/>
      <c r="D206" s="40"/>
      <c r="E206" s="36"/>
      <c r="F206" s="36"/>
      <c r="G206" s="36"/>
      <c r="H206" s="36"/>
      <c r="I206" s="18"/>
      <c r="J206" s="18"/>
      <c r="K206" s="18"/>
      <c r="L206" s="18"/>
      <c r="N206" s="18"/>
      <c r="O206" s="18"/>
      <c r="P206" s="18"/>
      <c r="Q206" s="18"/>
      <c r="R206" s="18"/>
      <c r="S206" s="18"/>
      <c r="T206" s="18"/>
      <c r="U206" s="18"/>
      <c r="V206" s="18"/>
      <c r="W206" s="18"/>
      <c r="X206" s="18"/>
      <c r="Y206" s="18"/>
      <c r="Z206" s="18"/>
      <c r="AA206" s="18"/>
      <c r="AB206" s="18"/>
      <c r="AC206" s="18"/>
      <c r="AD206" s="18"/>
      <c r="AE206" s="18"/>
      <c r="AF206" s="18"/>
      <c r="AG206" s="18"/>
      <c r="AH206" s="18"/>
      <c r="AI206" s="18"/>
      <c r="AJ206" s="18"/>
      <c r="AK206" s="18"/>
      <c r="AL206" s="18"/>
      <c r="AM206" s="18"/>
      <c r="AN206" s="18"/>
      <c r="AO206" s="18"/>
      <c r="AP206" s="18"/>
      <c r="AQ206" s="18"/>
      <c r="AR206" s="18"/>
      <c r="AS206" s="18"/>
      <c r="AT206" s="18"/>
      <c r="AU206" s="18"/>
      <c r="AV206" s="18"/>
      <c r="AW206" s="18"/>
      <c r="AX206" s="18"/>
      <c r="AY206" s="18"/>
      <c r="AZ206" s="18"/>
      <c r="BA206" s="18"/>
      <c r="BB206" s="18"/>
      <c r="BC206" s="18"/>
      <c r="BD206" s="18"/>
    </row>
    <row r="207" spans="1:56">
      <c r="A207" s="40"/>
      <c r="B207" s="40"/>
      <c r="C207" s="40"/>
      <c r="D207" s="40"/>
      <c r="E207" s="36"/>
      <c r="F207" s="36"/>
      <c r="G207" s="36"/>
      <c r="H207" s="36"/>
      <c r="I207" s="18"/>
      <c r="J207" s="18"/>
      <c r="K207" s="18"/>
      <c r="L207" s="18"/>
      <c r="N207" s="18"/>
      <c r="O207" s="18"/>
      <c r="P207" s="18"/>
      <c r="Q207" s="18"/>
      <c r="R207" s="18"/>
      <c r="S207" s="18"/>
      <c r="T207" s="18"/>
      <c r="U207" s="18"/>
      <c r="V207" s="18"/>
      <c r="W207" s="18"/>
      <c r="X207" s="18"/>
      <c r="Y207" s="18"/>
      <c r="Z207" s="18"/>
      <c r="AA207" s="18"/>
      <c r="AB207" s="18"/>
      <c r="AC207" s="18"/>
      <c r="AD207" s="18"/>
      <c r="AE207" s="18"/>
      <c r="AF207" s="18"/>
      <c r="AG207" s="18"/>
      <c r="AH207" s="18"/>
      <c r="AI207" s="18"/>
      <c r="AJ207" s="18"/>
      <c r="AK207" s="18"/>
      <c r="AL207" s="18"/>
      <c r="AM207" s="18"/>
      <c r="AN207" s="18"/>
      <c r="AO207" s="18"/>
      <c r="AP207" s="18"/>
      <c r="AQ207" s="18"/>
      <c r="AR207" s="18"/>
      <c r="AS207" s="18"/>
      <c r="AT207" s="18"/>
      <c r="AU207" s="18"/>
      <c r="AV207" s="18"/>
      <c r="AW207" s="18"/>
      <c r="AX207" s="18"/>
      <c r="AY207" s="18"/>
      <c r="AZ207" s="18"/>
      <c r="BA207" s="18"/>
      <c r="BB207" s="18"/>
      <c r="BC207" s="18"/>
      <c r="BD207" s="18"/>
    </row>
    <row r="208" spans="1:56">
      <c r="A208" s="40"/>
      <c r="B208" s="40"/>
      <c r="C208" s="40"/>
      <c r="D208" s="40"/>
      <c r="E208" s="36"/>
      <c r="F208" s="36"/>
      <c r="G208" s="36"/>
      <c r="H208" s="36"/>
      <c r="I208" s="18"/>
      <c r="J208" s="18"/>
      <c r="K208" s="18"/>
      <c r="L208" s="18"/>
      <c r="N208" s="18"/>
      <c r="O208" s="18"/>
      <c r="P208" s="18"/>
      <c r="Q208" s="18"/>
      <c r="R208" s="18"/>
      <c r="S208" s="18"/>
      <c r="T208" s="18"/>
      <c r="U208" s="18"/>
      <c r="V208" s="18"/>
      <c r="W208" s="18"/>
      <c r="X208" s="18"/>
      <c r="Y208" s="18"/>
      <c r="Z208" s="18"/>
      <c r="AA208" s="18"/>
      <c r="AB208" s="18"/>
      <c r="AC208" s="18"/>
      <c r="AD208" s="18"/>
      <c r="AE208" s="18"/>
      <c r="AF208" s="18"/>
      <c r="AG208" s="18"/>
      <c r="AH208" s="18"/>
      <c r="AI208" s="18"/>
      <c r="AJ208" s="18"/>
      <c r="AK208" s="18"/>
      <c r="AL208" s="18"/>
      <c r="AM208" s="18"/>
      <c r="AN208" s="18"/>
      <c r="AO208" s="18"/>
      <c r="AP208" s="18"/>
      <c r="AQ208" s="18"/>
      <c r="AR208" s="18"/>
      <c r="AS208" s="18"/>
      <c r="AT208" s="18"/>
      <c r="AU208" s="18"/>
      <c r="AV208" s="18"/>
      <c r="AW208" s="18"/>
      <c r="AX208" s="18"/>
      <c r="AY208" s="18"/>
      <c r="AZ208" s="18"/>
      <c r="BA208" s="18"/>
      <c r="BB208" s="18"/>
      <c r="BC208" s="18"/>
      <c r="BD208" s="18"/>
    </row>
    <row r="209" spans="1:56">
      <c r="A209" s="40"/>
      <c r="B209" s="40"/>
      <c r="C209" s="40"/>
      <c r="D209" s="40"/>
      <c r="E209" s="36"/>
      <c r="F209" s="36"/>
      <c r="G209" s="36"/>
      <c r="H209" s="36"/>
      <c r="I209" s="18"/>
      <c r="J209" s="18"/>
      <c r="K209" s="18"/>
      <c r="L209" s="18"/>
      <c r="N209" s="18"/>
      <c r="O209" s="18"/>
      <c r="P209" s="18"/>
      <c r="Q209" s="18"/>
      <c r="R209" s="18"/>
      <c r="S209" s="18"/>
      <c r="T209" s="18"/>
      <c r="U209" s="18"/>
      <c r="V209" s="18"/>
      <c r="W209" s="18"/>
      <c r="X209" s="18"/>
      <c r="Y209" s="18"/>
      <c r="Z209" s="18"/>
      <c r="AA209" s="18"/>
      <c r="AB209" s="18"/>
      <c r="AC209" s="18"/>
      <c r="AD209" s="18"/>
      <c r="AE209" s="18"/>
      <c r="AF209" s="18"/>
      <c r="AG209" s="18"/>
      <c r="AH209" s="18"/>
      <c r="AI209" s="18"/>
      <c r="AJ209" s="18"/>
      <c r="AK209" s="18"/>
      <c r="AL209" s="18"/>
      <c r="AM209" s="18"/>
      <c r="AN209" s="18"/>
      <c r="AO209" s="18"/>
      <c r="AP209" s="18"/>
      <c r="AQ209" s="18"/>
      <c r="AR209" s="18"/>
      <c r="AS209" s="18"/>
      <c r="AT209" s="18"/>
      <c r="AU209" s="18"/>
      <c r="AV209" s="18"/>
      <c r="AW209" s="18"/>
      <c r="AX209" s="18"/>
      <c r="AY209" s="18"/>
      <c r="AZ209" s="18"/>
      <c r="BA209" s="18"/>
      <c r="BB209" s="18"/>
      <c r="BC209" s="18"/>
      <c r="BD209" s="18"/>
    </row>
    <row r="210" spans="1:56">
      <c r="A210" s="40"/>
      <c r="B210" s="40"/>
      <c r="C210" s="40"/>
      <c r="D210" s="40"/>
      <c r="E210" s="36"/>
      <c r="F210" s="36"/>
      <c r="G210" s="36"/>
      <c r="H210" s="36"/>
      <c r="I210" s="18"/>
      <c r="J210" s="18"/>
      <c r="K210" s="18"/>
      <c r="L210" s="18"/>
      <c r="N210" s="18"/>
      <c r="O210" s="18"/>
      <c r="P210" s="18"/>
      <c r="Q210" s="18"/>
      <c r="R210" s="18"/>
      <c r="S210" s="18"/>
      <c r="T210" s="18"/>
      <c r="U210" s="18"/>
      <c r="V210" s="18"/>
      <c r="W210" s="18"/>
      <c r="X210" s="18"/>
      <c r="Y210" s="18"/>
      <c r="Z210" s="18"/>
      <c r="AA210" s="18"/>
      <c r="AB210" s="18"/>
      <c r="AC210" s="18"/>
      <c r="AD210" s="18"/>
      <c r="AE210" s="18"/>
      <c r="AF210" s="18"/>
      <c r="AG210" s="18"/>
      <c r="AH210" s="18"/>
      <c r="AI210" s="18"/>
      <c r="AJ210" s="18"/>
      <c r="AK210" s="18"/>
      <c r="AL210" s="18"/>
      <c r="AM210" s="18"/>
      <c r="AN210" s="18"/>
      <c r="AO210" s="18"/>
      <c r="AP210" s="18"/>
      <c r="AQ210" s="18"/>
      <c r="AR210" s="18"/>
      <c r="AS210" s="18"/>
      <c r="AT210" s="18"/>
      <c r="AU210" s="18"/>
      <c r="AV210" s="18"/>
      <c r="AW210" s="18"/>
      <c r="AX210" s="18"/>
      <c r="AY210" s="18"/>
      <c r="AZ210" s="18"/>
      <c r="BA210" s="18"/>
      <c r="BB210" s="18"/>
      <c r="BC210" s="18"/>
      <c r="BD210" s="18"/>
    </row>
    <row r="211" spans="1:56">
      <c r="A211" s="40"/>
      <c r="B211" s="40"/>
      <c r="C211" s="40"/>
      <c r="D211" s="40"/>
      <c r="E211" s="36"/>
      <c r="F211" s="36"/>
      <c r="G211" s="36"/>
      <c r="H211" s="36"/>
      <c r="I211" s="18"/>
      <c r="J211" s="18"/>
      <c r="K211" s="18"/>
      <c r="L211" s="18"/>
      <c r="N211" s="18"/>
      <c r="O211" s="18"/>
      <c r="P211" s="18"/>
      <c r="Q211" s="18"/>
      <c r="R211" s="18"/>
      <c r="S211" s="18"/>
      <c r="T211" s="18"/>
      <c r="U211" s="18"/>
      <c r="V211" s="18"/>
      <c r="W211" s="18"/>
      <c r="X211" s="18"/>
      <c r="Y211" s="18"/>
      <c r="Z211" s="18"/>
      <c r="AA211" s="18"/>
      <c r="AB211" s="18"/>
      <c r="AC211" s="18"/>
      <c r="AD211" s="18"/>
      <c r="AE211" s="18"/>
      <c r="AF211" s="18"/>
      <c r="AG211" s="18"/>
      <c r="AH211" s="18"/>
      <c r="AI211" s="18"/>
      <c r="AJ211" s="18"/>
      <c r="AK211" s="18"/>
      <c r="AL211" s="18"/>
      <c r="AM211" s="18"/>
      <c r="AN211" s="18"/>
      <c r="AO211" s="18"/>
      <c r="AP211" s="18"/>
      <c r="AQ211" s="18"/>
      <c r="AR211" s="18"/>
      <c r="AS211" s="18"/>
      <c r="AT211" s="18"/>
      <c r="AU211" s="18"/>
      <c r="AV211" s="18"/>
      <c r="AW211" s="18"/>
      <c r="AX211" s="18"/>
      <c r="AY211" s="18"/>
      <c r="AZ211" s="18"/>
      <c r="BA211" s="18"/>
      <c r="BB211" s="18"/>
      <c r="BC211" s="18"/>
      <c r="BD211" s="18"/>
    </row>
    <row r="212" spans="1:56">
      <c r="A212" s="40"/>
      <c r="B212" s="40"/>
      <c r="C212" s="40"/>
      <c r="D212" s="40"/>
      <c r="E212" s="36"/>
      <c r="F212" s="36"/>
      <c r="G212" s="36"/>
      <c r="H212" s="36"/>
      <c r="I212" s="18"/>
      <c r="J212" s="18"/>
      <c r="K212" s="18"/>
      <c r="L212" s="18"/>
      <c r="N212" s="18"/>
      <c r="O212" s="18"/>
      <c r="P212" s="18"/>
      <c r="Q212" s="18"/>
      <c r="R212" s="18"/>
      <c r="S212" s="18"/>
      <c r="T212" s="18"/>
      <c r="U212" s="18"/>
      <c r="V212" s="18"/>
      <c r="W212" s="18"/>
      <c r="X212" s="18"/>
      <c r="Y212" s="18"/>
      <c r="Z212" s="18"/>
      <c r="AA212" s="18"/>
      <c r="AB212" s="18"/>
      <c r="AC212" s="18"/>
      <c r="AD212" s="18"/>
      <c r="AE212" s="18"/>
      <c r="AF212" s="18"/>
      <c r="AG212" s="18"/>
      <c r="AH212" s="18"/>
      <c r="AI212" s="18"/>
      <c r="AJ212" s="18"/>
      <c r="AK212" s="18"/>
      <c r="AL212" s="18"/>
      <c r="AM212" s="18"/>
      <c r="AN212" s="18"/>
      <c r="AO212" s="18"/>
      <c r="AP212" s="18"/>
      <c r="AQ212" s="18"/>
      <c r="AR212" s="18"/>
      <c r="AS212" s="18"/>
      <c r="AT212" s="18"/>
      <c r="AU212" s="18"/>
      <c r="AV212" s="18"/>
      <c r="AW212" s="18"/>
      <c r="AX212" s="18"/>
      <c r="AY212" s="18"/>
      <c r="AZ212" s="18"/>
      <c r="BA212" s="18"/>
      <c r="BB212" s="18"/>
      <c r="BC212" s="18"/>
      <c r="BD212" s="18"/>
    </row>
    <row r="213" spans="1:56">
      <c r="A213" s="40"/>
      <c r="B213" s="40"/>
      <c r="C213" s="40"/>
      <c r="D213" s="40"/>
      <c r="E213" s="36"/>
      <c r="F213" s="36"/>
      <c r="G213" s="36"/>
      <c r="H213" s="36"/>
      <c r="I213" s="18"/>
      <c r="J213" s="18"/>
      <c r="K213" s="18"/>
      <c r="L213" s="18"/>
      <c r="N213" s="18"/>
      <c r="O213" s="18"/>
      <c r="P213" s="18"/>
      <c r="Q213" s="18"/>
      <c r="R213" s="18"/>
      <c r="S213" s="18"/>
      <c r="T213" s="18"/>
      <c r="U213" s="18"/>
      <c r="V213" s="18"/>
      <c r="W213" s="18"/>
      <c r="X213" s="18"/>
      <c r="Y213" s="18"/>
      <c r="Z213" s="18"/>
      <c r="AA213" s="18"/>
      <c r="AB213" s="18"/>
      <c r="AC213" s="18"/>
      <c r="AD213" s="18"/>
      <c r="AE213" s="18"/>
      <c r="AF213" s="18"/>
      <c r="AG213" s="18"/>
      <c r="AH213" s="18"/>
      <c r="AI213" s="18"/>
      <c r="AJ213" s="18"/>
      <c r="AK213" s="18"/>
      <c r="AL213" s="18"/>
      <c r="AM213" s="18"/>
      <c r="AN213" s="18"/>
      <c r="AO213" s="18"/>
      <c r="AP213" s="18"/>
      <c r="AQ213" s="18"/>
      <c r="AR213" s="18"/>
      <c r="AS213" s="18"/>
      <c r="AT213" s="18"/>
      <c r="AU213" s="18"/>
      <c r="AV213" s="18"/>
      <c r="AW213" s="18"/>
      <c r="AX213" s="18"/>
      <c r="AY213" s="18"/>
      <c r="AZ213" s="18"/>
      <c r="BA213" s="18"/>
      <c r="BB213" s="18"/>
      <c r="BC213" s="18"/>
      <c r="BD213" s="18"/>
    </row>
    <row r="214" spans="1:56">
      <c r="A214" s="40"/>
      <c r="B214" s="40"/>
      <c r="C214" s="40"/>
      <c r="D214" s="40"/>
      <c r="E214" s="36"/>
      <c r="F214" s="36"/>
      <c r="G214" s="36"/>
      <c r="H214" s="36"/>
      <c r="I214" s="18"/>
      <c r="J214" s="18"/>
      <c r="K214" s="18"/>
      <c r="L214" s="18"/>
      <c r="N214" s="18"/>
      <c r="O214" s="18"/>
      <c r="P214" s="18"/>
      <c r="Q214" s="18"/>
      <c r="R214" s="18"/>
      <c r="S214" s="18"/>
      <c r="T214" s="18"/>
      <c r="U214" s="18"/>
      <c r="V214" s="18"/>
      <c r="W214" s="18"/>
      <c r="X214" s="18"/>
      <c r="Y214" s="18"/>
      <c r="Z214" s="18"/>
      <c r="AA214" s="18"/>
      <c r="AB214" s="18"/>
      <c r="AC214" s="18"/>
      <c r="AD214" s="18"/>
      <c r="AE214" s="18"/>
      <c r="AF214" s="18"/>
      <c r="AG214" s="18"/>
      <c r="AH214" s="18"/>
      <c r="AI214" s="18"/>
      <c r="AJ214" s="18"/>
      <c r="AK214" s="18"/>
      <c r="AL214" s="18"/>
      <c r="AM214" s="18"/>
      <c r="AN214" s="18"/>
      <c r="AO214" s="18"/>
      <c r="AP214" s="18"/>
      <c r="AQ214" s="18"/>
      <c r="AR214" s="18"/>
      <c r="AS214" s="18"/>
      <c r="AT214" s="18"/>
      <c r="AU214" s="18"/>
      <c r="AV214" s="18"/>
      <c r="AW214" s="18"/>
      <c r="AX214" s="18"/>
      <c r="AY214" s="18"/>
      <c r="AZ214" s="18"/>
      <c r="BA214" s="18"/>
      <c r="BB214" s="18"/>
      <c r="BC214" s="18"/>
      <c r="BD214" s="18"/>
    </row>
    <row r="215" spans="1:56">
      <c r="A215" s="40"/>
      <c r="B215" s="40"/>
      <c r="C215" s="40"/>
      <c r="D215" s="40"/>
      <c r="E215" s="36"/>
      <c r="F215" s="36"/>
      <c r="G215" s="36"/>
      <c r="H215" s="36"/>
      <c r="I215" s="18"/>
      <c r="J215" s="18"/>
      <c r="K215" s="18"/>
      <c r="L215" s="18"/>
      <c r="N215" s="18"/>
      <c r="O215" s="18"/>
      <c r="P215" s="18"/>
      <c r="Q215" s="18"/>
      <c r="R215" s="18"/>
      <c r="S215" s="18"/>
      <c r="T215" s="18"/>
      <c r="U215" s="18"/>
      <c r="V215" s="18"/>
      <c r="W215" s="18"/>
      <c r="X215" s="18"/>
      <c r="Y215" s="18"/>
      <c r="Z215" s="18"/>
      <c r="AA215" s="18"/>
      <c r="AB215" s="18"/>
      <c r="AC215" s="18"/>
      <c r="AD215" s="18"/>
      <c r="AE215" s="18"/>
      <c r="AF215" s="18"/>
      <c r="AG215" s="18"/>
      <c r="AH215" s="18"/>
      <c r="AI215" s="18"/>
      <c r="AJ215" s="18"/>
      <c r="AK215" s="18"/>
      <c r="AL215" s="18"/>
      <c r="AM215" s="18"/>
      <c r="AN215" s="18"/>
      <c r="AO215" s="18"/>
      <c r="AP215" s="18"/>
      <c r="AQ215" s="18"/>
      <c r="AR215" s="18"/>
      <c r="AS215" s="18"/>
      <c r="AT215" s="18"/>
      <c r="AU215" s="18"/>
      <c r="AV215" s="18"/>
      <c r="AW215" s="18"/>
      <c r="AX215" s="18"/>
      <c r="AY215" s="18"/>
      <c r="AZ215" s="18"/>
      <c r="BA215" s="18"/>
      <c r="BB215" s="18"/>
      <c r="BC215" s="18"/>
      <c r="BD215" s="18"/>
    </row>
    <row r="216" spans="1:56">
      <c r="A216" s="40"/>
      <c r="B216" s="40"/>
      <c r="C216" s="40"/>
      <c r="D216" s="40"/>
      <c r="E216" s="36"/>
      <c r="F216" s="36"/>
      <c r="G216" s="36"/>
      <c r="H216" s="36"/>
      <c r="I216" s="18"/>
      <c r="J216" s="18"/>
      <c r="K216" s="18"/>
      <c r="L216" s="18"/>
      <c r="N216" s="18"/>
      <c r="O216" s="18"/>
      <c r="P216" s="18"/>
      <c r="Q216" s="18"/>
      <c r="R216" s="18"/>
      <c r="S216" s="18"/>
      <c r="T216" s="18"/>
      <c r="U216" s="18"/>
      <c r="V216" s="18"/>
      <c r="W216" s="18"/>
      <c r="X216" s="18"/>
      <c r="Y216" s="18"/>
      <c r="Z216" s="18"/>
      <c r="AA216" s="18"/>
      <c r="AB216" s="18"/>
      <c r="AC216" s="18"/>
      <c r="AD216" s="18"/>
      <c r="AE216" s="18"/>
      <c r="AF216" s="18"/>
      <c r="AG216" s="18"/>
      <c r="AH216" s="18"/>
      <c r="AI216" s="18"/>
      <c r="AJ216" s="18"/>
      <c r="AK216" s="18"/>
      <c r="AL216" s="18"/>
      <c r="AM216" s="18"/>
      <c r="AN216" s="18"/>
      <c r="AO216" s="18"/>
      <c r="AP216" s="18"/>
      <c r="AQ216" s="18"/>
      <c r="AR216" s="18"/>
      <c r="AS216" s="18"/>
      <c r="AT216" s="18"/>
      <c r="AU216" s="18"/>
      <c r="AV216" s="18"/>
      <c r="AW216" s="18"/>
      <c r="AX216" s="18"/>
      <c r="AY216" s="18"/>
      <c r="AZ216" s="18"/>
      <c r="BA216" s="18"/>
      <c r="BB216" s="18"/>
      <c r="BC216" s="18"/>
      <c r="BD216" s="18"/>
    </row>
    <row r="217" spans="1:56">
      <c r="A217" s="40"/>
      <c r="B217" s="40"/>
      <c r="C217" s="40"/>
      <c r="D217" s="40"/>
      <c r="E217" s="36"/>
      <c r="F217" s="36"/>
      <c r="G217" s="36"/>
      <c r="H217" s="36"/>
      <c r="I217" s="18"/>
      <c r="J217" s="18"/>
      <c r="K217" s="18"/>
      <c r="L217" s="18"/>
      <c r="N217" s="18"/>
      <c r="O217" s="18"/>
      <c r="P217" s="18"/>
      <c r="Q217" s="18"/>
      <c r="R217" s="18"/>
      <c r="S217" s="18"/>
      <c r="T217" s="18"/>
      <c r="U217" s="18"/>
      <c r="V217" s="18"/>
      <c r="W217" s="18"/>
      <c r="X217" s="18"/>
      <c r="Y217" s="18"/>
      <c r="Z217" s="18"/>
      <c r="AA217" s="18"/>
      <c r="AB217" s="18"/>
      <c r="AC217" s="18"/>
      <c r="AD217" s="18"/>
      <c r="AE217" s="18"/>
      <c r="AF217" s="18"/>
      <c r="AG217" s="18"/>
      <c r="AH217" s="18"/>
      <c r="AI217" s="18"/>
      <c r="AJ217" s="18"/>
      <c r="AK217" s="18"/>
      <c r="AL217" s="18"/>
      <c r="AM217" s="18"/>
      <c r="AN217" s="18"/>
      <c r="AO217" s="18"/>
      <c r="AP217" s="18"/>
      <c r="AQ217" s="18"/>
      <c r="AR217" s="18"/>
      <c r="AS217" s="18"/>
      <c r="AT217" s="18"/>
      <c r="AU217" s="18"/>
      <c r="AV217" s="18"/>
      <c r="AW217" s="18"/>
      <c r="AX217" s="18"/>
      <c r="AY217" s="18"/>
      <c r="AZ217" s="18"/>
      <c r="BA217" s="18"/>
      <c r="BB217" s="18"/>
      <c r="BC217" s="18"/>
      <c r="BD217" s="18"/>
    </row>
    <row r="218" spans="1:56">
      <c r="A218" s="40"/>
      <c r="B218" s="40"/>
      <c r="C218" s="40"/>
      <c r="D218" s="40"/>
      <c r="E218" s="36"/>
      <c r="F218" s="36"/>
      <c r="G218" s="36"/>
      <c r="H218" s="36"/>
      <c r="I218" s="18"/>
      <c r="J218" s="18"/>
      <c r="K218" s="18"/>
      <c r="L218" s="18"/>
      <c r="N218" s="18"/>
      <c r="O218" s="18"/>
      <c r="P218" s="18"/>
      <c r="Q218" s="18"/>
      <c r="R218" s="18"/>
      <c r="S218" s="18"/>
      <c r="T218" s="18"/>
      <c r="U218" s="18"/>
      <c r="V218" s="18"/>
      <c r="W218" s="18"/>
      <c r="X218" s="18"/>
      <c r="Y218" s="18"/>
      <c r="Z218" s="18"/>
      <c r="AA218" s="18"/>
      <c r="AB218" s="18"/>
      <c r="AC218" s="18"/>
      <c r="AD218" s="18"/>
      <c r="AE218" s="18"/>
      <c r="AF218" s="18"/>
      <c r="AG218" s="18"/>
      <c r="AH218" s="18"/>
      <c r="AI218" s="18"/>
      <c r="AJ218" s="18"/>
      <c r="AK218" s="18"/>
      <c r="AL218" s="18"/>
      <c r="AM218" s="18"/>
      <c r="AN218" s="18"/>
      <c r="AO218" s="18"/>
      <c r="AP218" s="18"/>
      <c r="AQ218" s="18"/>
      <c r="AR218" s="18"/>
      <c r="AS218" s="18"/>
      <c r="AT218" s="18"/>
      <c r="AU218" s="18"/>
      <c r="AV218" s="18"/>
      <c r="AW218" s="18"/>
      <c r="AX218" s="18"/>
      <c r="AY218" s="18"/>
      <c r="AZ218" s="18"/>
      <c r="BA218" s="18"/>
      <c r="BB218" s="18"/>
      <c r="BC218" s="18"/>
      <c r="BD218" s="18"/>
    </row>
    <row r="219" spans="1:56">
      <c r="A219" s="40"/>
      <c r="B219" s="40"/>
      <c r="C219" s="40"/>
      <c r="D219" s="40"/>
      <c r="E219" s="36"/>
      <c r="F219" s="36"/>
      <c r="G219" s="36"/>
      <c r="H219" s="36"/>
      <c r="I219" s="18"/>
      <c r="J219" s="18"/>
      <c r="K219" s="18"/>
      <c r="L219" s="18"/>
      <c r="N219" s="18"/>
      <c r="O219" s="18"/>
      <c r="P219" s="18"/>
      <c r="Q219" s="18"/>
      <c r="R219" s="18"/>
      <c r="S219" s="18"/>
      <c r="T219" s="18"/>
      <c r="U219" s="18"/>
      <c r="V219" s="18"/>
      <c r="W219" s="18"/>
      <c r="X219" s="18"/>
      <c r="Y219" s="18"/>
      <c r="Z219" s="18"/>
      <c r="AA219" s="18"/>
      <c r="AB219" s="18"/>
      <c r="AC219" s="18"/>
      <c r="AD219" s="18"/>
      <c r="AE219" s="18"/>
      <c r="AF219" s="18"/>
      <c r="AG219" s="18"/>
      <c r="AH219" s="18"/>
      <c r="AI219" s="18"/>
      <c r="AJ219" s="18"/>
      <c r="AK219" s="18"/>
      <c r="AL219" s="18"/>
      <c r="AM219" s="18"/>
      <c r="AN219" s="18"/>
      <c r="AO219" s="18"/>
      <c r="AP219" s="18"/>
      <c r="AQ219" s="18"/>
      <c r="AR219" s="18"/>
      <c r="AS219" s="18"/>
      <c r="AT219" s="18"/>
      <c r="AU219" s="18"/>
      <c r="AV219" s="18"/>
      <c r="AW219" s="18"/>
      <c r="AX219" s="18"/>
      <c r="AY219" s="18"/>
      <c r="AZ219" s="18"/>
      <c r="BA219" s="18"/>
      <c r="BB219" s="18"/>
      <c r="BC219" s="18"/>
      <c r="BD219" s="18"/>
    </row>
    <row r="220" spans="1:56">
      <c r="A220" s="40"/>
      <c r="B220" s="40"/>
      <c r="C220" s="40"/>
      <c r="D220" s="40"/>
      <c r="E220" s="36"/>
      <c r="F220" s="36"/>
      <c r="G220" s="36"/>
      <c r="H220" s="36"/>
      <c r="I220" s="18"/>
      <c r="J220" s="18"/>
      <c r="K220" s="18"/>
      <c r="L220" s="18"/>
      <c r="N220" s="18"/>
      <c r="O220" s="18"/>
      <c r="P220" s="18"/>
      <c r="Q220" s="18"/>
      <c r="R220" s="18"/>
      <c r="S220" s="18"/>
      <c r="T220" s="18"/>
      <c r="U220" s="18"/>
      <c r="V220" s="18"/>
      <c r="W220" s="18"/>
      <c r="X220" s="18"/>
      <c r="Y220" s="18"/>
      <c r="Z220" s="18"/>
      <c r="AA220" s="18"/>
      <c r="AB220" s="18"/>
      <c r="AC220" s="18"/>
      <c r="AD220" s="18"/>
      <c r="AE220" s="18"/>
      <c r="AF220" s="18"/>
      <c r="AG220" s="18"/>
      <c r="AH220" s="18"/>
      <c r="AI220" s="18"/>
      <c r="AJ220" s="18"/>
      <c r="AK220" s="18"/>
      <c r="AL220" s="18"/>
      <c r="AM220" s="18"/>
      <c r="AN220" s="18"/>
      <c r="AO220" s="18"/>
      <c r="AP220" s="18"/>
      <c r="AQ220" s="18"/>
      <c r="AR220" s="18"/>
      <c r="AS220" s="18"/>
      <c r="AT220" s="18"/>
      <c r="AU220" s="18"/>
      <c r="AV220" s="18"/>
      <c r="AW220" s="18"/>
      <c r="AX220" s="18"/>
      <c r="AY220" s="18"/>
      <c r="AZ220" s="18"/>
      <c r="BA220" s="18"/>
      <c r="BB220" s="18"/>
      <c r="BC220" s="18"/>
      <c r="BD220" s="18"/>
    </row>
    <row r="221" spans="1:56">
      <c r="A221" s="40"/>
      <c r="B221" s="40"/>
      <c r="C221" s="40"/>
      <c r="D221" s="40"/>
      <c r="E221" s="36"/>
      <c r="F221" s="36"/>
      <c r="G221" s="36"/>
      <c r="H221" s="36"/>
      <c r="I221" s="18"/>
      <c r="J221" s="18"/>
      <c r="K221" s="18"/>
      <c r="L221" s="18"/>
      <c r="N221" s="18"/>
      <c r="O221" s="18"/>
      <c r="P221" s="18"/>
      <c r="Q221" s="18"/>
      <c r="R221" s="18"/>
      <c r="S221" s="18"/>
      <c r="T221" s="18"/>
      <c r="U221" s="18"/>
      <c r="V221" s="18"/>
      <c r="W221" s="18"/>
      <c r="X221" s="18"/>
      <c r="Y221" s="18"/>
      <c r="Z221" s="18"/>
      <c r="AA221" s="18"/>
      <c r="AB221" s="18"/>
      <c r="AC221" s="18"/>
      <c r="AD221" s="18"/>
      <c r="AE221" s="18"/>
      <c r="AF221" s="18"/>
      <c r="AG221" s="18"/>
      <c r="AH221" s="18"/>
      <c r="AI221" s="18"/>
      <c r="AJ221" s="18"/>
      <c r="AK221" s="18"/>
      <c r="AL221" s="18"/>
      <c r="AM221" s="18"/>
      <c r="AN221" s="18"/>
      <c r="AO221" s="18"/>
      <c r="AP221" s="18"/>
      <c r="AQ221" s="18"/>
      <c r="AR221" s="18"/>
      <c r="AS221" s="18"/>
      <c r="AT221" s="18"/>
      <c r="AU221" s="18"/>
      <c r="AV221" s="18"/>
      <c r="AW221" s="18"/>
      <c r="AX221" s="18"/>
      <c r="AY221" s="18"/>
      <c r="AZ221" s="18"/>
      <c r="BA221" s="18"/>
      <c r="BB221" s="18"/>
      <c r="BC221" s="18"/>
      <c r="BD221" s="18"/>
    </row>
    <row r="222" spans="1:56">
      <c r="A222" s="40"/>
      <c r="B222" s="40"/>
      <c r="C222" s="40"/>
      <c r="D222" s="40"/>
      <c r="E222" s="36"/>
      <c r="F222" s="36"/>
      <c r="G222" s="36"/>
      <c r="H222" s="36"/>
      <c r="I222" s="18"/>
      <c r="J222" s="18"/>
      <c r="K222" s="18"/>
      <c r="L222" s="18"/>
      <c r="N222" s="18"/>
      <c r="O222" s="18"/>
      <c r="P222" s="18"/>
      <c r="Q222" s="18"/>
      <c r="R222" s="18"/>
      <c r="S222" s="18"/>
      <c r="T222" s="18"/>
      <c r="U222" s="18"/>
      <c r="V222" s="18"/>
      <c r="W222" s="18"/>
      <c r="X222" s="18"/>
      <c r="Y222" s="18"/>
      <c r="Z222" s="18"/>
      <c r="AA222" s="18"/>
      <c r="AB222" s="18"/>
      <c r="AC222" s="18"/>
      <c r="AD222" s="18"/>
      <c r="AE222" s="18"/>
      <c r="AF222" s="18"/>
      <c r="AG222" s="18"/>
      <c r="AH222" s="18"/>
      <c r="AI222" s="18"/>
      <c r="AJ222" s="18"/>
      <c r="AK222" s="18"/>
      <c r="AL222" s="18"/>
      <c r="AM222" s="18"/>
      <c r="AN222" s="18"/>
      <c r="AO222" s="18"/>
      <c r="AP222" s="18"/>
      <c r="AQ222" s="18"/>
      <c r="AR222" s="18"/>
      <c r="AS222" s="18"/>
      <c r="AT222" s="18"/>
      <c r="AU222" s="18"/>
      <c r="AV222" s="18"/>
      <c r="AW222" s="18"/>
      <c r="AX222" s="18"/>
      <c r="AY222" s="18"/>
      <c r="AZ222" s="18"/>
      <c r="BA222" s="18"/>
      <c r="BB222" s="18"/>
      <c r="BC222" s="18"/>
      <c r="BD222" s="18"/>
    </row>
    <row r="223" spans="1:56">
      <c r="A223" s="40"/>
      <c r="B223" s="40"/>
      <c r="C223" s="40"/>
      <c r="D223" s="40"/>
      <c r="E223" s="36"/>
      <c r="F223" s="36"/>
      <c r="G223" s="36"/>
      <c r="H223" s="36"/>
      <c r="I223" s="18"/>
      <c r="J223" s="18"/>
      <c r="K223" s="18"/>
      <c r="L223" s="18"/>
      <c r="N223" s="18"/>
      <c r="O223" s="18"/>
      <c r="P223" s="18"/>
      <c r="Q223" s="18"/>
      <c r="R223" s="18"/>
      <c r="S223" s="18"/>
      <c r="T223" s="18"/>
      <c r="U223" s="18"/>
      <c r="V223" s="18"/>
      <c r="W223" s="18"/>
      <c r="X223" s="18"/>
      <c r="Y223" s="18"/>
      <c r="Z223" s="18"/>
      <c r="AA223" s="18"/>
      <c r="AB223" s="18"/>
      <c r="AC223" s="18"/>
      <c r="AD223" s="18"/>
      <c r="AE223" s="18"/>
      <c r="AF223" s="18"/>
      <c r="AG223" s="18"/>
      <c r="AH223" s="18"/>
      <c r="AI223" s="18"/>
      <c r="AJ223" s="18"/>
      <c r="AK223" s="18"/>
      <c r="AL223" s="18"/>
      <c r="AM223" s="18"/>
      <c r="AN223" s="18"/>
      <c r="AO223" s="18"/>
      <c r="AP223" s="18"/>
      <c r="AQ223" s="18"/>
      <c r="AR223" s="18"/>
      <c r="AS223" s="18"/>
      <c r="AT223" s="18"/>
      <c r="AU223" s="18"/>
      <c r="AV223" s="18"/>
      <c r="AW223" s="18"/>
      <c r="AX223" s="18"/>
      <c r="AY223" s="18"/>
      <c r="AZ223" s="18"/>
      <c r="BA223" s="18"/>
      <c r="BB223" s="18"/>
      <c r="BC223" s="18"/>
      <c r="BD223" s="18"/>
    </row>
    <row r="224" spans="1:56">
      <c r="A224" s="40"/>
      <c r="B224" s="40"/>
      <c r="C224" s="40"/>
      <c r="D224" s="40"/>
      <c r="E224" s="36"/>
      <c r="F224" s="36"/>
      <c r="G224" s="36"/>
      <c r="H224" s="36"/>
      <c r="I224" s="18"/>
      <c r="J224" s="18"/>
      <c r="K224" s="18"/>
      <c r="L224" s="18"/>
      <c r="N224" s="18"/>
      <c r="O224" s="18"/>
      <c r="P224" s="18"/>
      <c r="Q224" s="18"/>
      <c r="R224" s="18"/>
      <c r="S224" s="18"/>
      <c r="T224" s="18"/>
      <c r="U224" s="18"/>
      <c r="V224" s="18"/>
      <c r="W224" s="18"/>
      <c r="X224" s="18"/>
      <c r="Y224" s="18"/>
      <c r="Z224" s="18"/>
      <c r="AA224" s="18"/>
      <c r="AB224" s="18"/>
      <c r="AC224" s="18"/>
      <c r="AD224" s="18"/>
      <c r="AE224" s="18"/>
      <c r="AF224" s="18"/>
      <c r="AG224" s="18"/>
      <c r="AH224" s="18"/>
      <c r="AI224" s="18"/>
      <c r="AJ224" s="18"/>
      <c r="AK224" s="18"/>
      <c r="AL224" s="18"/>
      <c r="AM224" s="18"/>
      <c r="AN224" s="18"/>
      <c r="AO224" s="18"/>
      <c r="AP224" s="18"/>
      <c r="AQ224" s="18"/>
      <c r="AR224" s="18"/>
      <c r="AS224" s="18"/>
      <c r="AT224" s="18"/>
      <c r="AU224" s="18"/>
      <c r="AV224" s="18"/>
      <c r="AW224" s="18"/>
      <c r="AX224" s="18"/>
      <c r="AY224" s="18"/>
      <c r="AZ224" s="18"/>
      <c r="BA224" s="18"/>
      <c r="BB224" s="18"/>
      <c r="BC224" s="18"/>
      <c r="BD224" s="18"/>
    </row>
    <row r="225" spans="1:56">
      <c r="A225" s="40"/>
      <c r="B225" s="40"/>
      <c r="C225" s="40"/>
      <c r="D225" s="40"/>
      <c r="E225" s="36"/>
      <c r="F225" s="36"/>
      <c r="G225" s="36"/>
      <c r="H225" s="36"/>
      <c r="I225" s="18"/>
      <c r="J225" s="18"/>
      <c r="K225" s="18"/>
      <c r="L225" s="18"/>
      <c r="N225" s="18"/>
      <c r="O225" s="18"/>
      <c r="P225" s="18"/>
      <c r="Q225" s="18"/>
      <c r="R225" s="18"/>
      <c r="S225" s="18"/>
      <c r="T225" s="18"/>
      <c r="U225" s="18"/>
      <c r="V225" s="18"/>
      <c r="W225" s="18"/>
      <c r="X225" s="18"/>
      <c r="Y225" s="18"/>
      <c r="Z225" s="18"/>
      <c r="AA225" s="18"/>
      <c r="AB225" s="18"/>
      <c r="AC225" s="18"/>
      <c r="AD225" s="18"/>
      <c r="AE225" s="18"/>
      <c r="AF225" s="18"/>
      <c r="AG225" s="18"/>
      <c r="AH225" s="18"/>
      <c r="AI225" s="18"/>
      <c r="AJ225" s="18"/>
      <c r="AK225" s="18"/>
      <c r="AL225" s="18"/>
      <c r="AM225" s="18"/>
      <c r="AN225" s="18"/>
      <c r="AO225" s="18"/>
      <c r="AP225" s="18"/>
      <c r="AQ225" s="18"/>
      <c r="AR225" s="18"/>
      <c r="AS225" s="18"/>
      <c r="AT225" s="18"/>
      <c r="AU225" s="18"/>
      <c r="AV225" s="18"/>
      <c r="AW225" s="18"/>
      <c r="AX225" s="18"/>
      <c r="AY225" s="18"/>
      <c r="AZ225" s="18"/>
      <c r="BA225" s="18"/>
      <c r="BB225" s="18"/>
      <c r="BC225" s="18"/>
      <c r="BD225" s="18"/>
    </row>
    <row r="226" spans="1:56">
      <c r="A226" s="40"/>
      <c r="B226" s="40"/>
      <c r="C226" s="40"/>
      <c r="D226" s="40"/>
      <c r="E226" s="36"/>
      <c r="F226" s="36"/>
      <c r="G226" s="36"/>
      <c r="H226" s="36"/>
      <c r="I226" s="18"/>
      <c r="J226" s="18"/>
      <c r="K226" s="18"/>
      <c r="L226" s="18"/>
      <c r="N226" s="18"/>
      <c r="O226" s="18"/>
      <c r="P226" s="18"/>
      <c r="Q226" s="18"/>
      <c r="R226" s="18"/>
      <c r="S226" s="18"/>
      <c r="T226" s="18"/>
      <c r="U226" s="18"/>
      <c r="V226" s="18"/>
      <c r="W226" s="18"/>
      <c r="X226" s="18"/>
      <c r="Y226" s="18"/>
      <c r="Z226" s="18"/>
      <c r="AA226" s="18"/>
      <c r="AB226" s="18"/>
      <c r="AC226" s="18"/>
      <c r="AD226" s="18"/>
      <c r="AE226" s="18"/>
      <c r="AF226" s="18"/>
      <c r="AG226" s="18"/>
      <c r="AH226" s="18"/>
      <c r="AI226" s="18"/>
      <c r="AJ226" s="18"/>
      <c r="AK226" s="18"/>
      <c r="AL226" s="18"/>
      <c r="AM226" s="18"/>
      <c r="AN226" s="18"/>
      <c r="AO226" s="18"/>
      <c r="AP226" s="18"/>
      <c r="AQ226" s="18"/>
      <c r="AR226" s="18"/>
      <c r="AS226" s="18"/>
      <c r="AT226" s="18"/>
      <c r="AU226" s="18"/>
      <c r="AV226" s="18"/>
      <c r="AW226" s="18"/>
      <c r="AX226" s="18"/>
      <c r="AY226" s="18"/>
      <c r="AZ226" s="18"/>
      <c r="BA226" s="18"/>
      <c r="BB226" s="18"/>
      <c r="BC226" s="18"/>
      <c r="BD226" s="18"/>
    </row>
    <row r="227" spans="1:56">
      <c r="A227" s="40"/>
      <c r="B227" s="40"/>
      <c r="C227" s="40"/>
      <c r="D227" s="40"/>
      <c r="E227" s="36"/>
      <c r="F227" s="36"/>
      <c r="G227" s="36"/>
      <c r="H227" s="36"/>
      <c r="I227" s="18"/>
      <c r="J227" s="18"/>
      <c r="K227" s="18"/>
      <c r="L227" s="18"/>
      <c r="N227" s="18"/>
      <c r="O227" s="18"/>
      <c r="P227" s="18"/>
      <c r="Q227" s="18"/>
      <c r="R227" s="18"/>
      <c r="S227" s="18"/>
      <c r="T227" s="18"/>
      <c r="U227" s="18"/>
      <c r="V227" s="18"/>
      <c r="W227" s="18"/>
      <c r="X227" s="18"/>
      <c r="Y227" s="18"/>
      <c r="Z227" s="18"/>
      <c r="AA227" s="18"/>
      <c r="AB227" s="18"/>
      <c r="AC227" s="18"/>
      <c r="AD227" s="18"/>
      <c r="AE227" s="18"/>
      <c r="AF227" s="18"/>
      <c r="AG227" s="18"/>
      <c r="AH227" s="18"/>
      <c r="AI227" s="18"/>
      <c r="AJ227" s="18"/>
      <c r="AK227" s="18"/>
      <c r="AL227" s="18"/>
      <c r="AM227" s="18"/>
      <c r="AN227" s="18"/>
      <c r="AO227" s="18"/>
      <c r="AP227" s="18"/>
      <c r="AQ227" s="18"/>
      <c r="AR227" s="18"/>
      <c r="AS227" s="18"/>
      <c r="AT227" s="18"/>
      <c r="AU227" s="18"/>
      <c r="AV227" s="18"/>
      <c r="AW227" s="18"/>
      <c r="AX227" s="18"/>
      <c r="AY227" s="18"/>
      <c r="AZ227" s="18"/>
      <c r="BA227" s="18"/>
      <c r="BB227" s="18"/>
      <c r="BC227" s="18"/>
      <c r="BD227" s="18"/>
    </row>
    <row r="228" spans="1:56">
      <c r="A228" s="40"/>
      <c r="B228" s="40"/>
      <c r="C228" s="40"/>
      <c r="D228" s="40"/>
      <c r="E228" s="36"/>
      <c r="F228" s="36"/>
      <c r="G228" s="36"/>
      <c r="H228" s="36"/>
      <c r="I228" s="18"/>
      <c r="J228" s="18"/>
      <c r="K228" s="18"/>
      <c r="L228" s="18"/>
      <c r="N228" s="18"/>
      <c r="O228" s="18"/>
      <c r="P228" s="18"/>
      <c r="Q228" s="18"/>
      <c r="R228" s="18"/>
      <c r="S228" s="18"/>
      <c r="T228" s="18"/>
      <c r="U228" s="18"/>
      <c r="V228" s="18"/>
      <c r="W228" s="18"/>
      <c r="X228" s="18"/>
      <c r="Y228" s="18"/>
      <c r="Z228" s="18"/>
      <c r="AA228" s="18"/>
      <c r="AB228" s="18"/>
      <c r="AC228" s="18"/>
      <c r="AD228" s="18"/>
      <c r="AE228" s="18"/>
      <c r="AF228" s="18"/>
      <c r="AG228" s="18"/>
      <c r="AH228" s="18"/>
      <c r="AI228" s="18"/>
      <c r="AJ228" s="18"/>
      <c r="AK228" s="18"/>
      <c r="AL228" s="18"/>
      <c r="AM228" s="18"/>
      <c r="AN228" s="18"/>
      <c r="AO228" s="18"/>
      <c r="AP228" s="18"/>
      <c r="AQ228" s="18"/>
      <c r="AR228" s="18"/>
      <c r="AS228" s="18"/>
      <c r="AT228" s="18"/>
      <c r="AU228" s="18"/>
      <c r="AV228" s="18"/>
      <c r="AW228" s="18"/>
      <c r="AX228" s="18"/>
      <c r="AY228" s="18"/>
      <c r="AZ228" s="18"/>
      <c r="BA228" s="18"/>
      <c r="BB228" s="18"/>
      <c r="BC228" s="18"/>
      <c r="BD228" s="18"/>
    </row>
    <row r="229" spans="1:56">
      <c r="A229" s="40"/>
      <c r="B229" s="40"/>
      <c r="C229" s="40"/>
      <c r="D229" s="40"/>
      <c r="E229" s="36"/>
      <c r="F229" s="36"/>
      <c r="G229" s="36"/>
      <c r="H229" s="36"/>
      <c r="I229" s="18"/>
      <c r="J229" s="18"/>
      <c r="K229" s="18"/>
      <c r="L229" s="18"/>
      <c r="N229" s="18"/>
      <c r="O229" s="18"/>
      <c r="P229" s="18"/>
      <c r="Q229" s="18"/>
      <c r="R229" s="18"/>
      <c r="S229" s="18"/>
      <c r="T229" s="18"/>
      <c r="U229" s="18"/>
      <c r="V229" s="18"/>
      <c r="W229" s="18"/>
      <c r="X229" s="18"/>
      <c r="Y229" s="18"/>
      <c r="Z229" s="18"/>
      <c r="AA229" s="18"/>
      <c r="AB229" s="18"/>
      <c r="AC229" s="18"/>
      <c r="AD229" s="18"/>
      <c r="AE229" s="18"/>
      <c r="AF229" s="18"/>
      <c r="AG229" s="18"/>
      <c r="AH229" s="18"/>
      <c r="AI229" s="18"/>
      <c r="AJ229" s="18"/>
      <c r="AK229" s="18"/>
      <c r="AL229" s="18"/>
      <c r="AM229" s="18"/>
      <c r="AN229" s="18"/>
      <c r="AO229" s="18"/>
      <c r="AP229" s="18"/>
      <c r="AQ229" s="18"/>
      <c r="AR229" s="18"/>
      <c r="AS229" s="18"/>
      <c r="AT229" s="18"/>
      <c r="AU229" s="18"/>
      <c r="AV229" s="18"/>
      <c r="AW229" s="18"/>
      <c r="AX229" s="18"/>
      <c r="AY229" s="18"/>
      <c r="AZ229" s="18"/>
      <c r="BA229" s="18"/>
      <c r="BB229" s="18"/>
      <c r="BC229" s="18"/>
      <c r="BD229" s="18"/>
    </row>
    <row r="230" spans="1:56">
      <c r="A230" s="40"/>
      <c r="B230" s="40"/>
      <c r="C230" s="40"/>
      <c r="D230" s="40"/>
      <c r="E230" s="36"/>
      <c r="F230" s="36"/>
      <c r="G230" s="36"/>
      <c r="H230" s="36"/>
      <c r="I230" s="18"/>
      <c r="J230" s="18"/>
      <c r="K230" s="18"/>
      <c r="L230" s="18"/>
      <c r="N230" s="18"/>
      <c r="O230" s="18"/>
      <c r="P230" s="18"/>
      <c r="Q230" s="18"/>
      <c r="R230" s="18"/>
      <c r="S230" s="18"/>
      <c r="T230" s="18"/>
      <c r="U230" s="18"/>
      <c r="V230" s="18"/>
      <c r="W230" s="18"/>
      <c r="X230" s="18"/>
      <c r="Y230" s="18"/>
      <c r="Z230" s="18"/>
      <c r="AA230" s="18"/>
      <c r="AB230" s="18"/>
      <c r="AC230" s="18"/>
      <c r="AD230" s="18"/>
      <c r="AE230" s="18"/>
      <c r="AF230" s="18"/>
      <c r="AG230" s="18"/>
      <c r="AH230" s="18"/>
      <c r="AI230" s="18"/>
      <c r="AJ230" s="18"/>
      <c r="AK230" s="18"/>
      <c r="AL230" s="18"/>
      <c r="AM230" s="18"/>
      <c r="AN230" s="18"/>
      <c r="AO230" s="18"/>
      <c r="AP230" s="18"/>
      <c r="AQ230" s="18"/>
      <c r="AR230" s="18"/>
      <c r="AS230" s="18"/>
      <c r="AT230" s="18"/>
      <c r="AU230" s="18"/>
      <c r="AV230" s="18"/>
      <c r="AW230" s="18"/>
      <c r="AX230" s="18"/>
      <c r="AY230" s="18"/>
      <c r="AZ230" s="18"/>
      <c r="BA230" s="18"/>
      <c r="BB230" s="18"/>
      <c r="BC230" s="18"/>
      <c r="BD230" s="18"/>
    </row>
    <row r="231" spans="1:56">
      <c r="A231" s="40"/>
      <c r="B231" s="40"/>
      <c r="C231" s="40"/>
      <c r="D231" s="40"/>
      <c r="E231" s="36"/>
      <c r="F231" s="36"/>
      <c r="G231" s="36"/>
      <c r="H231" s="36"/>
      <c r="I231" s="18"/>
      <c r="J231" s="18"/>
      <c r="K231" s="18"/>
      <c r="L231" s="18"/>
      <c r="N231" s="18"/>
      <c r="O231" s="18"/>
      <c r="P231" s="18"/>
      <c r="Q231" s="18"/>
      <c r="R231" s="18"/>
      <c r="S231" s="18"/>
      <c r="T231" s="18"/>
      <c r="U231" s="18"/>
      <c r="V231" s="18"/>
      <c r="W231" s="18"/>
      <c r="X231" s="18"/>
      <c r="Y231" s="18"/>
      <c r="Z231" s="18"/>
      <c r="AA231" s="18"/>
      <c r="AB231" s="18"/>
      <c r="AC231" s="18"/>
      <c r="AD231" s="18"/>
      <c r="AE231" s="18"/>
      <c r="AF231" s="18"/>
      <c r="AG231" s="18"/>
      <c r="AH231" s="18"/>
      <c r="AI231" s="18"/>
      <c r="AJ231" s="18"/>
      <c r="AK231" s="18"/>
      <c r="AL231" s="18"/>
      <c r="AM231" s="18"/>
      <c r="AN231" s="18"/>
      <c r="AO231" s="18"/>
      <c r="AP231" s="18"/>
      <c r="AQ231" s="18"/>
      <c r="AR231" s="18"/>
      <c r="AS231" s="18"/>
      <c r="AT231" s="18"/>
      <c r="AU231" s="18"/>
      <c r="AV231" s="18"/>
      <c r="AW231" s="18"/>
      <c r="AX231" s="18"/>
      <c r="AY231" s="18"/>
      <c r="AZ231" s="18"/>
      <c r="BA231" s="18"/>
      <c r="BB231" s="18"/>
      <c r="BC231" s="18"/>
      <c r="BD231" s="18"/>
    </row>
    <row r="232" spans="1:56">
      <c r="A232" s="40"/>
      <c r="B232" s="40"/>
      <c r="C232" s="40"/>
      <c r="D232" s="40"/>
      <c r="E232" s="36"/>
      <c r="F232" s="36"/>
      <c r="G232" s="36"/>
      <c r="H232" s="36"/>
      <c r="I232" s="18"/>
      <c r="J232" s="18"/>
      <c r="K232" s="18"/>
      <c r="L232" s="18"/>
      <c r="N232" s="18"/>
      <c r="O232" s="18"/>
      <c r="P232" s="18"/>
      <c r="Q232" s="18"/>
      <c r="R232" s="18"/>
      <c r="S232" s="18"/>
      <c r="T232" s="18"/>
      <c r="U232" s="18"/>
      <c r="V232" s="18"/>
      <c r="W232" s="18"/>
      <c r="X232" s="18"/>
      <c r="Y232" s="18"/>
      <c r="Z232" s="18"/>
      <c r="AA232" s="18"/>
      <c r="AB232" s="18"/>
      <c r="AC232" s="18"/>
      <c r="AD232" s="18"/>
      <c r="AE232" s="18"/>
      <c r="AF232" s="18"/>
      <c r="AG232" s="18"/>
      <c r="AH232" s="18"/>
      <c r="AI232" s="18"/>
      <c r="AJ232" s="18"/>
      <c r="AK232" s="18"/>
      <c r="AL232" s="18"/>
      <c r="AM232" s="18"/>
      <c r="AN232" s="18"/>
      <c r="AO232" s="18"/>
      <c r="AP232" s="18"/>
      <c r="AQ232" s="18"/>
      <c r="AR232" s="18"/>
      <c r="AS232" s="18"/>
      <c r="AT232" s="18"/>
      <c r="AU232" s="18"/>
      <c r="AV232" s="18"/>
      <c r="AW232" s="18"/>
      <c r="AX232" s="18"/>
      <c r="AY232" s="18"/>
      <c r="AZ232" s="18"/>
      <c r="BA232" s="18"/>
      <c r="BB232" s="18"/>
      <c r="BC232" s="18"/>
      <c r="BD232" s="18"/>
    </row>
    <row r="233" spans="1:56">
      <c r="A233" s="40"/>
      <c r="B233" s="40"/>
      <c r="C233" s="40"/>
      <c r="D233" s="40"/>
      <c r="E233" s="36"/>
      <c r="F233" s="36"/>
      <c r="G233" s="36"/>
      <c r="H233" s="36"/>
      <c r="I233" s="18"/>
      <c r="J233" s="18"/>
      <c r="K233" s="18"/>
      <c r="L233" s="18"/>
      <c r="N233" s="18"/>
      <c r="O233" s="18"/>
      <c r="P233" s="18"/>
      <c r="Q233" s="18"/>
      <c r="R233" s="18"/>
      <c r="S233" s="18"/>
      <c r="T233" s="18"/>
      <c r="U233" s="18"/>
      <c r="V233" s="18"/>
      <c r="W233" s="18"/>
      <c r="X233" s="18"/>
      <c r="Y233" s="18"/>
      <c r="Z233" s="18"/>
      <c r="AA233" s="18"/>
      <c r="AB233" s="18"/>
      <c r="AC233" s="18"/>
      <c r="AD233" s="18"/>
      <c r="AE233" s="18"/>
      <c r="AF233" s="18"/>
      <c r="AG233" s="18"/>
      <c r="AH233" s="18"/>
      <c r="AI233" s="18"/>
      <c r="AJ233" s="18"/>
      <c r="AK233" s="18"/>
      <c r="AL233" s="18"/>
      <c r="AM233" s="18"/>
      <c r="AN233" s="18"/>
      <c r="AO233" s="18"/>
      <c r="AP233" s="18"/>
      <c r="AQ233" s="18"/>
      <c r="AR233" s="18"/>
      <c r="AS233" s="18"/>
      <c r="AT233" s="18"/>
      <c r="AU233" s="18"/>
      <c r="AV233" s="18"/>
      <c r="AW233" s="18"/>
      <c r="AX233" s="18"/>
      <c r="AY233" s="18"/>
      <c r="AZ233" s="18"/>
      <c r="BA233" s="18"/>
      <c r="BB233" s="18"/>
      <c r="BC233" s="18"/>
      <c r="BD233" s="18"/>
    </row>
    <row r="234" spans="1:56">
      <c r="A234" s="40"/>
      <c r="B234" s="40"/>
      <c r="C234" s="40"/>
      <c r="D234" s="40"/>
      <c r="E234" s="36"/>
      <c r="F234" s="36"/>
      <c r="G234" s="36"/>
      <c r="H234" s="36"/>
      <c r="I234" s="18"/>
      <c r="J234" s="18"/>
      <c r="K234" s="18"/>
      <c r="L234" s="18"/>
      <c r="N234" s="18"/>
      <c r="O234" s="18"/>
      <c r="P234" s="18"/>
      <c r="Q234" s="18"/>
      <c r="R234" s="18"/>
      <c r="S234" s="18"/>
      <c r="T234" s="18"/>
      <c r="U234" s="18"/>
      <c r="V234" s="18"/>
      <c r="W234" s="18"/>
      <c r="X234" s="18"/>
      <c r="Y234" s="18"/>
      <c r="Z234" s="18"/>
      <c r="AA234" s="18"/>
      <c r="AB234" s="18"/>
      <c r="AC234" s="18"/>
      <c r="AD234" s="18"/>
      <c r="AE234" s="18"/>
      <c r="AF234" s="18"/>
      <c r="AG234" s="18"/>
      <c r="AH234" s="18"/>
      <c r="AI234" s="18"/>
      <c r="AJ234" s="18"/>
      <c r="AK234" s="18"/>
      <c r="AL234" s="18"/>
      <c r="AM234" s="18"/>
      <c r="AN234" s="18"/>
      <c r="AO234" s="18"/>
      <c r="AP234" s="18"/>
      <c r="AQ234" s="18"/>
      <c r="AR234" s="18"/>
      <c r="AS234" s="18"/>
      <c r="AT234" s="18"/>
      <c r="AU234" s="18"/>
      <c r="AV234" s="18"/>
      <c r="AW234" s="18"/>
      <c r="AX234" s="18"/>
      <c r="AY234" s="18"/>
      <c r="AZ234" s="18"/>
      <c r="BA234" s="18"/>
      <c r="BB234" s="18"/>
      <c r="BC234" s="18"/>
      <c r="BD234" s="18"/>
    </row>
    <row r="235" spans="1:56">
      <c r="A235" s="40"/>
      <c r="B235" s="40"/>
      <c r="C235" s="40"/>
      <c r="D235" s="40"/>
      <c r="E235" s="36"/>
      <c r="F235" s="36"/>
      <c r="G235" s="36"/>
      <c r="H235" s="36"/>
      <c r="I235" s="18"/>
      <c r="J235" s="18"/>
      <c r="K235" s="18"/>
      <c r="L235" s="18"/>
      <c r="N235" s="18"/>
      <c r="O235" s="18"/>
      <c r="P235" s="18"/>
      <c r="Q235" s="18"/>
      <c r="R235" s="18"/>
      <c r="S235" s="18"/>
      <c r="T235" s="18"/>
      <c r="U235" s="18"/>
      <c r="V235" s="18"/>
      <c r="W235" s="18"/>
      <c r="X235" s="18"/>
      <c r="Y235" s="18"/>
      <c r="Z235" s="18"/>
      <c r="AA235" s="18"/>
      <c r="AB235" s="18"/>
      <c r="AC235" s="18"/>
      <c r="AD235" s="18"/>
      <c r="AE235" s="18"/>
      <c r="AF235" s="18"/>
      <c r="AG235" s="18"/>
      <c r="AH235" s="18"/>
      <c r="AI235" s="18"/>
      <c r="AJ235" s="18"/>
      <c r="AK235" s="18"/>
      <c r="AL235" s="18"/>
      <c r="AM235" s="18"/>
      <c r="AN235" s="18"/>
      <c r="AO235" s="18"/>
      <c r="AP235" s="18"/>
      <c r="AQ235" s="18"/>
      <c r="AR235" s="18"/>
      <c r="AS235" s="18"/>
      <c r="AT235" s="18"/>
      <c r="AU235" s="18"/>
      <c r="AV235" s="18"/>
      <c r="AW235" s="18"/>
      <c r="AX235" s="18"/>
      <c r="AY235" s="18"/>
      <c r="AZ235" s="18"/>
      <c r="BA235" s="18"/>
      <c r="BB235" s="18"/>
      <c r="BC235" s="18"/>
      <c r="BD235" s="18"/>
    </row>
    <row r="236" spans="1:56">
      <c r="A236" s="40"/>
      <c r="B236" s="40"/>
      <c r="C236" s="40"/>
      <c r="D236" s="40"/>
      <c r="E236" s="36"/>
      <c r="F236" s="36"/>
      <c r="G236" s="36"/>
      <c r="H236" s="36"/>
      <c r="I236" s="18"/>
      <c r="J236" s="18"/>
      <c r="K236" s="18"/>
      <c r="L236" s="18"/>
      <c r="N236" s="18"/>
      <c r="O236" s="18"/>
      <c r="P236" s="18"/>
      <c r="Q236" s="18"/>
      <c r="R236" s="18"/>
      <c r="S236" s="18"/>
      <c r="T236" s="18"/>
      <c r="U236" s="18"/>
      <c r="V236" s="18"/>
      <c r="W236" s="18"/>
      <c r="X236" s="18"/>
      <c r="Y236" s="18"/>
      <c r="Z236" s="18"/>
      <c r="AA236" s="18"/>
      <c r="AB236" s="18"/>
      <c r="AC236" s="18"/>
      <c r="AD236" s="18"/>
      <c r="AE236" s="18"/>
      <c r="AF236" s="18"/>
      <c r="AG236" s="18"/>
      <c r="AH236" s="18"/>
      <c r="AI236" s="18"/>
      <c r="AJ236" s="18"/>
      <c r="AK236" s="18"/>
      <c r="AL236" s="18"/>
      <c r="AM236" s="18"/>
      <c r="AN236" s="18"/>
      <c r="AO236" s="18"/>
      <c r="AP236" s="18"/>
      <c r="AQ236" s="18"/>
      <c r="AR236" s="18"/>
      <c r="AS236" s="18"/>
      <c r="AT236" s="18"/>
      <c r="AU236" s="18"/>
      <c r="AV236" s="18"/>
      <c r="AW236" s="18"/>
      <c r="AX236" s="18"/>
      <c r="AY236" s="18"/>
      <c r="AZ236" s="18"/>
      <c r="BA236" s="18"/>
      <c r="BB236" s="18"/>
      <c r="BC236" s="18"/>
      <c r="BD236" s="18"/>
    </row>
    <row r="237" spans="1:56">
      <c r="A237" s="40"/>
      <c r="B237" s="40"/>
      <c r="C237" s="40"/>
      <c r="D237" s="40"/>
      <c r="E237" s="36"/>
      <c r="F237" s="36"/>
      <c r="G237" s="36"/>
      <c r="H237" s="36"/>
      <c r="I237" s="18"/>
      <c r="J237" s="18"/>
      <c r="K237" s="18"/>
      <c r="L237" s="18"/>
      <c r="N237" s="18"/>
      <c r="O237" s="18"/>
      <c r="P237" s="18"/>
      <c r="Q237" s="18"/>
      <c r="R237" s="18"/>
      <c r="S237" s="18"/>
      <c r="T237" s="18"/>
      <c r="U237" s="18"/>
      <c r="V237" s="18"/>
      <c r="W237" s="18"/>
      <c r="X237" s="18"/>
      <c r="Y237" s="18"/>
      <c r="Z237" s="18"/>
      <c r="AA237" s="18"/>
      <c r="AB237" s="18"/>
      <c r="AC237" s="18"/>
      <c r="AD237" s="18"/>
      <c r="AE237" s="18"/>
      <c r="AF237" s="18"/>
      <c r="AG237" s="18"/>
      <c r="AH237" s="18"/>
      <c r="AI237" s="18"/>
      <c r="AJ237" s="18"/>
      <c r="AK237" s="18"/>
      <c r="AL237" s="18"/>
      <c r="AM237" s="18"/>
      <c r="AN237" s="18"/>
      <c r="AO237" s="18"/>
      <c r="AP237" s="18"/>
      <c r="AQ237" s="18"/>
      <c r="AR237" s="18"/>
      <c r="AS237" s="18"/>
      <c r="AT237" s="18"/>
      <c r="AU237" s="18"/>
      <c r="AV237" s="18"/>
      <c r="AW237" s="18"/>
      <c r="AX237" s="18"/>
      <c r="AY237" s="18"/>
      <c r="AZ237" s="18"/>
      <c r="BA237" s="18"/>
      <c r="BB237" s="18"/>
      <c r="BC237" s="18"/>
      <c r="BD237" s="18"/>
    </row>
    <row r="238" spans="1:56">
      <c r="A238" s="40"/>
      <c r="B238" s="40"/>
      <c r="C238" s="40"/>
      <c r="D238" s="40"/>
      <c r="E238" s="36"/>
      <c r="F238" s="36"/>
      <c r="G238" s="36"/>
      <c r="H238" s="36"/>
      <c r="I238" s="18"/>
      <c r="J238" s="18"/>
      <c r="K238" s="18"/>
      <c r="L238" s="18"/>
      <c r="N238" s="18"/>
      <c r="O238" s="18"/>
      <c r="P238" s="18"/>
      <c r="Q238" s="18"/>
      <c r="R238" s="18"/>
      <c r="S238" s="18"/>
      <c r="T238" s="18"/>
      <c r="U238" s="18"/>
      <c r="V238" s="18"/>
      <c r="W238" s="18"/>
      <c r="X238" s="18"/>
      <c r="Y238" s="18"/>
      <c r="Z238" s="18"/>
      <c r="AA238" s="18"/>
      <c r="AB238" s="18"/>
      <c r="AC238" s="18"/>
      <c r="AD238" s="18"/>
      <c r="AE238" s="18"/>
      <c r="AF238" s="18"/>
      <c r="AG238" s="18"/>
      <c r="AH238" s="18"/>
      <c r="AI238" s="18"/>
      <c r="AJ238" s="18"/>
      <c r="AK238" s="18"/>
      <c r="AL238" s="18"/>
      <c r="AM238" s="18"/>
      <c r="AN238" s="18"/>
      <c r="AO238" s="18"/>
      <c r="AP238" s="18"/>
      <c r="AQ238" s="18"/>
      <c r="AR238" s="18"/>
      <c r="AS238" s="18"/>
      <c r="AT238" s="18"/>
      <c r="AU238" s="18"/>
      <c r="AV238" s="18"/>
      <c r="AW238" s="18"/>
      <c r="AX238" s="18"/>
      <c r="AY238" s="18"/>
      <c r="AZ238" s="18"/>
      <c r="BA238" s="18"/>
      <c r="BB238" s="18"/>
      <c r="BC238" s="18"/>
      <c r="BD238" s="18"/>
    </row>
    <row r="239" spans="1:56">
      <c r="A239" s="40"/>
      <c r="B239" s="40"/>
      <c r="C239" s="40"/>
      <c r="D239" s="40"/>
      <c r="E239" s="36"/>
      <c r="F239" s="36"/>
      <c r="G239" s="36"/>
      <c r="H239" s="36"/>
      <c r="I239" s="18"/>
      <c r="J239" s="18"/>
      <c r="K239" s="18"/>
      <c r="L239" s="18"/>
      <c r="N239" s="18"/>
      <c r="O239" s="18"/>
      <c r="P239" s="18"/>
      <c r="Q239" s="18"/>
      <c r="R239" s="18"/>
      <c r="S239" s="18"/>
      <c r="T239" s="18"/>
      <c r="U239" s="18"/>
      <c r="V239" s="18"/>
      <c r="W239" s="18"/>
      <c r="X239" s="18"/>
      <c r="Y239" s="18"/>
      <c r="Z239" s="18"/>
      <c r="AA239" s="18"/>
      <c r="AB239" s="18"/>
      <c r="AC239" s="18"/>
      <c r="AD239" s="18"/>
      <c r="AE239" s="18"/>
      <c r="AF239" s="18"/>
      <c r="AG239" s="18"/>
      <c r="AH239" s="18"/>
      <c r="AI239" s="18"/>
      <c r="AJ239" s="18"/>
      <c r="AK239" s="18"/>
      <c r="AL239" s="18"/>
      <c r="AM239" s="18"/>
      <c r="AN239" s="18"/>
      <c r="AO239" s="18"/>
      <c r="AP239" s="18"/>
      <c r="AQ239" s="18"/>
      <c r="AR239" s="18"/>
      <c r="AS239" s="18"/>
      <c r="AT239" s="18"/>
      <c r="AU239" s="18"/>
      <c r="AV239" s="18"/>
      <c r="AW239" s="18"/>
      <c r="AX239" s="18"/>
      <c r="AY239" s="18"/>
      <c r="AZ239" s="18"/>
      <c r="BA239" s="18"/>
      <c r="BB239" s="18"/>
      <c r="BC239" s="18"/>
      <c r="BD239" s="18"/>
    </row>
    <row r="240" spans="1:56">
      <c r="A240" s="40"/>
      <c r="B240" s="40"/>
      <c r="C240" s="40"/>
      <c r="D240" s="40"/>
      <c r="E240" s="36"/>
      <c r="F240" s="36"/>
      <c r="G240" s="36"/>
      <c r="H240" s="36"/>
      <c r="I240" s="18"/>
      <c r="J240" s="18"/>
      <c r="K240" s="18"/>
      <c r="L240" s="18"/>
      <c r="N240" s="18"/>
      <c r="O240" s="18"/>
      <c r="P240" s="18"/>
      <c r="Q240" s="18"/>
      <c r="R240" s="18"/>
      <c r="S240" s="18"/>
      <c r="T240" s="18"/>
      <c r="U240" s="18"/>
      <c r="V240" s="18"/>
      <c r="W240" s="18"/>
      <c r="X240" s="18"/>
      <c r="Y240" s="18"/>
      <c r="Z240" s="18"/>
      <c r="AA240" s="18"/>
      <c r="AB240" s="18"/>
      <c r="AC240" s="18"/>
      <c r="AD240" s="18"/>
      <c r="AE240" s="18"/>
      <c r="AF240" s="18"/>
      <c r="AG240" s="18"/>
      <c r="AH240" s="18"/>
      <c r="AI240" s="18"/>
      <c r="AJ240" s="18"/>
      <c r="AK240" s="18"/>
      <c r="AL240" s="18"/>
      <c r="AM240" s="18"/>
      <c r="AN240" s="18"/>
      <c r="AO240" s="18"/>
      <c r="AP240" s="18"/>
      <c r="AQ240" s="18"/>
      <c r="AR240" s="18"/>
      <c r="AS240" s="18"/>
      <c r="AT240" s="18"/>
      <c r="AU240" s="18"/>
      <c r="AV240" s="18"/>
      <c r="AW240" s="18"/>
      <c r="AX240" s="18"/>
      <c r="AY240" s="18"/>
      <c r="AZ240" s="18"/>
      <c r="BA240" s="18"/>
      <c r="BB240" s="18"/>
      <c r="BC240" s="18"/>
      <c r="BD240" s="18"/>
    </row>
    <row r="241" spans="1:56">
      <c r="A241" s="40"/>
      <c r="B241" s="40"/>
      <c r="C241" s="40"/>
      <c r="D241" s="40"/>
      <c r="E241" s="36"/>
      <c r="F241" s="36"/>
      <c r="G241" s="36"/>
      <c r="H241" s="36"/>
      <c r="I241" s="18"/>
      <c r="J241" s="18"/>
      <c r="K241" s="18"/>
      <c r="L241" s="18"/>
      <c r="N241" s="18"/>
      <c r="O241" s="18"/>
      <c r="P241" s="18"/>
      <c r="Q241" s="18"/>
      <c r="R241" s="18"/>
      <c r="S241" s="18"/>
      <c r="T241" s="18"/>
      <c r="U241" s="18"/>
      <c r="V241" s="18"/>
      <c r="W241" s="18"/>
      <c r="X241" s="18"/>
      <c r="Y241" s="18"/>
      <c r="Z241" s="18"/>
      <c r="AA241" s="18"/>
      <c r="AB241" s="18"/>
      <c r="AC241" s="18"/>
      <c r="AD241" s="18"/>
      <c r="AE241" s="18"/>
      <c r="AF241" s="18"/>
      <c r="AG241" s="18"/>
      <c r="AH241" s="18"/>
      <c r="AI241" s="18"/>
      <c r="AJ241" s="18"/>
      <c r="AK241" s="18"/>
      <c r="AL241" s="18"/>
      <c r="AM241" s="18"/>
      <c r="AN241" s="18"/>
      <c r="AO241" s="18"/>
      <c r="AP241" s="18"/>
      <c r="AQ241" s="18"/>
      <c r="AR241" s="18"/>
      <c r="AS241" s="18"/>
      <c r="AT241" s="18"/>
      <c r="AU241" s="18"/>
      <c r="AV241" s="18"/>
      <c r="AW241" s="18"/>
      <c r="AX241" s="18"/>
      <c r="AY241" s="18"/>
      <c r="AZ241" s="18"/>
      <c r="BA241" s="18"/>
      <c r="BB241" s="18"/>
      <c r="BC241" s="18"/>
      <c r="BD241" s="18"/>
    </row>
    <row r="242" spans="1:56">
      <c r="A242" s="40"/>
      <c r="B242" s="40"/>
      <c r="C242" s="40"/>
      <c r="D242" s="40"/>
      <c r="E242" s="36"/>
      <c r="F242" s="36"/>
      <c r="G242" s="36"/>
      <c r="H242" s="36"/>
      <c r="I242" s="18"/>
      <c r="J242" s="18"/>
      <c r="K242" s="18"/>
      <c r="L242" s="18"/>
      <c r="N242" s="18"/>
      <c r="O242" s="18"/>
      <c r="P242" s="18"/>
      <c r="Q242" s="18"/>
      <c r="R242" s="18"/>
      <c r="S242" s="18"/>
      <c r="T242" s="18"/>
      <c r="U242" s="18"/>
      <c r="V242" s="18"/>
      <c r="W242" s="18"/>
      <c r="X242" s="18"/>
      <c r="Y242" s="18"/>
      <c r="Z242" s="18"/>
      <c r="AA242" s="18"/>
      <c r="AB242" s="18"/>
      <c r="AC242" s="18"/>
      <c r="AD242" s="18"/>
      <c r="AE242" s="18"/>
      <c r="AF242" s="18"/>
      <c r="AG242" s="18"/>
      <c r="AH242" s="18"/>
      <c r="AI242" s="18"/>
      <c r="AJ242" s="18"/>
      <c r="AK242" s="18"/>
      <c r="AL242" s="18"/>
      <c r="AM242" s="18"/>
      <c r="AN242" s="18"/>
      <c r="AO242" s="18"/>
      <c r="AP242" s="18"/>
      <c r="AQ242" s="18"/>
      <c r="AR242" s="18"/>
      <c r="AS242" s="18"/>
      <c r="AT242" s="18"/>
      <c r="AU242" s="18"/>
      <c r="AV242" s="18"/>
      <c r="AW242" s="18"/>
      <c r="AX242" s="18"/>
      <c r="AY242" s="18"/>
      <c r="AZ242" s="18"/>
      <c r="BA242" s="18"/>
      <c r="BB242" s="18"/>
      <c r="BC242" s="18"/>
      <c r="BD242" s="18"/>
    </row>
    <row r="243" spans="1:56">
      <c r="A243" s="40"/>
      <c r="B243" s="40"/>
      <c r="C243" s="40"/>
      <c r="D243" s="40"/>
      <c r="E243" s="36"/>
      <c r="F243" s="36"/>
      <c r="G243" s="36"/>
      <c r="H243" s="36"/>
      <c r="I243" s="18"/>
      <c r="J243" s="18"/>
      <c r="K243" s="18"/>
      <c r="L243" s="18"/>
      <c r="N243" s="18"/>
      <c r="O243" s="18"/>
      <c r="P243" s="18"/>
      <c r="Q243" s="18"/>
      <c r="R243" s="18"/>
      <c r="S243" s="18"/>
      <c r="T243" s="18"/>
      <c r="U243" s="18"/>
      <c r="V243" s="18"/>
      <c r="W243" s="18"/>
      <c r="X243" s="18"/>
      <c r="Y243" s="18"/>
      <c r="Z243" s="18"/>
      <c r="AA243" s="18"/>
      <c r="AB243" s="18"/>
      <c r="AC243" s="18"/>
      <c r="AD243" s="18"/>
      <c r="AE243" s="18"/>
      <c r="AF243" s="18"/>
      <c r="AG243" s="18"/>
      <c r="AH243" s="18"/>
      <c r="AI243" s="18"/>
      <c r="AJ243" s="18"/>
      <c r="AK243" s="18"/>
      <c r="AL243" s="18"/>
      <c r="AM243" s="18"/>
      <c r="AN243" s="18"/>
      <c r="AO243" s="18"/>
      <c r="AP243" s="18"/>
      <c r="AQ243" s="18"/>
      <c r="AR243" s="18"/>
      <c r="AS243" s="18"/>
      <c r="AT243" s="18"/>
      <c r="AU243" s="18"/>
      <c r="AV243" s="18"/>
      <c r="AW243" s="18"/>
      <c r="AX243" s="18"/>
      <c r="AY243" s="18"/>
      <c r="AZ243" s="18"/>
      <c r="BA243" s="18"/>
      <c r="BB243" s="18"/>
      <c r="BC243" s="18"/>
      <c r="BD243" s="18"/>
    </row>
    <row r="244" spans="1:56">
      <c r="A244" s="40"/>
      <c r="B244" s="40"/>
      <c r="C244" s="40"/>
      <c r="D244" s="40"/>
      <c r="E244" s="36"/>
      <c r="F244" s="36"/>
      <c r="G244" s="36"/>
      <c r="H244" s="36"/>
      <c r="I244" s="18"/>
      <c r="J244" s="18"/>
      <c r="K244" s="18"/>
      <c r="L244" s="18"/>
      <c r="N244" s="18"/>
      <c r="O244" s="18"/>
      <c r="P244" s="18"/>
      <c r="Q244" s="18"/>
      <c r="R244" s="18"/>
      <c r="S244" s="18"/>
      <c r="T244" s="18"/>
      <c r="U244" s="18"/>
      <c r="V244" s="18"/>
      <c r="W244" s="18"/>
      <c r="X244" s="18"/>
      <c r="Y244" s="18"/>
      <c r="Z244" s="18"/>
      <c r="AA244" s="18"/>
      <c r="AB244" s="18"/>
      <c r="AC244" s="18"/>
      <c r="AD244" s="18"/>
      <c r="AE244" s="18"/>
      <c r="AF244" s="18"/>
      <c r="AG244" s="18"/>
      <c r="AH244" s="18"/>
      <c r="AI244" s="18"/>
      <c r="AJ244" s="18"/>
      <c r="AK244" s="18"/>
      <c r="AL244" s="18"/>
      <c r="AM244" s="18"/>
      <c r="AN244" s="18"/>
      <c r="AO244" s="18"/>
      <c r="AP244" s="18"/>
      <c r="AQ244" s="18"/>
      <c r="AR244" s="18"/>
      <c r="AS244" s="18"/>
      <c r="AT244" s="18"/>
      <c r="AU244" s="18"/>
      <c r="AV244" s="18"/>
      <c r="AW244" s="18"/>
      <c r="AX244" s="18"/>
      <c r="AY244" s="18"/>
      <c r="AZ244" s="18"/>
      <c r="BA244" s="18"/>
      <c r="BB244" s="18"/>
      <c r="BC244" s="18"/>
      <c r="BD244" s="18"/>
    </row>
    <row r="245" spans="1:56">
      <c r="A245" s="40"/>
      <c r="B245" s="40"/>
      <c r="C245" s="40"/>
      <c r="D245" s="40"/>
      <c r="E245" s="36"/>
      <c r="F245" s="36"/>
      <c r="G245" s="36"/>
      <c r="H245" s="36"/>
      <c r="I245" s="18"/>
      <c r="J245" s="18"/>
      <c r="K245" s="18"/>
      <c r="L245" s="18"/>
      <c r="N245" s="18"/>
      <c r="O245" s="18"/>
      <c r="P245" s="18"/>
      <c r="Q245" s="18"/>
      <c r="R245" s="18"/>
      <c r="S245" s="18"/>
      <c r="T245" s="18"/>
      <c r="U245" s="18"/>
      <c r="V245" s="18"/>
      <c r="W245" s="18"/>
      <c r="X245" s="18"/>
      <c r="Y245" s="18"/>
      <c r="Z245" s="18"/>
      <c r="AA245" s="18"/>
      <c r="AB245" s="18"/>
      <c r="AC245" s="18"/>
      <c r="AD245" s="18"/>
      <c r="AE245" s="18"/>
      <c r="AF245" s="18"/>
      <c r="AG245" s="18"/>
      <c r="AH245" s="18"/>
      <c r="AI245" s="18"/>
      <c r="AJ245" s="18"/>
      <c r="AK245" s="18"/>
      <c r="AL245" s="18"/>
      <c r="AM245" s="18"/>
      <c r="AN245" s="18"/>
      <c r="AO245" s="18"/>
      <c r="AP245" s="18"/>
      <c r="AQ245" s="18"/>
      <c r="AR245" s="18"/>
      <c r="AS245" s="18"/>
      <c r="AT245" s="18"/>
      <c r="AU245" s="18"/>
      <c r="AV245" s="18"/>
      <c r="AW245" s="18"/>
      <c r="AX245" s="18"/>
      <c r="AY245" s="18"/>
      <c r="AZ245" s="18"/>
      <c r="BA245" s="18"/>
      <c r="BB245" s="18"/>
      <c r="BC245" s="18"/>
      <c r="BD245" s="18"/>
    </row>
    <row r="246" spans="1:56">
      <c r="A246" s="40"/>
      <c r="B246" s="40"/>
      <c r="C246" s="40"/>
      <c r="D246" s="40"/>
      <c r="E246" s="36"/>
      <c r="F246" s="36"/>
      <c r="G246" s="36"/>
      <c r="H246" s="36"/>
      <c r="I246" s="18"/>
      <c r="J246" s="18"/>
      <c r="K246" s="18"/>
      <c r="L246" s="18"/>
      <c r="N246" s="18"/>
      <c r="O246" s="18"/>
      <c r="P246" s="18"/>
      <c r="Q246" s="18"/>
      <c r="R246" s="18"/>
      <c r="S246" s="18"/>
      <c r="T246" s="18"/>
      <c r="U246" s="18"/>
      <c r="V246" s="18"/>
      <c r="W246" s="18"/>
      <c r="X246" s="18"/>
      <c r="Y246" s="18"/>
      <c r="Z246" s="18"/>
      <c r="AA246" s="18"/>
      <c r="AB246" s="18"/>
      <c r="AC246" s="18"/>
      <c r="AD246" s="18"/>
      <c r="AE246" s="18"/>
      <c r="AF246" s="18"/>
      <c r="AG246" s="18"/>
      <c r="AH246" s="18"/>
      <c r="AI246" s="18"/>
      <c r="AJ246" s="18"/>
      <c r="AK246" s="18"/>
      <c r="AL246" s="18"/>
      <c r="AM246" s="18"/>
      <c r="AN246" s="18"/>
      <c r="AO246" s="18"/>
      <c r="AP246" s="18"/>
      <c r="AQ246" s="18"/>
      <c r="AR246" s="18"/>
      <c r="AS246" s="18"/>
      <c r="AT246" s="18"/>
      <c r="AU246" s="18"/>
      <c r="AV246" s="18"/>
      <c r="AW246" s="18"/>
      <c r="AX246" s="18"/>
      <c r="AY246" s="18"/>
      <c r="AZ246" s="18"/>
      <c r="BA246" s="18"/>
      <c r="BB246" s="18"/>
      <c r="BC246" s="18"/>
      <c r="BD246" s="18"/>
    </row>
    <row r="247" spans="1:56">
      <c r="A247" s="40"/>
      <c r="B247" s="40"/>
      <c r="C247" s="40"/>
      <c r="D247" s="40"/>
      <c r="E247" s="36"/>
      <c r="F247" s="36"/>
      <c r="G247" s="36"/>
      <c r="H247" s="36"/>
      <c r="I247" s="18"/>
      <c r="J247" s="18"/>
      <c r="K247" s="18"/>
      <c r="L247" s="18"/>
      <c r="N247" s="18"/>
      <c r="O247" s="18"/>
      <c r="P247" s="18"/>
      <c r="Q247" s="18"/>
      <c r="R247" s="18"/>
      <c r="S247" s="18"/>
      <c r="T247" s="18"/>
      <c r="U247" s="18"/>
      <c r="V247" s="18"/>
      <c r="W247" s="18"/>
      <c r="X247" s="18"/>
      <c r="Y247" s="18"/>
      <c r="Z247" s="18"/>
      <c r="AA247" s="18"/>
      <c r="AB247" s="18"/>
      <c r="AC247" s="18"/>
      <c r="AD247" s="18"/>
      <c r="AE247" s="18"/>
      <c r="AF247" s="18"/>
      <c r="AG247" s="18"/>
      <c r="AH247" s="18"/>
      <c r="AI247" s="18"/>
      <c r="AJ247" s="18"/>
      <c r="AK247" s="18"/>
      <c r="AL247" s="18"/>
      <c r="AM247" s="18"/>
      <c r="AN247" s="18"/>
      <c r="AO247" s="18"/>
      <c r="AP247" s="18"/>
      <c r="AQ247" s="18"/>
      <c r="AR247" s="18"/>
      <c r="AS247" s="18"/>
      <c r="AT247" s="18"/>
      <c r="AU247" s="18"/>
      <c r="AV247" s="18"/>
      <c r="AW247" s="18"/>
      <c r="AX247" s="18"/>
      <c r="AY247" s="18"/>
      <c r="AZ247" s="18"/>
      <c r="BA247" s="18"/>
      <c r="BB247" s="18"/>
      <c r="BC247" s="18"/>
      <c r="BD247" s="18"/>
    </row>
    <row r="248" spans="1:56">
      <c r="A248" s="40"/>
      <c r="B248" s="40"/>
      <c r="C248" s="40"/>
      <c r="D248" s="40"/>
      <c r="E248" s="36"/>
      <c r="F248" s="36"/>
      <c r="G248" s="36"/>
      <c r="H248" s="36"/>
      <c r="I248" s="18"/>
      <c r="J248" s="18"/>
      <c r="K248" s="18"/>
      <c r="L248" s="18"/>
      <c r="N248" s="18"/>
      <c r="O248" s="18"/>
      <c r="P248" s="18"/>
      <c r="Q248" s="18"/>
      <c r="R248" s="18"/>
      <c r="S248" s="18"/>
      <c r="T248" s="18"/>
      <c r="U248" s="18"/>
      <c r="V248" s="18"/>
      <c r="W248" s="18"/>
      <c r="X248" s="18"/>
      <c r="Y248" s="18"/>
      <c r="Z248" s="18"/>
      <c r="AA248" s="18"/>
      <c r="AB248" s="18"/>
      <c r="AC248" s="18"/>
      <c r="AD248" s="18"/>
      <c r="AE248" s="18"/>
      <c r="AF248" s="18"/>
      <c r="AG248" s="18"/>
      <c r="AH248" s="18"/>
      <c r="AI248" s="18"/>
      <c r="AJ248" s="18"/>
      <c r="AK248" s="18"/>
      <c r="AL248" s="18"/>
      <c r="AM248" s="18"/>
      <c r="AN248" s="18"/>
      <c r="AO248" s="18"/>
      <c r="AP248" s="18"/>
      <c r="AQ248" s="18"/>
      <c r="AR248" s="18"/>
      <c r="AS248" s="18"/>
      <c r="AT248" s="18"/>
      <c r="AU248" s="18"/>
      <c r="AV248" s="18"/>
      <c r="AW248" s="18"/>
      <c r="AX248" s="18"/>
      <c r="AY248" s="18"/>
      <c r="AZ248" s="18"/>
      <c r="BA248" s="18"/>
      <c r="BB248" s="18"/>
      <c r="BC248" s="18"/>
      <c r="BD248" s="18"/>
    </row>
    <row r="249" spans="1:56">
      <c r="A249" s="40"/>
      <c r="B249" s="40"/>
      <c r="C249" s="40"/>
      <c r="D249" s="40"/>
      <c r="E249" s="36"/>
      <c r="F249" s="36"/>
      <c r="G249" s="36"/>
      <c r="H249" s="36"/>
      <c r="I249" s="18"/>
      <c r="J249" s="18"/>
      <c r="K249" s="18"/>
      <c r="L249" s="18"/>
      <c r="N249" s="18"/>
      <c r="O249" s="18"/>
      <c r="P249" s="18"/>
      <c r="Q249" s="18"/>
      <c r="R249" s="18"/>
      <c r="S249" s="18"/>
      <c r="T249" s="18"/>
      <c r="U249" s="18"/>
      <c r="V249" s="18"/>
      <c r="W249" s="18"/>
      <c r="X249" s="18"/>
      <c r="Y249" s="18"/>
      <c r="Z249" s="18"/>
      <c r="AA249" s="18"/>
      <c r="AB249" s="18"/>
      <c r="AC249" s="18"/>
      <c r="AD249" s="18"/>
      <c r="AE249" s="18"/>
      <c r="AF249" s="18"/>
      <c r="AG249" s="18"/>
      <c r="AH249" s="18"/>
      <c r="AI249" s="18"/>
      <c r="AJ249" s="18"/>
      <c r="AK249" s="18"/>
      <c r="AL249" s="18"/>
      <c r="AM249" s="18"/>
      <c r="AN249" s="18"/>
      <c r="AO249" s="18"/>
      <c r="AP249" s="18"/>
      <c r="AQ249" s="18"/>
      <c r="AR249" s="18"/>
      <c r="AS249" s="18"/>
      <c r="AT249" s="18"/>
      <c r="AU249" s="18"/>
      <c r="AV249" s="18"/>
      <c r="AW249" s="18"/>
      <c r="AX249" s="18"/>
      <c r="AY249" s="18"/>
      <c r="AZ249" s="18"/>
      <c r="BA249" s="18"/>
      <c r="BB249" s="18"/>
      <c r="BC249" s="18"/>
      <c r="BD249" s="18"/>
    </row>
    <row r="250" spans="1:56">
      <c r="A250" s="40"/>
      <c r="B250" s="40"/>
      <c r="C250" s="40"/>
      <c r="D250" s="40"/>
      <c r="E250" s="36"/>
      <c r="F250" s="36"/>
      <c r="G250" s="36"/>
      <c r="H250" s="36"/>
      <c r="I250" s="18"/>
      <c r="J250" s="18"/>
      <c r="K250" s="18"/>
      <c r="L250" s="18"/>
      <c r="N250" s="18"/>
      <c r="O250" s="18"/>
      <c r="P250" s="18"/>
      <c r="Q250" s="18"/>
      <c r="R250" s="18"/>
      <c r="S250" s="18"/>
      <c r="T250" s="18"/>
      <c r="U250" s="18"/>
      <c r="V250" s="18"/>
      <c r="W250" s="18"/>
      <c r="X250" s="18"/>
      <c r="Y250" s="18"/>
      <c r="Z250" s="18"/>
      <c r="AA250" s="18"/>
      <c r="AB250" s="18"/>
      <c r="AC250" s="18"/>
      <c r="AD250" s="18"/>
      <c r="AE250" s="18"/>
      <c r="AF250" s="18"/>
      <c r="AG250" s="18"/>
      <c r="AH250" s="18"/>
      <c r="AI250" s="18"/>
      <c r="AJ250" s="18"/>
      <c r="AK250" s="18"/>
      <c r="AL250" s="18"/>
      <c r="AM250" s="18"/>
      <c r="AN250" s="18"/>
      <c r="AO250" s="18"/>
      <c r="AP250" s="18"/>
      <c r="AQ250" s="18"/>
      <c r="AR250" s="18"/>
      <c r="AS250" s="18"/>
      <c r="AT250" s="18"/>
      <c r="AU250" s="18"/>
      <c r="AV250" s="18"/>
      <c r="AW250" s="18"/>
      <c r="AX250" s="18"/>
      <c r="AY250" s="18"/>
      <c r="AZ250" s="18"/>
      <c r="BA250" s="18"/>
      <c r="BB250" s="18"/>
      <c r="BC250" s="18"/>
      <c r="BD250" s="18"/>
    </row>
    <row r="251" spans="1:56">
      <c r="A251" s="40"/>
      <c r="B251" s="40"/>
      <c r="C251" s="40"/>
      <c r="D251" s="40"/>
      <c r="E251" s="36"/>
      <c r="F251" s="36"/>
      <c r="G251" s="36"/>
      <c r="H251" s="36"/>
      <c r="I251" s="18"/>
      <c r="J251" s="18"/>
      <c r="K251" s="18"/>
      <c r="L251" s="18"/>
      <c r="N251" s="18"/>
      <c r="O251" s="18"/>
      <c r="P251" s="18"/>
      <c r="Q251" s="18"/>
      <c r="R251" s="18"/>
      <c r="S251" s="18"/>
      <c r="T251" s="18"/>
      <c r="U251" s="18"/>
      <c r="V251" s="18"/>
      <c r="W251" s="18"/>
      <c r="X251" s="18"/>
      <c r="Y251" s="18"/>
      <c r="Z251" s="18"/>
      <c r="AA251" s="18"/>
      <c r="AB251" s="18"/>
      <c r="AC251" s="18"/>
      <c r="AD251" s="18"/>
      <c r="AE251" s="18"/>
      <c r="AF251" s="18"/>
      <c r="AG251" s="18"/>
      <c r="AH251" s="18"/>
      <c r="AI251" s="18"/>
      <c r="AJ251" s="18"/>
      <c r="AK251" s="18"/>
      <c r="AL251" s="18"/>
      <c r="AM251" s="18"/>
      <c r="AN251" s="18"/>
      <c r="AO251" s="18"/>
      <c r="AP251" s="18"/>
      <c r="AQ251" s="18"/>
      <c r="AR251" s="18"/>
      <c r="AS251" s="18"/>
      <c r="AT251" s="18"/>
      <c r="AU251" s="18"/>
      <c r="AV251" s="18"/>
      <c r="AW251" s="18"/>
      <c r="AX251" s="18"/>
      <c r="AY251" s="18"/>
      <c r="AZ251" s="18"/>
      <c r="BA251" s="18"/>
      <c r="BB251" s="18"/>
      <c r="BC251" s="18"/>
      <c r="BD251" s="18"/>
    </row>
    <row r="252" spans="1:56">
      <c r="A252" s="40"/>
      <c r="B252" s="40"/>
      <c r="C252" s="40"/>
      <c r="D252" s="40"/>
      <c r="E252" s="36"/>
      <c r="F252" s="36"/>
      <c r="G252" s="36"/>
      <c r="H252" s="36"/>
      <c r="I252" s="18"/>
      <c r="J252" s="18"/>
      <c r="K252" s="18"/>
      <c r="L252" s="18"/>
      <c r="N252" s="18"/>
      <c r="O252" s="18"/>
      <c r="P252" s="18"/>
      <c r="Q252" s="18"/>
      <c r="R252" s="18"/>
      <c r="S252" s="18"/>
      <c r="T252" s="18"/>
      <c r="U252" s="18"/>
      <c r="V252" s="18"/>
      <c r="W252" s="18"/>
      <c r="X252" s="18"/>
      <c r="Y252" s="18"/>
      <c r="Z252" s="18"/>
      <c r="AA252" s="18"/>
      <c r="AB252" s="18"/>
      <c r="AC252" s="18"/>
      <c r="AD252" s="18"/>
      <c r="AE252" s="18"/>
      <c r="AF252" s="18"/>
      <c r="AG252" s="18"/>
      <c r="AH252" s="18"/>
      <c r="AI252" s="18"/>
      <c r="AJ252" s="18"/>
      <c r="AK252" s="18"/>
      <c r="AL252" s="18"/>
      <c r="AM252" s="18"/>
      <c r="AN252" s="18"/>
      <c r="AO252" s="18"/>
      <c r="AP252" s="18"/>
      <c r="AQ252" s="18"/>
      <c r="AR252" s="18"/>
      <c r="AS252" s="18"/>
      <c r="AT252" s="18"/>
      <c r="AU252" s="18"/>
      <c r="AV252" s="18"/>
      <c r="AW252" s="18"/>
      <c r="AX252" s="18"/>
      <c r="AY252" s="18"/>
      <c r="AZ252" s="18"/>
      <c r="BA252" s="18"/>
      <c r="BB252" s="18"/>
      <c r="BC252" s="18"/>
      <c r="BD252" s="18"/>
    </row>
    <row r="253" spans="1:56">
      <c r="A253" s="40"/>
      <c r="B253" s="40"/>
      <c r="C253" s="40"/>
      <c r="D253" s="40"/>
      <c r="E253" s="36"/>
      <c r="F253" s="36"/>
      <c r="G253" s="36"/>
      <c r="H253" s="36"/>
      <c r="I253" s="18"/>
      <c r="J253" s="18"/>
      <c r="K253" s="18"/>
      <c r="L253" s="18"/>
      <c r="N253" s="18"/>
      <c r="O253" s="18"/>
      <c r="P253" s="18"/>
      <c r="Q253" s="18"/>
      <c r="R253" s="18"/>
      <c r="S253" s="18"/>
      <c r="T253" s="18"/>
      <c r="U253" s="18"/>
      <c r="V253" s="18"/>
      <c r="W253" s="18"/>
      <c r="X253" s="18"/>
      <c r="Y253" s="18"/>
      <c r="Z253" s="18"/>
      <c r="AA253" s="18"/>
      <c r="AB253" s="18"/>
      <c r="AC253" s="18"/>
      <c r="AD253" s="18"/>
      <c r="AE253" s="18"/>
      <c r="AF253" s="18"/>
      <c r="AG253" s="18"/>
      <c r="AH253" s="18"/>
      <c r="AI253" s="18"/>
      <c r="AJ253" s="18"/>
      <c r="AK253" s="18"/>
      <c r="AL253" s="18"/>
      <c r="AM253" s="18"/>
      <c r="AN253" s="18"/>
      <c r="AO253" s="18"/>
      <c r="AP253" s="18"/>
      <c r="AQ253" s="18"/>
      <c r="AR253" s="18"/>
      <c r="AS253" s="18"/>
      <c r="AT253" s="18"/>
      <c r="AU253" s="18"/>
      <c r="AV253" s="18"/>
      <c r="AW253" s="18"/>
      <c r="AX253" s="18"/>
      <c r="AY253" s="18"/>
      <c r="AZ253" s="18"/>
      <c r="BA253" s="18"/>
      <c r="BB253" s="18"/>
      <c r="BC253" s="18"/>
      <c r="BD253" s="18"/>
    </row>
    <row r="254" spans="1:56">
      <c r="A254" s="40"/>
      <c r="B254" s="40"/>
      <c r="C254" s="40"/>
      <c r="D254" s="40"/>
      <c r="E254" s="36"/>
      <c r="F254" s="36"/>
      <c r="G254" s="36"/>
      <c r="H254" s="36"/>
      <c r="I254" s="18"/>
      <c r="J254" s="18"/>
      <c r="K254" s="18"/>
      <c r="L254" s="18"/>
      <c r="N254" s="18"/>
      <c r="O254" s="18"/>
      <c r="P254" s="18"/>
      <c r="Q254" s="18"/>
      <c r="R254" s="18"/>
      <c r="S254" s="18"/>
      <c r="T254" s="18"/>
      <c r="U254" s="18"/>
      <c r="V254" s="18"/>
      <c r="W254" s="18"/>
      <c r="X254" s="18"/>
      <c r="Y254" s="18"/>
      <c r="Z254" s="18"/>
      <c r="AA254" s="18"/>
      <c r="AB254" s="18"/>
      <c r="AC254" s="18"/>
      <c r="AD254" s="18"/>
      <c r="AE254" s="18"/>
      <c r="AF254" s="18"/>
      <c r="AG254" s="18"/>
      <c r="AH254" s="18"/>
      <c r="AI254" s="18"/>
      <c r="AJ254" s="18"/>
      <c r="AK254" s="18"/>
      <c r="AL254" s="18"/>
      <c r="AM254" s="18"/>
      <c r="AN254" s="18"/>
      <c r="AO254" s="18"/>
      <c r="AP254" s="18"/>
      <c r="AQ254" s="18"/>
      <c r="AR254" s="18"/>
      <c r="AS254" s="18"/>
      <c r="AT254" s="18"/>
      <c r="AU254" s="18"/>
      <c r="AV254" s="18"/>
      <c r="AW254" s="18"/>
      <c r="AX254" s="18"/>
      <c r="AY254" s="18"/>
      <c r="AZ254" s="18"/>
      <c r="BA254" s="18"/>
      <c r="BB254" s="18"/>
      <c r="BC254" s="18"/>
      <c r="BD254" s="18"/>
    </row>
    <row r="255" spans="1:56">
      <c r="A255" s="40"/>
      <c r="B255" s="40"/>
      <c r="C255" s="40"/>
      <c r="D255" s="40"/>
      <c r="E255" s="36"/>
      <c r="F255" s="36"/>
      <c r="G255" s="36"/>
      <c r="H255" s="36"/>
      <c r="I255" s="18"/>
      <c r="J255" s="18"/>
      <c r="K255" s="18"/>
      <c r="L255" s="18"/>
      <c r="N255" s="18"/>
      <c r="O255" s="18"/>
      <c r="P255" s="18"/>
      <c r="Q255" s="18"/>
      <c r="R255" s="18"/>
      <c r="S255" s="18"/>
      <c r="T255" s="18"/>
      <c r="U255" s="18"/>
      <c r="V255" s="18"/>
      <c r="W255" s="18"/>
      <c r="X255" s="18"/>
      <c r="Y255" s="18"/>
      <c r="Z255" s="18"/>
      <c r="AA255" s="18"/>
      <c r="AB255" s="18"/>
      <c r="AC255" s="18"/>
      <c r="AD255" s="18"/>
      <c r="AE255" s="18"/>
      <c r="AF255" s="18"/>
      <c r="AG255" s="18"/>
      <c r="AH255" s="18"/>
      <c r="AI255" s="18"/>
      <c r="AJ255" s="18"/>
      <c r="AK255" s="18"/>
      <c r="AL255" s="18"/>
      <c r="AM255" s="18"/>
      <c r="AN255" s="18"/>
      <c r="AO255" s="18"/>
      <c r="AP255" s="18"/>
      <c r="AQ255" s="18"/>
      <c r="AR255" s="18"/>
      <c r="AS255" s="18"/>
      <c r="AT255" s="18"/>
      <c r="AU255" s="18"/>
      <c r="AV255" s="18"/>
      <c r="AW255" s="18"/>
      <c r="AX255" s="18"/>
      <c r="AY255" s="18"/>
      <c r="AZ255" s="18"/>
      <c r="BA255" s="18"/>
      <c r="BB255" s="18"/>
      <c r="BC255" s="18"/>
      <c r="BD255" s="18"/>
    </row>
    <row r="256" spans="1:56">
      <c r="A256" s="40"/>
      <c r="B256" s="40"/>
      <c r="C256" s="40"/>
      <c r="D256" s="40"/>
      <c r="E256" s="36"/>
      <c r="F256" s="36"/>
      <c r="G256" s="36"/>
      <c r="H256" s="36"/>
      <c r="I256" s="18"/>
      <c r="J256" s="18"/>
      <c r="K256" s="18"/>
      <c r="L256" s="18"/>
      <c r="N256" s="18"/>
      <c r="O256" s="18"/>
      <c r="P256" s="18"/>
      <c r="Q256" s="18"/>
      <c r="R256" s="18"/>
      <c r="S256" s="18"/>
      <c r="T256" s="18"/>
      <c r="U256" s="18"/>
      <c r="V256" s="18"/>
      <c r="W256" s="18"/>
      <c r="X256" s="18"/>
      <c r="Y256" s="18"/>
      <c r="Z256" s="18"/>
      <c r="AA256" s="18"/>
      <c r="AB256" s="18"/>
      <c r="AC256" s="18"/>
      <c r="AD256" s="18"/>
      <c r="AE256" s="18"/>
      <c r="AF256" s="18"/>
      <c r="AG256" s="18"/>
      <c r="AH256" s="18"/>
      <c r="AI256" s="18"/>
      <c r="AJ256" s="18"/>
      <c r="AK256" s="18"/>
      <c r="AL256" s="18"/>
      <c r="AM256" s="18"/>
      <c r="AN256" s="18"/>
      <c r="AO256" s="18"/>
      <c r="AP256" s="18"/>
      <c r="AQ256" s="18"/>
      <c r="AR256" s="18"/>
      <c r="AS256" s="18"/>
      <c r="AT256" s="18"/>
      <c r="AU256" s="18"/>
      <c r="AV256" s="18"/>
      <c r="AW256" s="18"/>
      <c r="AX256" s="18"/>
      <c r="AY256" s="18"/>
      <c r="AZ256" s="18"/>
      <c r="BA256" s="18"/>
      <c r="BB256" s="18"/>
      <c r="BC256" s="18"/>
      <c r="BD256" s="18"/>
    </row>
    <row r="257" spans="1:56">
      <c r="A257" s="40"/>
      <c r="B257" s="40"/>
      <c r="C257" s="40"/>
      <c r="D257" s="40"/>
      <c r="E257" s="36"/>
      <c r="F257" s="36"/>
      <c r="G257" s="36"/>
      <c r="H257" s="36"/>
      <c r="I257" s="18"/>
      <c r="J257" s="18"/>
      <c r="K257" s="18"/>
      <c r="L257" s="18"/>
      <c r="N257" s="18"/>
      <c r="O257" s="18"/>
      <c r="P257" s="18"/>
      <c r="Q257" s="18"/>
      <c r="R257" s="18"/>
      <c r="S257" s="18"/>
      <c r="T257" s="18"/>
      <c r="U257" s="18"/>
      <c r="V257" s="18"/>
      <c r="W257" s="18"/>
      <c r="X257" s="18"/>
      <c r="Y257" s="18"/>
      <c r="Z257" s="18"/>
      <c r="AA257" s="18"/>
      <c r="AB257" s="18"/>
      <c r="AC257" s="18"/>
      <c r="AD257" s="18"/>
      <c r="AE257" s="18"/>
      <c r="AF257" s="18"/>
      <c r="AG257" s="18"/>
      <c r="AH257" s="18"/>
      <c r="AI257" s="18"/>
      <c r="AJ257" s="18"/>
      <c r="AK257" s="18"/>
      <c r="AL257" s="18"/>
      <c r="AM257" s="18"/>
      <c r="AN257" s="18"/>
      <c r="AO257" s="18"/>
      <c r="AP257" s="18"/>
      <c r="AQ257" s="18"/>
      <c r="AR257" s="18"/>
      <c r="AS257" s="18"/>
      <c r="AT257" s="18"/>
      <c r="AU257" s="18"/>
      <c r="AV257" s="18"/>
      <c r="AW257" s="18"/>
      <c r="AX257" s="18"/>
      <c r="AY257" s="18"/>
      <c r="AZ257" s="18"/>
      <c r="BA257" s="18"/>
      <c r="BB257" s="18"/>
      <c r="BC257" s="18"/>
      <c r="BD257" s="18"/>
    </row>
    <row r="258" spans="1:56">
      <c r="A258" s="40"/>
      <c r="B258" s="40"/>
      <c r="C258" s="40"/>
      <c r="D258" s="40"/>
      <c r="E258" s="36"/>
      <c r="F258" s="36"/>
      <c r="G258" s="36"/>
      <c r="H258" s="36"/>
      <c r="I258" s="18"/>
      <c r="J258" s="18"/>
      <c r="K258" s="18"/>
      <c r="L258" s="18"/>
      <c r="N258" s="18"/>
      <c r="O258" s="18"/>
      <c r="P258" s="18"/>
      <c r="Q258" s="18"/>
      <c r="R258" s="18"/>
      <c r="S258" s="18"/>
      <c r="T258" s="18"/>
      <c r="U258" s="18"/>
      <c r="V258" s="18"/>
      <c r="W258" s="18"/>
      <c r="X258" s="18"/>
      <c r="Y258" s="18"/>
      <c r="Z258" s="18"/>
      <c r="AA258" s="18"/>
      <c r="AB258" s="18"/>
      <c r="AC258" s="18"/>
      <c r="AD258" s="18"/>
      <c r="AE258" s="18"/>
      <c r="AF258" s="18"/>
      <c r="AG258" s="18"/>
      <c r="AH258" s="18"/>
      <c r="AI258" s="18"/>
      <c r="AJ258" s="18"/>
      <c r="AK258" s="18"/>
      <c r="AL258" s="18"/>
      <c r="AM258" s="18"/>
      <c r="AN258" s="18"/>
      <c r="AO258" s="18"/>
      <c r="AP258" s="18"/>
      <c r="AQ258" s="18"/>
      <c r="AR258" s="18"/>
      <c r="AS258" s="18"/>
      <c r="AT258" s="18"/>
      <c r="AU258" s="18"/>
      <c r="AV258" s="18"/>
      <c r="AW258" s="18"/>
      <c r="AX258" s="18"/>
      <c r="AY258" s="18"/>
      <c r="AZ258" s="18"/>
      <c r="BA258" s="18"/>
      <c r="BB258" s="18"/>
      <c r="BC258" s="18"/>
      <c r="BD258" s="18"/>
    </row>
    <row r="259" spans="1:56">
      <c r="A259" s="40"/>
      <c r="B259" s="40"/>
      <c r="C259" s="40"/>
      <c r="D259" s="40"/>
      <c r="E259" s="36"/>
      <c r="F259" s="36"/>
      <c r="G259" s="36"/>
      <c r="H259" s="36"/>
      <c r="I259" s="18"/>
      <c r="J259" s="18"/>
      <c r="K259" s="18"/>
      <c r="L259" s="18"/>
      <c r="N259" s="18"/>
      <c r="O259" s="18"/>
      <c r="P259" s="18"/>
      <c r="Q259" s="18"/>
      <c r="R259" s="18"/>
      <c r="S259" s="18"/>
      <c r="T259" s="18"/>
      <c r="U259" s="18"/>
      <c r="V259" s="18"/>
      <c r="W259" s="18"/>
      <c r="X259" s="18"/>
      <c r="Y259" s="18"/>
      <c r="Z259" s="18"/>
      <c r="AA259" s="18"/>
      <c r="AB259" s="18"/>
      <c r="AC259" s="18"/>
      <c r="AD259" s="18"/>
      <c r="AE259" s="18"/>
      <c r="AF259" s="18"/>
      <c r="AG259" s="18"/>
      <c r="AH259" s="18"/>
      <c r="AI259" s="18"/>
      <c r="AJ259" s="18"/>
      <c r="AK259" s="18"/>
      <c r="AL259" s="18"/>
      <c r="AM259" s="18"/>
      <c r="AN259" s="18"/>
      <c r="AO259" s="18"/>
      <c r="AP259" s="18"/>
      <c r="AQ259" s="18"/>
      <c r="AR259" s="18"/>
      <c r="AS259" s="18"/>
      <c r="AT259" s="18"/>
      <c r="AU259" s="18"/>
      <c r="AV259" s="18"/>
      <c r="AW259" s="18"/>
      <c r="AX259" s="18"/>
      <c r="AY259" s="18"/>
      <c r="AZ259" s="18"/>
      <c r="BA259" s="18"/>
      <c r="BB259" s="18"/>
      <c r="BC259" s="18"/>
      <c r="BD259" s="18"/>
    </row>
    <row r="260" spans="1:56">
      <c r="A260" s="40"/>
      <c r="B260" s="40"/>
      <c r="C260" s="40"/>
      <c r="D260" s="40"/>
      <c r="E260" s="36"/>
      <c r="F260" s="36"/>
      <c r="G260" s="36"/>
      <c r="H260" s="36"/>
      <c r="I260" s="18"/>
      <c r="J260" s="18"/>
      <c r="K260" s="18"/>
      <c r="L260" s="18"/>
      <c r="N260" s="18"/>
      <c r="O260" s="18"/>
      <c r="P260" s="18"/>
      <c r="Q260" s="18"/>
      <c r="R260" s="18"/>
      <c r="S260" s="18"/>
      <c r="T260" s="18"/>
      <c r="U260" s="18"/>
      <c r="V260" s="18"/>
      <c r="W260" s="18"/>
      <c r="X260" s="18"/>
      <c r="Y260" s="18"/>
      <c r="Z260" s="18"/>
      <c r="AA260" s="18"/>
      <c r="AB260" s="18"/>
      <c r="AC260" s="18"/>
      <c r="AD260" s="18"/>
      <c r="AE260" s="18"/>
      <c r="AF260" s="18"/>
      <c r="AG260" s="18"/>
      <c r="AH260" s="18"/>
      <c r="AI260" s="18"/>
      <c r="AJ260" s="18"/>
      <c r="AK260" s="18"/>
      <c r="AL260" s="18"/>
      <c r="AM260" s="18"/>
      <c r="AN260" s="18"/>
      <c r="AO260" s="18"/>
      <c r="AP260" s="18"/>
      <c r="AQ260" s="18"/>
      <c r="AR260" s="18"/>
      <c r="AS260" s="18"/>
      <c r="AT260" s="18"/>
      <c r="AU260" s="18"/>
      <c r="AV260" s="18"/>
      <c r="AW260" s="18"/>
      <c r="AX260" s="18"/>
      <c r="AY260" s="18"/>
      <c r="AZ260" s="18"/>
      <c r="BA260" s="18"/>
      <c r="BB260" s="18"/>
      <c r="BC260" s="18"/>
      <c r="BD260" s="18"/>
    </row>
    <row r="261" spans="1:56">
      <c r="A261" s="40"/>
      <c r="B261" s="40"/>
      <c r="C261" s="40"/>
      <c r="D261" s="40"/>
      <c r="E261" s="36"/>
      <c r="F261" s="36"/>
      <c r="G261" s="36"/>
      <c r="H261" s="36"/>
      <c r="I261" s="18"/>
      <c r="J261" s="18"/>
      <c r="K261" s="18"/>
      <c r="L261" s="18"/>
      <c r="N261" s="18"/>
      <c r="O261" s="18"/>
      <c r="P261" s="18"/>
      <c r="Q261" s="18"/>
      <c r="R261" s="18"/>
      <c r="S261" s="18"/>
      <c r="T261" s="18"/>
      <c r="U261" s="18"/>
      <c r="V261" s="18"/>
      <c r="W261" s="18"/>
      <c r="X261" s="18"/>
      <c r="Y261" s="18"/>
      <c r="Z261" s="18"/>
      <c r="AA261" s="18"/>
      <c r="AB261" s="18"/>
      <c r="AC261" s="18"/>
      <c r="AD261" s="18"/>
      <c r="AE261" s="18"/>
      <c r="AF261" s="18"/>
      <c r="AG261" s="18"/>
      <c r="AH261" s="18"/>
      <c r="AI261" s="18"/>
      <c r="AJ261" s="18"/>
      <c r="AK261" s="18"/>
      <c r="AL261" s="18"/>
      <c r="AM261" s="18"/>
      <c r="AN261" s="18"/>
      <c r="AO261" s="18"/>
      <c r="AP261" s="18"/>
      <c r="AQ261" s="18"/>
      <c r="AR261" s="18"/>
      <c r="AS261" s="18"/>
      <c r="AT261" s="18"/>
      <c r="AU261" s="18"/>
      <c r="AV261" s="18"/>
      <c r="AW261" s="18"/>
      <c r="AX261" s="18"/>
      <c r="AY261" s="18"/>
      <c r="AZ261" s="18"/>
      <c r="BA261" s="18"/>
      <c r="BB261" s="18"/>
      <c r="BC261" s="18"/>
      <c r="BD261" s="18"/>
    </row>
    <row r="262" spans="1:56">
      <c r="A262" s="40"/>
      <c r="B262" s="40"/>
      <c r="C262" s="40"/>
      <c r="D262" s="40"/>
      <c r="E262" s="36"/>
      <c r="F262" s="36"/>
      <c r="G262" s="36"/>
      <c r="H262" s="36"/>
      <c r="I262" s="18"/>
      <c r="J262" s="18"/>
      <c r="K262" s="18"/>
      <c r="L262" s="18"/>
      <c r="N262" s="18"/>
      <c r="O262" s="18"/>
      <c r="P262" s="18"/>
      <c r="Q262" s="18"/>
      <c r="R262" s="18"/>
      <c r="S262" s="18"/>
      <c r="T262" s="18"/>
      <c r="U262" s="18"/>
      <c r="V262" s="18"/>
      <c r="W262" s="18"/>
      <c r="X262" s="18"/>
      <c r="Y262" s="18"/>
      <c r="Z262" s="18"/>
      <c r="AA262" s="18"/>
      <c r="AB262" s="18"/>
      <c r="AC262" s="18"/>
      <c r="AD262" s="18"/>
      <c r="AE262" s="18"/>
      <c r="AF262" s="18"/>
      <c r="AG262" s="18"/>
      <c r="AH262" s="18"/>
      <c r="AI262" s="18"/>
      <c r="AJ262" s="18"/>
      <c r="AK262" s="18"/>
      <c r="AL262" s="18"/>
      <c r="AM262" s="18"/>
      <c r="AN262" s="18"/>
      <c r="AO262" s="18"/>
      <c r="AP262" s="18"/>
      <c r="AQ262" s="18"/>
      <c r="AR262" s="18"/>
      <c r="AS262" s="18"/>
      <c r="AT262" s="18"/>
      <c r="AU262" s="18"/>
      <c r="AV262" s="18"/>
      <c r="AW262" s="18"/>
      <c r="AX262" s="18"/>
      <c r="AY262" s="18"/>
      <c r="AZ262" s="18"/>
      <c r="BA262" s="18"/>
      <c r="BB262" s="18"/>
      <c r="BC262" s="18"/>
      <c r="BD262" s="18"/>
    </row>
    <row r="263" spans="1:56">
      <c r="A263" s="40"/>
      <c r="B263" s="40"/>
      <c r="C263" s="40"/>
      <c r="D263" s="40"/>
      <c r="E263" s="36"/>
      <c r="F263" s="36"/>
      <c r="G263" s="36"/>
      <c r="H263" s="36"/>
      <c r="I263" s="18"/>
      <c r="J263" s="18"/>
      <c r="K263" s="18"/>
      <c r="L263" s="18"/>
      <c r="N263" s="18"/>
      <c r="O263" s="18"/>
      <c r="P263" s="18"/>
      <c r="Q263" s="18"/>
      <c r="R263" s="18"/>
      <c r="S263" s="18"/>
      <c r="T263" s="18"/>
      <c r="U263" s="18"/>
      <c r="V263" s="18"/>
      <c r="W263" s="18"/>
      <c r="X263" s="18"/>
      <c r="Y263" s="18"/>
      <c r="Z263" s="18"/>
      <c r="AA263" s="18"/>
      <c r="AB263" s="18"/>
      <c r="AC263" s="18"/>
      <c r="AD263" s="18"/>
      <c r="AE263" s="18"/>
      <c r="AF263" s="18"/>
      <c r="AG263" s="18"/>
      <c r="AH263" s="18"/>
      <c r="AI263" s="18"/>
      <c r="AJ263" s="18"/>
      <c r="AK263" s="18"/>
      <c r="AL263" s="18"/>
      <c r="AM263" s="18"/>
      <c r="AN263" s="18"/>
      <c r="AO263" s="18"/>
      <c r="AP263" s="18"/>
      <c r="AQ263" s="18"/>
      <c r="AR263" s="18"/>
      <c r="AS263" s="18"/>
      <c r="AT263" s="18"/>
      <c r="AU263" s="18"/>
      <c r="AV263" s="18"/>
      <c r="AW263" s="18"/>
      <c r="AX263" s="18"/>
      <c r="AY263" s="18"/>
      <c r="AZ263" s="18"/>
      <c r="BA263" s="18"/>
      <c r="BB263" s="18"/>
      <c r="BC263" s="18"/>
      <c r="BD263" s="18"/>
    </row>
    <row r="264" spans="1:56">
      <c r="A264" s="40"/>
      <c r="B264" s="40"/>
      <c r="C264" s="40"/>
      <c r="D264" s="40"/>
      <c r="E264" s="36"/>
      <c r="F264" s="36"/>
      <c r="G264" s="36"/>
      <c r="H264" s="36"/>
      <c r="I264" s="18"/>
      <c r="J264" s="18"/>
      <c r="K264" s="18"/>
      <c r="L264" s="18"/>
      <c r="N264" s="18"/>
      <c r="O264" s="18"/>
      <c r="P264" s="18"/>
      <c r="Q264" s="18"/>
      <c r="R264" s="18"/>
      <c r="S264" s="18"/>
      <c r="T264" s="18"/>
      <c r="U264" s="18"/>
      <c r="V264" s="18"/>
      <c r="W264" s="18"/>
      <c r="X264" s="18"/>
      <c r="Y264" s="18"/>
      <c r="Z264" s="18"/>
      <c r="AA264" s="18"/>
      <c r="AB264" s="18"/>
      <c r="AC264" s="18"/>
      <c r="AD264" s="18"/>
      <c r="AE264" s="18"/>
      <c r="AF264" s="18"/>
      <c r="AG264" s="18"/>
      <c r="AH264" s="18"/>
      <c r="AI264" s="18"/>
      <c r="AJ264" s="18"/>
      <c r="AK264" s="18"/>
      <c r="AL264" s="18"/>
      <c r="AM264" s="18"/>
      <c r="AN264" s="18"/>
      <c r="AO264" s="18"/>
      <c r="AP264" s="18"/>
      <c r="AQ264" s="18"/>
      <c r="AR264" s="18"/>
      <c r="AS264" s="18"/>
      <c r="AT264" s="18"/>
      <c r="AU264" s="18"/>
      <c r="AV264" s="18"/>
      <c r="AW264" s="18"/>
      <c r="AX264" s="18"/>
      <c r="AY264" s="18"/>
      <c r="AZ264" s="18"/>
      <c r="BA264" s="18"/>
      <c r="BB264" s="18"/>
      <c r="BC264" s="18"/>
      <c r="BD264" s="18"/>
    </row>
    <row r="265" spans="1:56">
      <c r="A265" s="40"/>
      <c r="B265" s="40"/>
      <c r="C265" s="40"/>
      <c r="D265" s="40"/>
      <c r="E265" s="36"/>
      <c r="F265" s="36"/>
      <c r="G265" s="36"/>
      <c r="H265" s="36"/>
      <c r="I265" s="18"/>
      <c r="J265" s="18"/>
      <c r="K265" s="18"/>
      <c r="L265" s="18"/>
      <c r="N265" s="18"/>
      <c r="O265" s="18"/>
      <c r="P265" s="18"/>
      <c r="Q265" s="18"/>
      <c r="R265" s="18"/>
      <c r="S265" s="18"/>
      <c r="T265" s="18"/>
      <c r="U265" s="18"/>
      <c r="V265" s="18"/>
      <c r="W265" s="18"/>
      <c r="X265" s="18"/>
      <c r="Y265" s="18"/>
      <c r="Z265" s="18"/>
      <c r="AA265" s="18"/>
      <c r="AB265" s="18"/>
      <c r="AC265" s="18"/>
      <c r="AD265" s="18"/>
      <c r="AE265" s="18"/>
      <c r="AF265" s="18"/>
      <c r="AG265" s="18"/>
      <c r="AH265" s="18"/>
      <c r="AI265" s="18"/>
      <c r="AJ265" s="18"/>
      <c r="AK265" s="18"/>
      <c r="AL265" s="18"/>
      <c r="AM265" s="18"/>
      <c r="AN265" s="18"/>
      <c r="AO265" s="18"/>
      <c r="AP265" s="18"/>
      <c r="AQ265" s="18"/>
      <c r="AR265" s="18"/>
      <c r="AS265" s="18"/>
      <c r="AT265" s="18"/>
      <c r="AU265" s="18"/>
      <c r="AV265" s="18"/>
      <c r="AW265" s="18"/>
      <c r="AX265" s="18"/>
      <c r="AY265" s="18"/>
      <c r="AZ265" s="18"/>
      <c r="BA265" s="18"/>
      <c r="BB265" s="18"/>
      <c r="BC265" s="18"/>
      <c r="BD265" s="18"/>
    </row>
    <row r="266" spans="1:56">
      <c r="A266" s="40"/>
      <c r="B266" s="40"/>
      <c r="C266" s="40"/>
      <c r="D266" s="40"/>
      <c r="E266" s="36"/>
      <c r="F266" s="36"/>
      <c r="G266" s="36"/>
      <c r="H266" s="36"/>
      <c r="I266" s="18"/>
      <c r="J266" s="18"/>
      <c r="K266" s="18"/>
      <c r="L266" s="18"/>
      <c r="N266" s="18"/>
      <c r="O266" s="18"/>
      <c r="P266" s="18"/>
      <c r="Q266" s="18"/>
      <c r="R266" s="18"/>
      <c r="S266" s="18"/>
      <c r="T266" s="18"/>
      <c r="U266" s="18"/>
      <c r="V266" s="18"/>
      <c r="W266" s="18"/>
      <c r="X266" s="18"/>
      <c r="Y266" s="18"/>
      <c r="Z266" s="18"/>
      <c r="AA266" s="18"/>
      <c r="AB266" s="18"/>
      <c r="AC266" s="18"/>
      <c r="AD266" s="18"/>
      <c r="AE266" s="18"/>
      <c r="AF266" s="18"/>
      <c r="AG266" s="18"/>
      <c r="AH266" s="18"/>
      <c r="AI266" s="18"/>
      <c r="AJ266" s="18"/>
      <c r="AK266" s="18"/>
      <c r="AL266" s="18"/>
      <c r="AM266" s="18"/>
      <c r="AN266" s="18"/>
      <c r="AO266" s="18"/>
      <c r="AP266" s="18"/>
      <c r="AQ266" s="18"/>
      <c r="AR266" s="18"/>
      <c r="AS266" s="18"/>
      <c r="AT266" s="18"/>
      <c r="AU266" s="18"/>
      <c r="AV266" s="18"/>
      <c r="AW266" s="18"/>
      <c r="AX266" s="18"/>
      <c r="AY266" s="18"/>
      <c r="AZ266" s="18"/>
      <c r="BA266" s="18"/>
      <c r="BB266" s="18"/>
      <c r="BC266" s="18"/>
      <c r="BD266" s="18"/>
    </row>
    <row r="267" spans="1:56">
      <c r="A267" s="40"/>
      <c r="B267" s="40"/>
      <c r="C267" s="40"/>
      <c r="D267" s="40"/>
      <c r="E267" s="36"/>
      <c r="F267" s="36"/>
      <c r="G267" s="36"/>
      <c r="H267" s="36"/>
      <c r="I267" s="18"/>
      <c r="J267" s="18"/>
      <c r="K267" s="18"/>
      <c r="L267" s="18"/>
      <c r="N267" s="18"/>
      <c r="O267" s="18"/>
      <c r="P267" s="18"/>
      <c r="Q267" s="18"/>
      <c r="R267" s="18"/>
      <c r="S267" s="18"/>
      <c r="T267" s="18"/>
      <c r="U267" s="18"/>
      <c r="V267" s="18"/>
      <c r="W267" s="18"/>
      <c r="X267" s="18"/>
      <c r="Y267" s="18"/>
      <c r="Z267" s="18"/>
      <c r="AA267" s="18"/>
      <c r="AB267" s="18"/>
      <c r="AC267" s="18"/>
      <c r="AD267" s="18"/>
      <c r="AE267" s="18"/>
      <c r="AF267" s="18"/>
      <c r="AG267" s="18"/>
      <c r="AH267" s="18"/>
      <c r="AI267" s="18"/>
      <c r="AJ267" s="18"/>
      <c r="AK267" s="18"/>
      <c r="AL267" s="18"/>
      <c r="AM267" s="18"/>
      <c r="AN267" s="18"/>
      <c r="AO267" s="18"/>
      <c r="AP267" s="18"/>
      <c r="AQ267" s="18"/>
      <c r="AR267" s="18"/>
      <c r="AS267" s="18"/>
      <c r="AT267" s="18"/>
      <c r="AU267" s="18"/>
      <c r="AV267" s="18"/>
      <c r="AW267" s="18"/>
      <c r="AX267" s="18"/>
      <c r="AY267" s="18"/>
      <c r="AZ267" s="18"/>
      <c r="BA267" s="18"/>
      <c r="BB267" s="18"/>
      <c r="BC267" s="18"/>
      <c r="BD267" s="18"/>
    </row>
    <row r="268" spans="1:56">
      <c r="A268" s="40"/>
      <c r="B268" s="40"/>
      <c r="C268" s="40"/>
      <c r="D268" s="40"/>
      <c r="E268" s="36"/>
      <c r="F268" s="36"/>
      <c r="G268" s="36"/>
      <c r="H268" s="36"/>
      <c r="I268" s="18"/>
      <c r="J268" s="18"/>
      <c r="K268" s="18"/>
      <c r="L268" s="18"/>
      <c r="N268" s="18"/>
      <c r="O268" s="18"/>
      <c r="P268" s="18"/>
      <c r="Q268" s="18"/>
      <c r="R268" s="18"/>
      <c r="S268" s="18"/>
      <c r="T268" s="18"/>
      <c r="U268" s="18"/>
      <c r="V268" s="18"/>
      <c r="W268" s="18"/>
      <c r="X268" s="18"/>
      <c r="Y268" s="18"/>
      <c r="Z268" s="18"/>
      <c r="AA268" s="18"/>
      <c r="AB268" s="18"/>
      <c r="AC268" s="18"/>
      <c r="AD268" s="18"/>
      <c r="AE268" s="18"/>
      <c r="AF268" s="18"/>
      <c r="AG268" s="18"/>
      <c r="AH268" s="18"/>
      <c r="AI268" s="18"/>
      <c r="AJ268" s="18"/>
      <c r="AK268" s="18"/>
      <c r="AL268" s="18"/>
      <c r="AM268" s="18"/>
      <c r="AN268" s="18"/>
      <c r="AO268" s="18"/>
      <c r="AP268" s="18"/>
      <c r="AQ268" s="18"/>
      <c r="AR268" s="18"/>
      <c r="AS268" s="18"/>
      <c r="AT268" s="18"/>
      <c r="AU268" s="18"/>
      <c r="AV268" s="18"/>
      <c r="AW268" s="18"/>
      <c r="AX268" s="18"/>
      <c r="AY268" s="18"/>
      <c r="AZ268" s="18"/>
      <c r="BA268" s="18"/>
      <c r="BB268" s="18"/>
      <c r="BC268" s="18"/>
      <c r="BD268" s="18"/>
    </row>
    <row r="269" spans="1:56">
      <c r="A269" s="40"/>
      <c r="B269" s="40"/>
      <c r="C269" s="40"/>
      <c r="D269" s="40"/>
      <c r="E269" s="36"/>
      <c r="F269" s="36"/>
      <c r="G269" s="36"/>
      <c r="H269" s="36"/>
      <c r="I269" s="18"/>
      <c r="J269" s="18"/>
      <c r="K269" s="18"/>
      <c r="L269" s="18"/>
      <c r="N269" s="18"/>
      <c r="O269" s="18"/>
      <c r="P269" s="18"/>
      <c r="Q269" s="18"/>
      <c r="R269" s="18"/>
      <c r="S269" s="18"/>
      <c r="T269" s="18"/>
      <c r="U269" s="18"/>
      <c r="V269" s="18"/>
      <c r="W269" s="18"/>
      <c r="X269" s="18"/>
      <c r="Y269" s="18"/>
      <c r="Z269" s="18"/>
      <c r="AA269" s="18"/>
      <c r="AB269" s="18"/>
      <c r="AC269" s="18"/>
      <c r="AD269" s="18"/>
      <c r="AE269" s="18"/>
      <c r="AF269" s="18"/>
      <c r="AG269" s="18"/>
      <c r="AH269" s="18"/>
      <c r="AI269" s="18"/>
      <c r="AJ269" s="18"/>
      <c r="AK269" s="18"/>
      <c r="AL269" s="18"/>
      <c r="AM269" s="18"/>
      <c r="AN269" s="18"/>
      <c r="AO269" s="18"/>
      <c r="AP269" s="18"/>
      <c r="AQ269" s="18"/>
      <c r="AR269" s="18"/>
      <c r="AS269" s="18"/>
      <c r="AT269" s="18"/>
      <c r="AU269" s="18"/>
      <c r="AV269" s="18"/>
      <c r="AW269" s="18"/>
      <c r="AX269" s="18"/>
      <c r="AY269" s="18"/>
      <c r="AZ269" s="18"/>
      <c r="BA269" s="18"/>
      <c r="BB269" s="18"/>
      <c r="BC269" s="18"/>
      <c r="BD269" s="18"/>
    </row>
    <row r="270" spans="1:56">
      <c r="A270" s="40"/>
      <c r="B270" s="40"/>
      <c r="C270" s="40"/>
      <c r="D270" s="40"/>
      <c r="E270" s="36"/>
      <c r="F270" s="36"/>
      <c r="G270" s="36"/>
      <c r="H270" s="36"/>
      <c r="I270" s="18"/>
      <c r="J270" s="18"/>
      <c r="K270" s="18"/>
      <c r="L270" s="18"/>
      <c r="N270" s="18"/>
      <c r="O270" s="18"/>
      <c r="P270" s="18"/>
      <c r="Q270" s="18"/>
      <c r="R270" s="18"/>
      <c r="S270" s="18"/>
      <c r="T270" s="18"/>
      <c r="U270" s="18"/>
      <c r="V270" s="18"/>
      <c r="W270" s="18"/>
      <c r="X270" s="18"/>
      <c r="Y270" s="18"/>
      <c r="Z270" s="18"/>
      <c r="AA270" s="18"/>
      <c r="AB270" s="18"/>
      <c r="AC270" s="18"/>
      <c r="AD270" s="18"/>
      <c r="AE270" s="18"/>
      <c r="AF270" s="18"/>
      <c r="AG270" s="18"/>
      <c r="AH270" s="18"/>
      <c r="AI270" s="18"/>
      <c r="AJ270" s="18"/>
      <c r="AK270" s="18"/>
      <c r="AL270" s="18"/>
      <c r="AM270" s="18"/>
      <c r="AN270" s="18"/>
      <c r="AO270" s="18"/>
      <c r="AP270" s="18"/>
      <c r="AQ270" s="18"/>
      <c r="AR270" s="18"/>
      <c r="AS270" s="18"/>
      <c r="AT270" s="18"/>
      <c r="AU270" s="18"/>
      <c r="AV270" s="18"/>
      <c r="AW270" s="18"/>
      <c r="AX270" s="18"/>
      <c r="AY270" s="18"/>
      <c r="AZ270" s="18"/>
      <c r="BA270" s="18"/>
      <c r="BB270" s="18"/>
      <c r="BC270" s="18"/>
      <c r="BD270" s="18"/>
    </row>
    <row r="271" spans="1:56">
      <c r="A271" s="40"/>
      <c r="B271" s="40"/>
      <c r="C271" s="40"/>
      <c r="D271" s="40"/>
      <c r="E271" s="36"/>
      <c r="F271" s="36"/>
      <c r="G271" s="36"/>
      <c r="H271" s="36"/>
      <c r="I271" s="18"/>
      <c r="J271" s="18"/>
      <c r="K271" s="18"/>
      <c r="L271" s="18"/>
      <c r="N271" s="18"/>
      <c r="O271" s="18"/>
      <c r="P271" s="18"/>
      <c r="Q271" s="18"/>
      <c r="R271" s="18"/>
      <c r="S271" s="18"/>
      <c r="T271" s="18"/>
      <c r="U271" s="18"/>
      <c r="V271" s="18"/>
      <c r="W271" s="18"/>
      <c r="X271" s="18"/>
      <c r="Y271" s="18"/>
      <c r="Z271" s="18"/>
      <c r="AA271" s="18"/>
      <c r="AB271" s="18"/>
      <c r="AC271" s="18"/>
      <c r="AD271" s="18"/>
      <c r="AE271" s="18"/>
      <c r="AF271" s="18"/>
      <c r="AG271" s="18"/>
      <c r="AH271" s="18"/>
      <c r="AI271" s="18"/>
      <c r="AJ271" s="18"/>
      <c r="AK271" s="18"/>
      <c r="AL271" s="18"/>
      <c r="AM271" s="18"/>
      <c r="AN271" s="18"/>
      <c r="AO271" s="18"/>
      <c r="AP271" s="18"/>
      <c r="AQ271" s="18"/>
      <c r="AR271" s="18"/>
      <c r="AS271" s="18"/>
      <c r="AT271" s="18"/>
      <c r="AU271" s="18"/>
      <c r="AV271" s="18"/>
      <c r="AW271" s="18"/>
      <c r="AX271" s="18"/>
      <c r="AY271" s="18"/>
      <c r="AZ271" s="18"/>
      <c r="BA271" s="18"/>
      <c r="BB271" s="18"/>
      <c r="BC271" s="18"/>
      <c r="BD271" s="18"/>
    </row>
    <row r="272" spans="1:56">
      <c r="A272" s="40"/>
      <c r="B272" s="40"/>
      <c r="C272" s="40"/>
      <c r="D272" s="40"/>
      <c r="E272" s="36"/>
      <c r="F272" s="36"/>
      <c r="G272" s="36"/>
      <c r="H272" s="36"/>
      <c r="I272" s="18"/>
      <c r="J272" s="18"/>
      <c r="K272" s="18"/>
      <c r="L272" s="18"/>
      <c r="N272" s="18"/>
      <c r="O272" s="18"/>
      <c r="P272" s="18"/>
      <c r="Q272" s="18"/>
      <c r="R272" s="18"/>
      <c r="S272" s="18"/>
      <c r="T272" s="18"/>
      <c r="U272" s="18"/>
      <c r="V272" s="18"/>
      <c r="W272" s="18"/>
      <c r="X272" s="18"/>
      <c r="Y272" s="18"/>
      <c r="Z272" s="18"/>
      <c r="AA272" s="18"/>
      <c r="AB272" s="18"/>
      <c r="AC272" s="18"/>
      <c r="AD272" s="18"/>
      <c r="AE272" s="18"/>
      <c r="AF272" s="18"/>
      <c r="AG272" s="18"/>
      <c r="AH272" s="18"/>
      <c r="AI272" s="18"/>
      <c r="AJ272" s="18"/>
      <c r="AK272" s="18"/>
      <c r="AL272" s="18"/>
      <c r="AM272" s="18"/>
      <c r="AN272" s="18"/>
      <c r="AO272" s="18"/>
      <c r="AP272" s="18"/>
      <c r="AQ272" s="18"/>
      <c r="AR272" s="18"/>
      <c r="AS272" s="18"/>
      <c r="AT272" s="18"/>
      <c r="AU272" s="18"/>
      <c r="AV272" s="18"/>
      <c r="AW272" s="18"/>
      <c r="AX272" s="18"/>
      <c r="AY272" s="18"/>
      <c r="AZ272" s="18"/>
      <c r="BA272" s="18"/>
      <c r="BB272" s="18"/>
      <c r="BC272" s="18"/>
      <c r="BD272" s="18"/>
    </row>
    <row r="273" spans="1:56">
      <c r="A273" s="40"/>
      <c r="B273" s="40"/>
      <c r="C273" s="40"/>
      <c r="D273" s="40"/>
      <c r="E273" s="36"/>
      <c r="F273" s="36"/>
      <c r="G273" s="36"/>
      <c r="H273" s="36"/>
      <c r="I273" s="18"/>
      <c r="J273" s="18"/>
      <c r="K273" s="18"/>
      <c r="L273" s="18"/>
      <c r="N273" s="18"/>
      <c r="O273" s="18"/>
      <c r="P273" s="18"/>
      <c r="Q273" s="18"/>
      <c r="R273" s="18"/>
      <c r="S273" s="18"/>
      <c r="T273" s="18"/>
      <c r="U273" s="18"/>
      <c r="V273" s="18"/>
      <c r="W273" s="18"/>
      <c r="X273" s="18"/>
      <c r="Y273" s="18"/>
      <c r="Z273" s="18"/>
      <c r="AA273" s="18"/>
      <c r="AB273" s="18"/>
      <c r="AC273" s="18"/>
      <c r="AD273" s="18"/>
      <c r="AE273" s="18"/>
      <c r="AF273" s="18"/>
      <c r="AG273" s="18"/>
      <c r="AH273" s="18"/>
      <c r="AI273" s="18"/>
      <c r="AJ273" s="18"/>
      <c r="AK273" s="18"/>
      <c r="AL273" s="18"/>
      <c r="AM273" s="18"/>
      <c r="AN273" s="18"/>
      <c r="AO273" s="18"/>
      <c r="AP273" s="18"/>
      <c r="AQ273" s="18"/>
      <c r="AR273" s="18"/>
      <c r="AS273" s="18"/>
      <c r="AT273" s="18"/>
      <c r="AU273" s="18"/>
      <c r="AV273" s="18"/>
      <c r="AW273" s="18"/>
      <c r="AX273" s="18"/>
      <c r="AY273" s="18"/>
      <c r="AZ273" s="18"/>
      <c r="BA273" s="18"/>
      <c r="BB273" s="18"/>
      <c r="BC273" s="18"/>
      <c r="BD273" s="18"/>
    </row>
    <row r="274" spans="1:56">
      <c r="A274" s="40"/>
      <c r="B274" s="40"/>
      <c r="C274" s="40"/>
      <c r="D274" s="40"/>
      <c r="E274" s="36"/>
      <c r="F274" s="36"/>
      <c r="G274" s="36"/>
      <c r="H274" s="36"/>
      <c r="I274" s="18"/>
      <c r="J274" s="18"/>
      <c r="K274" s="18"/>
      <c r="L274" s="18"/>
      <c r="N274" s="18"/>
      <c r="O274" s="18"/>
      <c r="P274" s="18"/>
      <c r="Q274" s="18"/>
      <c r="R274" s="18"/>
      <c r="S274" s="18"/>
      <c r="T274" s="18"/>
      <c r="U274" s="18"/>
      <c r="V274" s="18"/>
      <c r="W274" s="18"/>
      <c r="X274" s="18"/>
      <c r="Y274" s="18"/>
      <c r="Z274" s="18"/>
      <c r="AA274" s="18"/>
      <c r="AB274" s="18"/>
      <c r="AC274" s="18"/>
      <c r="AD274" s="18"/>
      <c r="AE274" s="18"/>
      <c r="AF274" s="18"/>
      <c r="AG274" s="18"/>
      <c r="AH274" s="18"/>
      <c r="AI274" s="18"/>
      <c r="AJ274" s="18"/>
      <c r="AK274" s="18"/>
      <c r="AL274" s="18"/>
      <c r="AM274" s="18"/>
      <c r="AN274" s="18"/>
      <c r="AO274" s="18"/>
      <c r="AP274" s="18"/>
      <c r="AQ274" s="18"/>
      <c r="AR274" s="18"/>
      <c r="AS274" s="18"/>
      <c r="AT274" s="18"/>
      <c r="AU274" s="18"/>
      <c r="AV274" s="18"/>
      <c r="AW274" s="18"/>
      <c r="AX274" s="18"/>
      <c r="AY274" s="18"/>
      <c r="AZ274" s="18"/>
      <c r="BA274" s="18"/>
      <c r="BB274" s="18"/>
      <c r="BC274" s="18"/>
      <c r="BD274" s="18"/>
    </row>
    <row r="275" spans="1:56">
      <c r="A275" s="40"/>
      <c r="B275" s="40"/>
      <c r="C275" s="40"/>
      <c r="D275" s="40"/>
      <c r="E275" s="36"/>
      <c r="F275" s="36"/>
      <c r="G275" s="36"/>
      <c r="H275" s="36"/>
      <c r="I275" s="18"/>
      <c r="J275" s="18"/>
      <c r="K275" s="18"/>
      <c r="L275" s="18"/>
      <c r="N275" s="18"/>
      <c r="O275" s="18"/>
      <c r="P275" s="18"/>
      <c r="Q275" s="18"/>
      <c r="R275" s="18"/>
      <c r="S275" s="18"/>
      <c r="T275" s="18"/>
      <c r="U275" s="18"/>
      <c r="V275" s="18"/>
      <c r="W275" s="18"/>
      <c r="X275" s="18"/>
      <c r="Y275" s="18"/>
      <c r="Z275" s="18"/>
      <c r="AA275" s="18"/>
      <c r="AB275" s="18"/>
      <c r="AC275" s="18"/>
      <c r="AD275" s="18"/>
      <c r="AE275" s="18"/>
      <c r="AF275" s="18"/>
      <c r="AG275" s="18"/>
      <c r="AH275" s="18"/>
      <c r="AI275" s="18"/>
      <c r="AJ275" s="18"/>
      <c r="AK275" s="18"/>
      <c r="AL275" s="18"/>
      <c r="AM275" s="18"/>
      <c r="AN275" s="18"/>
      <c r="AO275" s="18"/>
      <c r="AP275" s="18"/>
      <c r="AQ275" s="18"/>
      <c r="AR275" s="18"/>
      <c r="AS275" s="18"/>
      <c r="AT275" s="18"/>
      <c r="AU275" s="18"/>
      <c r="AV275" s="18"/>
      <c r="AW275" s="18"/>
      <c r="AX275" s="18"/>
      <c r="AY275" s="18"/>
      <c r="AZ275" s="18"/>
      <c r="BA275" s="18"/>
      <c r="BB275" s="18"/>
      <c r="BC275" s="18"/>
      <c r="BD275" s="18"/>
    </row>
    <row r="276" spans="1:56">
      <c r="A276" s="40"/>
      <c r="B276" s="40"/>
      <c r="C276" s="40"/>
      <c r="D276" s="40"/>
      <c r="E276" s="36"/>
      <c r="F276" s="36"/>
      <c r="G276" s="36"/>
      <c r="H276" s="36"/>
      <c r="M276"/>
    </row>
    <row r="277" spans="1:56">
      <c r="A277" s="40"/>
      <c r="B277" s="40"/>
      <c r="C277" s="40"/>
      <c r="D277" s="40"/>
      <c r="E277" s="36"/>
      <c r="F277" s="36"/>
      <c r="G277" s="36"/>
      <c r="H277" s="36"/>
      <c r="M277"/>
    </row>
    <row r="278" spans="1:56">
      <c r="A278" s="40"/>
      <c r="B278" s="40"/>
      <c r="C278" s="40"/>
      <c r="D278" s="40"/>
      <c r="E278" s="36"/>
      <c r="F278" s="36"/>
      <c r="G278" s="36"/>
      <c r="H278" s="36"/>
    </row>
    <row r="279" spans="1:56">
      <c r="A279" s="40"/>
      <c r="B279" s="40"/>
      <c r="C279" s="40"/>
      <c r="D279" s="40"/>
      <c r="E279" s="36"/>
      <c r="F279" s="36"/>
      <c r="G279" s="36"/>
      <c r="H279" s="36"/>
    </row>
    <row r="280" spans="1:56">
      <c r="A280" s="40"/>
      <c r="B280" s="40"/>
      <c r="C280" s="40"/>
      <c r="D280" s="40"/>
      <c r="E280" s="36"/>
      <c r="F280" s="36"/>
      <c r="G280" s="36"/>
      <c r="H280" s="36"/>
    </row>
    <row r="281" spans="1:56">
      <c r="A281" s="40"/>
      <c r="B281" s="40"/>
      <c r="C281" s="40"/>
      <c r="D281" s="40"/>
      <c r="E281" s="36"/>
      <c r="F281" s="36"/>
      <c r="G281" s="36"/>
      <c r="H281" s="36"/>
    </row>
    <row r="282" spans="1:56">
      <c r="A282" s="40"/>
      <c r="B282" s="40"/>
      <c r="C282" s="40"/>
      <c r="D282" s="40"/>
      <c r="E282" s="36"/>
      <c r="F282" s="36"/>
      <c r="G282" s="36"/>
      <c r="H282" s="36"/>
    </row>
    <row r="283" spans="1:56">
      <c r="A283" s="40"/>
      <c r="B283" s="40"/>
      <c r="C283" s="40"/>
      <c r="D283" s="40"/>
      <c r="E283" s="36"/>
      <c r="F283" s="36"/>
      <c r="G283" s="36"/>
      <c r="H283" s="36"/>
    </row>
    <row r="284" spans="1:56">
      <c r="A284" s="40"/>
      <c r="B284" s="40"/>
      <c r="C284" s="40"/>
      <c r="D284" s="40"/>
      <c r="E284" s="36"/>
      <c r="F284" s="36"/>
      <c r="G284" s="36"/>
      <c r="H284" s="36"/>
    </row>
    <row r="285" spans="1:56">
      <c r="A285" s="40"/>
      <c r="B285" s="40"/>
      <c r="C285" s="40"/>
      <c r="D285" s="40"/>
      <c r="E285" s="36"/>
      <c r="F285" s="36"/>
      <c r="G285" s="36"/>
      <c r="H285" s="36"/>
    </row>
    <row r="286" spans="1:56">
      <c r="A286" s="40"/>
      <c r="B286" s="40"/>
      <c r="C286" s="40"/>
      <c r="D286" s="40"/>
      <c r="E286" s="36"/>
      <c r="F286" s="36"/>
      <c r="G286" s="36"/>
      <c r="H286" s="36"/>
    </row>
    <row r="287" spans="1:56">
      <c r="A287" s="40"/>
      <c r="B287" s="40"/>
      <c r="C287" s="40"/>
      <c r="D287" s="40"/>
      <c r="E287" s="36"/>
      <c r="F287" s="36"/>
      <c r="G287" s="36"/>
      <c r="H287" s="36"/>
    </row>
    <row r="288" spans="1:56">
      <c r="A288" s="40"/>
      <c r="B288" s="40"/>
      <c r="C288" s="40"/>
      <c r="D288" s="40"/>
      <c r="E288" s="36"/>
      <c r="F288" s="36"/>
      <c r="G288" s="36"/>
      <c r="H288" s="36"/>
    </row>
    <row r="289" spans="1:8">
      <c r="A289" s="40"/>
      <c r="B289" s="40"/>
      <c r="C289" s="40"/>
      <c r="D289" s="40"/>
      <c r="E289" s="36"/>
      <c r="F289" s="36"/>
      <c r="G289" s="36"/>
      <c r="H289" s="36"/>
    </row>
    <row r="290" spans="1:8">
      <c r="A290" s="40"/>
      <c r="B290" s="40"/>
      <c r="C290" s="40"/>
      <c r="D290" s="40"/>
      <c r="E290" s="36"/>
      <c r="F290" s="36"/>
      <c r="G290" s="36"/>
      <c r="H290" s="36"/>
    </row>
    <row r="291" spans="1:8">
      <c r="A291" s="40"/>
      <c r="B291" s="40"/>
      <c r="C291" s="40"/>
      <c r="D291" s="40"/>
      <c r="E291" s="36"/>
      <c r="F291" s="36"/>
      <c r="G291" s="36"/>
      <c r="H291" s="36"/>
    </row>
    <row r="292" spans="1:8">
      <c r="A292" s="40"/>
      <c r="B292" s="40"/>
      <c r="C292" s="40"/>
      <c r="D292" s="40"/>
      <c r="E292" s="36"/>
      <c r="F292" s="36"/>
      <c r="G292" s="36"/>
      <c r="H292" s="36"/>
    </row>
    <row r="293" spans="1:8">
      <c r="A293" s="40"/>
      <c r="B293" s="40"/>
      <c r="C293" s="40"/>
      <c r="D293" s="40"/>
      <c r="E293" s="36"/>
      <c r="F293" s="36"/>
      <c r="G293" s="36"/>
      <c r="H293" s="36"/>
    </row>
    <row r="294" spans="1:8">
      <c r="A294" s="40"/>
      <c r="B294" s="40"/>
      <c r="C294" s="40"/>
      <c r="D294" s="40"/>
      <c r="E294" s="36"/>
      <c r="F294" s="36"/>
      <c r="G294" s="36"/>
      <c r="H294" s="36"/>
    </row>
    <row r="295" spans="1:8">
      <c r="A295" s="40"/>
      <c r="B295" s="40"/>
      <c r="C295" s="40"/>
      <c r="D295" s="40"/>
      <c r="E295" s="36"/>
      <c r="F295" s="36"/>
      <c r="G295" s="36"/>
      <c r="H295" s="36"/>
    </row>
    <row r="296" spans="1:8">
      <c r="A296" s="40"/>
      <c r="B296" s="40"/>
      <c r="C296" s="40"/>
      <c r="D296" s="40"/>
      <c r="E296" s="36"/>
      <c r="F296" s="36"/>
      <c r="G296" s="36"/>
      <c r="H296" s="36"/>
    </row>
    <row r="297" spans="1:8">
      <c r="A297" s="40"/>
      <c r="B297" s="40"/>
      <c r="C297" s="40"/>
      <c r="D297" s="40"/>
      <c r="E297" s="36"/>
      <c r="F297" s="36"/>
      <c r="G297" s="36"/>
      <c r="H297" s="36"/>
    </row>
    <row r="298" spans="1:8">
      <c r="A298" s="40"/>
      <c r="B298" s="40"/>
      <c r="C298" s="40"/>
      <c r="D298" s="40"/>
      <c r="E298" s="36"/>
      <c r="F298" s="36"/>
      <c r="G298" s="36"/>
      <c r="H298" s="36"/>
    </row>
    <row r="299" spans="1:8">
      <c r="A299" s="40"/>
      <c r="B299" s="40"/>
      <c r="C299" s="40"/>
      <c r="D299" s="40"/>
      <c r="E299" s="36"/>
      <c r="F299" s="36"/>
      <c r="G299" s="36"/>
      <c r="H299" s="36"/>
    </row>
    <row r="300" spans="1:8">
      <c r="A300" s="40"/>
      <c r="B300" s="40"/>
      <c r="C300" s="40"/>
      <c r="D300" s="40"/>
      <c r="E300" s="36"/>
      <c r="F300" s="36"/>
      <c r="G300" s="36"/>
      <c r="H300" s="36"/>
    </row>
    <row r="301" spans="1:8">
      <c r="A301" s="40"/>
      <c r="B301" s="40"/>
      <c r="C301" s="40"/>
      <c r="D301" s="40"/>
      <c r="E301" s="36"/>
      <c r="F301" s="36"/>
      <c r="G301" s="36"/>
      <c r="H301" s="36"/>
    </row>
    <row r="302" spans="1:8">
      <c r="A302" s="40"/>
      <c r="B302" s="40"/>
      <c r="C302" s="40"/>
      <c r="D302" s="40"/>
      <c r="E302" s="36"/>
      <c r="F302" s="36"/>
      <c r="G302" s="36"/>
      <c r="H302" s="36"/>
    </row>
    <row r="303" spans="1:8">
      <c r="A303" s="40"/>
      <c r="B303" s="40"/>
      <c r="C303" s="40"/>
      <c r="D303" s="40"/>
      <c r="E303" s="36"/>
      <c r="F303" s="36"/>
      <c r="G303" s="36"/>
      <c r="H303" s="36"/>
    </row>
    <row r="304" spans="1:8">
      <c r="A304" s="40"/>
      <c r="B304" s="40"/>
      <c r="C304" s="40"/>
      <c r="D304" s="40"/>
      <c r="E304" s="36"/>
      <c r="F304" s="36"/>
      <c r="G304" s="36"/>
      <c r="H304" s="36"/>
    </row>
    <row r="305" spans="1:8">
      <c r="A305" s="40"/>
      <c r="B305" s="40"/>
      <c r="C305" s="40"/>
      <c r="D305" s="40"/>
      <c r="E305" s="36"/>
      <c r="F305" s="36"/>
      <c r="G305" s="36"/>
      <c r="H305" s="36"/>
    </row>
    <row r="306" spans="1:8">
      <c r="A306" s="40"/>
      <c r="B306" s="40"/>
      <c r="C306" s="40"/>
      <c r="D306" s="40"/>
      <c r="E306" s="36"/>
      <c r="F306" s="36"/>
      <c r="G306" s="36"/>
      <c r="H306" s="36"/>
    </row>
    <row r="307" spans="1:8">
      <c r="A307" s="40"/>
      <c r="B307" s="40"/>
      <c r="C307" s="40"/>
      <c r="D307" s="40"/>
    </row>
    <row r="308" spans="1:8">
      <c r="A308" s="40"/>
      <c r="B308" s="40"/>
      <c r="C308" s="40"/>
      <c r="D308" s="40"/>
    </row>
  </sheetData>
  <mergeCells count="22">
    <mergeCell ref="A177:H177"/>
    <mergeCell ref="A178:H178"/>
    <mergeCell ref="A136:D136"/>
    <mergeCell ref="A148:D148"/>
    <mergeCell ref="A160:D160"/>
    <mergeCell ref="A174:H174"/>
    <mergeCell ref="A175:H175"/>
    <mergeCell ref="A76:D76"/>
    <mergeCell ref="A88:D88"/>
    <mergeCell ref="A100:D100"/>
    <mergeCell ref="A112:D112"/>
    <mergeCell ref="A124:D124"/>
    <mergeCell ref="A25:H25"/>
    <mergeCell ref="A28:D28"/>
    <mergeCell ref="A40:D40"/>
    <mergeCell ref="A52:D52"/>
    <mergeCell ref="A64:D64"/>
    <mergeCell ref="A1:D1"/>
    <mergeCell ref="A2:H2"/>
    <mergeCell ref="A5:D5"/>
    <mergeCell ref="A14:H14"/>
    <mergeCell ref="A16:D16"/>
  </mergeCells>
  <pageMargins left="0.7" right="0.7" top="0.75" bottom="0.75" header="0.3" footer="0.3"/>
  <pageSetup orientation="portrait" horizontalDpi="1200" verticalDpi="12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pageSetUpPr fitToPage="1"/>
  </sheetPr>
  <dimension ref="A1:B146"/>
  <sheetViews>
    <sheetView showGridLines="0" topLeftCell="A42" zoomScale="80" zoomScaleNormal="80" workbookViewId="0">
      <selection activeCell="B113" sqref="B113"/>
    </sheetView>
  </sheetViews>
  <sheetFormatPr defaultColWidth="9" defaultRowHeight="14.4"/>
  <cols>
    <col min="1" max="1" width="26.5546875" style="2" customWidth="1"/>
    <col min="2" max="2" width="160.6640625" customWidth="1"/>
  </cols>
  <sheetData>
    <row r="1" spans="1:2" s="1" customFormat="1" ht="25.8">
      <c r="A1" s="348" t="s">
        <v>5</v>
      </c>
      <c r="B1" s="348"/>
    </row>
    <row r="2" spans="1:2" s="1" customFormat="1" ht="74.25" customHeight="1">
      <c r="A2" s="354" t="s">
        <v>1</v>
      </c>
      <c r="B2" s="354"/>
    </row>
    <row r="3" spans="1:2" s="1" customFormat="1" ht="48.6" customHeight="1">
      <c r="A3" s="3" t="s">
        <v>1106</v>
      </c>
      <c r="B3" s="4"/>
    </row>
    <row r="4" spans="1:2" ht="18">
      <c r="A4" s="5" t="s">
        <v>1107</v>
      </c>
      <c r="B4" s="6" t="s">
        <v>1108</v>
      </c>
    </row>
    <row r="5" spans="1:2" ht="15.6">
      <c r="A5" s="7" t="s">
        <v>1109</v>
      </c>
      <c r="B5" s="8" t="s">
        <v>1110</v>
      </c>
    </row>
    <row r="6" spans="1:2" ht="15.6">
      <c r="A6" s="7" t="s">
        <v>30</v>
      </c>
      <c r="B6" s="8" t="s">
        <v>1111</v>
      </c>
    </row>
    <row r="7" spans="1:2" ht="15.6">
      <c r="A7" s="7" t="s">
        <v>1112</v>
      </c>
      <c r="B7" s="8" t="s">
        <v>1113</v>
      </c>
    </row>
    <row r="8" spans="1:2" ht="15.6">
      <c r="A8" s="7" t="s">
        <v>325</v>
      </c>
      <c r="B8" s="8" t="s">
        <v>1114</v>
      </c>
    </row>
    <row r="9" spans="1:2" ht="15.6">
      <c r="A9" s="7" t="s">
        <v>1115</v>
      </c>
      <c r="B9" s="8" t="s">
        <v>1116</v>
      </c>
    </row>
    <row r="10" spans="1:2" ht="15.6">
      <c r="A10" s="7" t="s">
        <v>1117</v>
      </c>
      <c r="B10" s="8" t="s">
        <v>1118</v>
      </c>
    </row>
    <row r="11" spans="1:2" ht="15.6">
      <c r="A11" s="7" t="s">
        <v>1119</v>
      </c>
      <c r="B11" s="8" t="s">
        <v>1120</v>
      </c>
    </row>
    <row r="12" spans="1:2" ht="15.6">
      <c r="A12" s="7" t="s">
        <v>84</v>
      </c>
      <c r="B12" s="8" t="s">
        <v>1121</v>
      </c>
    </row>
    <row r="13" spans="1:2" ht="46.8">
      <c r="A13" s="7" t="s">
        <v>1122</v>
      </c>
      <c r="B13" s="8" t="s">
        <v>1123</v>
      </c>
    </row>
    <row r="14" spans="1:2" ht="46.8">
      <c r="A14" s="7" t="s">
        <v>1124</v>
      </c>
      <c r="B14" s="8" t="s">
        <v>1125</v>
      </c>
    </row>
    <row r="15" spans="1:2" ht="15.6">
      <c r="A15" s="7" t="s">
        <v>1126</v>
      </c>
      <c r="B15" s="8" t="s">
        <v>1127</v>
      </c>
    </row>
    <row r="16" spans="1:2" ht="47.25" customHeight="1">
      <c r="A16" s="436" t="s">
        <v>1128</v>
      </c>
      <c r="B16" s="8" t="s">
        <v>1129</v>
      </c>
    </row>
    <row r="17" spans="1:2" ht="46.8">
      <c r="A17" s="436"/>
      <c r="B17" s="8" t="s">
        <v>1130</v>
      </c>
    </row>
    <row r="18" spans="1:2" ht="47.1" customHeight="1">
      <c r="A18" s="436" t="s">
        <v>1131</v>
      </c>
      <c r="B18" s="8" t="s">
        <v>1132</v>
      </c>
    </row>
    <row r="19" spans="1:2" ht="46.8">
      <c r="A19" s="436"/>
      <c r="B19" s="8" t="s">
        <v>1133</v>
      </c>
    </row>
    <row r="20" spans="1:2" ht="31.2">
      <c r="A20" s="7" t="s">
        <v>1134</v>
      </c>
      <c r="B20" s="8" t="s">
        <v>1135</v>
      </c>
    </row>
    <row r="21" spans="1:2" ht="15.6">
      <c r="A21" s="7" t="s">
        <v>1136</v>
      </c>
      <c r="B21" s="8" t="s">
        <v>1137</v>
      </c>
    </row>
    <row r="22" spans="1:2" ht="15.6">
      <c r="A22" s="7" t="s">
        <v>1138</v>
      </c>
      <c r="B22" s="8" t="s">
        <v>1139</v>
      </c>
    </row>
    <row r="23" spans="1:2" ht="15.6">
      <c r="A23" s="7" t="s">
        <v>82</v>
      </c>
      <c r="B23" s="8" t="s">
        <v>1140</v>
      </c>
    </row>
    <row r="24" spans="1:2" ht="46.8">
      <c r="A24" s="7" t="s">
        <v>1141</v>
      </c>
      <c r="B24" s="8" t="s">
        <v>1142</v>
      </c>
    </row>
    <row r="25" spans="1:2" ht="31.2">
      <c r="A25" s="7" t="s">
        <v>1143</v>
      </c>
      <c r="B25" s="8" t="s">
        <v>1144</v>
      </c>
    </row>
    <row r="26" spans="1:2" ht="15.6">
      <c r="A26" s="7" t="s">
        <v>1145</v>
      </c>
      <c r="B26" s="8" t="s">
        <v>1146</v>
      </c>
    </row>
    <row r="27" spans="1:2" ht="15.6">
      <c r="A27" s="7" t="s">
        <v>1147</v>
      </c>
      <c r="B27" s="8" t="s">
        <v>1148</v>
      </c>
    </row>
    <row r="28" spans="1:2" ht="15.6">
      <c r="A28" s="7" t="s">
        <v>345</v>
      </c>
      <c r="B28" s="8" t="s">
        <v>1149</v>
      </c>
    </row>
    <row r="29" spans="1:2" ht="31.2">
      <c r="A29" s="7" t="s">
        <v>327</v>
      </c>
      <c r="B29" s="8" t="s">
        <v>1150</v>
      </c>
    </row>
    <row r="30" spans="1:2" ht="15.6">
      <c r="A30" s="7" t="s">
        <v>1151</v>
      </c>
      <c r="B30" s="8" t="s">
        <v>1152</v>
      </c>
    </row>
    <row r="31" spans="1:2" ht="15.6">
      <c r="A31" s="7" t="s">
        <v>114</v>
      </c>
      <c r="B31" s="8" t="s">
        <v>1153</v>
      </c>
    </row>
    <row r="32" spans="1:2" ht="31.2">
      <c r="A32" s="7" t="s">
        <v>1154</v>
      </c>
      <c r="B32" s="8" t="s">
        <v>1155</v>
      </c>
    </row>
    <row r="33" spans="1:2" ht="15.6">
      <c r="A33" s="7" t="s">
        <v>115</v>
      </c>
      <c r="B33" s="8" t="s">
        <v>1156</v>
      </c>
    </row>
    <row r="34" spans="1:2" ht="31.2">
      <c r="A34" s="7" t="s">
        <v>1157</v>
      </c>
      <c r="B34" s="8" t="s">
        <v>1158</v>
      </c>
    </row>
    <row r="35" spans="1:2" ht="15.6">
      <c r="A35" s="7" t="s">
        <v>1159</v>
      </c>
      <c r="B35" s="8" t="s">
        <v>1160</v>
      </c>
    </row>
    <row r="36" spans="1:2" ht="31.2">
      <c r="A36" s="7" t="s">
        <v>1161</v>
      </c>
      <c r="B36" s="8" t="s">
        <v>1162</v>
      </c>
    </row>
    <row r="37" spans="1:2" ht="15.6">
      <c r="A37" s="7" t="s">
        <v>1163</v>
      </c>
      <c r="B37" s="8" t="s">
        <v>1164</v>
      </c>
    </row>
    <row r="38" spans="1:2" ht="15.6">
      <c r="A38" s="7" t="s">
        <v>1165</v>
      </c>
      <c r="B38" s="8" t="s">
        <v>1166</v>
      </c>
    </row>
    <row r="39" spans="1:2" ht="15.6">
      <c r="A39" s="436" t="s">
        <v>1167</v>
      </c>
      <c r="B39" s="8" t="s">
        <v>1168</v>
      </c>
    </row>
    <row r="40" spans="1:2" ht="15.6">
      <c r="A40" s="436"/>
      <c r="B40" s="8" t="s">
        <v>1169</v>
      </c>
    </row>
    <row r="41" spans="1:2" ht="46.8">
      <c r="A41" s="436"/>
      <c r="B41" s="8" t="s">
        <v>1170</v>
      </c>
    </row>
    <row r="42" spans="1:2" ht="46.8">
      <c r="A42" s="436"/>
      <c r="B42" s="8" t="s">
        <v>1171</v>
      </c>
    </row>
    <row r="43" spans="1:2" ht="15.6">
      <c r="A43" s="436"/>
      <c r="B43" s="8" t="s">
        <v>1172</v>
      </c>
    </row>
    <row r="44" spans="1:2" ht="15.6">
      <c r="A44" s="436"/>
      <c r="B44" s="8" t="s">
        <v>1173</v>
      </c>
    </row>
    <row r="45" spans="1:2" ht="15.6">
      <c r="A45" s="436"/>
      <c r="B45" s="8" t="s">
        <v>1174</v>
      </c>
    </row>
    <row r="46" spans="1:2" ht="15.6">
      <c r="A46" s="7" t="s">
        <v>1175</v>
      </c>
      <c r="B46" s="8" t="s">
        <v>1176</v>
      </c>
    </row>
    <row r="47" spans="1:2" ht="31.2">
      <c r="A47" s="436" t="s">
        <v>1177</v>
      </c>
      <c r="B47" s="8" t="s">
        <v>1178</v>
      </c>
    </row>
    <row r="48" spans="1:2" ht="15.6">
      <c r="A48" s="436"/>
      <c r="B48" s="8" t="s">
        <v>1179</v>
      </c>
    </row>
    <row r="49" spans="1:2" ht="15.6">
      <c r="A49" s="436"/>
      <c r="B49" s="8" t="s">
        <v>1180</v>
      </c>
    </row>
    <row r="50" spans="1:2" ht="15.75" customHeight="1">
      <c r="A50" s="436" t="s">
        <v>1181</v>
      </c>
      <c r="B50" s="9" t="s">
        <v>1182</v>
      </c>
    </row>
    <row r="51" spans="1:2" ht="15.6">
      <c r="A51" s="436"/>
      <c r="B51" s="8" t="s">
        <v>1183</v>
      </c>
    </row>
    <row r="52" spans="1:2" ht="35.700000000000003" customHeight="1">
      <c r="A52" s="436"/>
      <c r="B52" s="8" t="s">
        <v>1184</v>
      </c>
    </row>
    <row r="53" spans="1:2" ht="86.25" customHeight="1">
      <c r="A53" s="436"/>
      <c r="B53" s="8" t="s">
        <v>1185</v>
      </c>
    </row>
    <row r="54" spans="1:2" ht="87.6" customHeight="1">
      <c r="A54" s="436"/>
      <c r="B54" s="8" t="s">
        <v>1186</v>
      </c>
    </row>
    <row r="55" spans="1:2" ht="31.2">
      <c r="A55" s="436"/>
      <c r="B55" s="8" t="s">
        <v>1187</v>
      </c>
    </row>
    <row r="56" spans="1:2" ht="78">
      <c r="A56" s="436"/>
      <c r="B56" s="8" t="s">
        <v>1188</v>
      </c>
    </row>
    <row r="57" spans="1:2" ht="15.6">
      <c r="A57" s="436"/>
      <c r="B57" s="8" t="s">
        <v>1189</v>
      </c>
    </row>
    <row r="58" spans="1:2" ht="31.2">
      <c r="A58" s="436"/>
      <c r="B58" s="8" t="s">
        <v>1190</v>
      </c>
    </row>
    <row r="59" spans="1:2" ht="15.6">
      <c r="A59" s="436"/>
      <c r="B59" s="8" t="s">
        <v>1191</v>
      </c>
    </row>
    <row r="60" spans="1:2" ht="15.75" customHeight="1">
      <c r="A60" s="437" t="s">
        <v>1192</v>
      </c>
      <c r="B60" s="10" t="s">
        <v>1193</v>
      </c>
    </row>
    <row r="61" spans="1:2" ht="15.6">
      <c r="A61" s="437"/>
      <c r="B61" s="11" t="s">
        <v>1194</v>
      </c>
    </row>
    <row r="62" spans="1:2" ht="15.6">
      <c r="A62" s="437"/>
      <c r="B62" s="11" t="s">
        <v>1195</v>
      </c>
    </row>
    <row r="63" spans="1:2" ht="31.2">
      <c r="A63" s="437"/>
      <c r="B63" s="12" t="s">
        <v>1196</v>
      </c>
    </row>
    <row r="64" spans="1:2" ht="78">
      <c r="A64" s="437"/>
      <c r="B64" s="12" t="s">
        <v>1197</v>
      </c>
    </row>
    <row r="65" spans="1:2" ht="15.6">
      <c r="A65" s="437" t="s">
        <v>1198</v>
      </c>
      <c r="B65" s="9" t="s">
        <v>1199</v>
      </c>
    </row>
    <row r="66" spans="1:2" ht="15.6">
      <c r="A66" s="437"/>
      <c r="B66" s="8" t="s">
        <v>1200</v>
      </c>
    </row>
    <row r="67" spans="1:2" ht="66.45" customHeight="1">
      <c r="A67" s="437"/>
      <c r="B67" s="8" t="s">
        <v>1201</v>
      </c>
    </row>
    <row r="68" spans="1:2" ht="46.8">
      <c r="A68" s="437"/>
      <c r="B68" s="8" t="s">
        <v>1202</v>
      </c>
    </row>
    <row r="69" spans="1:2" ht="31.2">
      <c r="A69" s="437"/>
      <c r="B69" s="8" t="s">
        <v>1135</v>
      </c>
    </row>
    <row r="70" spans="1:2" ht="15.6">
      <c r="A70" s="437"/>
      <c r="B70" s="8" t="s">
        <v>1191</v>
      </c>
    </row>
    <row r="71" spans="1:2" ht="15.6">
      <c r="A71" s="437" t="s">
        <v>1203</v>
      </c>
      <c r="B71" s="9" t="s">
        <v>1204</v>
      </c>
    </row>
    <row r="72" spans="1:2" ht="15.6">
      <c r="A72" s="437"/>
      <c r="B72" s="8" t="s">
        <v>1205</v>
      </c>
    </row>
    <row r="73" spans="1:2" ht="83.7" customHeight="1">
      <c r="A73" s="437"/>
      <c r="B73" s="8" t="s">
        <v>1206</v>
      </c>
    </row>
    <row r="74" spans="1:2" ht="78">
      <c r="A74" s="437"/>
      <c r="B74" s="13" t="s">
        <v>1188</v>
      </c>
    </row>
    <row r="75" spans="1:2" ht="15.6">
      <c r="A75" s="437"/>
      <c r="B75" s="8" t="s">
        <v>1189</v>
      </c>
    </row>
    <row r="76" spans="1:2" ht="31.2">
      <c r="A76" s="437"/>
      <c r="B76" s="8" t="s">
        <v>1207</v>
      </c>
    </row>
    <row r="77" spans="1:2" ht="15.6">
      <c r="A77" s="437"/>
      <c r="B77" s="8" t="s">
        <v>1208</v>
      </c>
    </row>
    <row r="78" spans="1:2" ht="15.6">
      <c r="A78" s="437"/>
      <c r="B78" s="8" t="s">
        <v>1191</v>
      </c>
    </row>
    <row r="79" spans="1:2" ht="15.6">
      <c r="A79" s="441" t="s">
        <v>1209</v>
      </c>
      <c r="B79" s="9" t="s">
        <v>1210</v>
      </c>
    </row>
    <row r="80" spans="1:2" ht="15.6">
      <c r="A80" s="441"/>
      <c r="B80" s="8" t="s">
        <v>1205</v>
      </c>
    </row>
    <row r="81" spans="1:2" ht="31.2">
      <c r="A81" s="441"/>
      <c r="B81" s="8" t="s">
        <v>1187</v>
      </c>
    </row>
    <row r="82" spans="1:2" ht="15.6">
      <c r="A82" s="441"/>
      <c r="B82" s="8" t="s">
        <v>1211</v>
      </c>
    </row>
    <row r="83" spans="1:2" ht="46.8">
      <c r="A83" s="441"/>
      <c r="B83" s="8" t="s">
        <v>1212</v>
      </c>
    </row>
    <row r="84" spans="1:2" ht="15.6">
      <c r="A84" s="441"/>
      <c r="B84" s="8" t="s">
        <v>1213</v>
      </c>
    </row>
    <row r="85" spans="1:2" ht="15.6">
      <c r="A85" s="441"/>
      <c r="B85" s="8" t="s">
        <v>1214</v>
      </c>
    </row>
    <row r="86" spans="1:2" ht="15.6">
      <c r="A86" s="441"/>
      <c r="B86" s="8" t="s">
        <v>1189</v>
      </c>
    </row>
    <row r="87" spans="1:2" ht="78">
      <c r="A87" s="441"/>
      <c r="B87" s="8" t="s">
        <v>1206</v>
      </c>
    </row>
    <row r="88" spans="1:2" ht="15.6">
      <c r="A88" s="441"/>
      <c r="B88" s="8" t="s">
        <v>1191</v>
      </c>
    </row>
    <row r="89" spans="1:2" ht="15.6" customHeight="1">
      <c r="A89" s="442" t="s">
        <v>1215</v>
      </c>
      <c r="B89" s="14" t="s">
        <v>1216</v>
      </c>
    </row>
    <row r="90" spans="1:2" ht="15.6">
      <c r="A90" s="442"/>
      <c r="B90" s="9" t="s">
        <v>1193</v>
      </c>
    </row>
    <row r="91" spans="1:2" ht="15.6">
      <c r="A91" s="442"/>
      <c r="B91" s="14" t="s">
        <v>1205</v>
      </c>
    </row>
    <row r="92" spans="1:2" ht="15.6">
      <c r="A92" s="442"/>
      <c r="B92" s="15" t="s">
        <v>1217</v>
      </c>
    </row>
    <row r="93" spans="1:2" ht="62.4">
      <c r="A93" s="442"/>
      <c r="B93" s="14" t="s">
        <v>1218</v>
      </c>
    </row>
    <row r="94" spans="1:2" ht="31.2">
      <c r="A94" s="442"/>
      <c r="B94" s="14" t="s">
        <v>1219</v>
      </c>
    </row>
    <row r="95" spans="1:2" ht="49.2" customHeight="1">
      <c r="A95" s="442"/>
      <c r="B95" s="14" t="s">
        <v>1220</v>
      </c>
    </row>
    <row r="96" spans="1:2" ht="31.2">
      <c r="A96" s="442"/>
      <c r="B96" s="14" t="s">
        <v>1221</v>
      </c>
    </row>
    <row r="97" spans="1:2" ht="143.69999999999999" customHeight="1">
      <c r="A97" s="442"/>
      <c r="B97" s="14" t="s">
        <v>1222</v>
      </c>
    </row>
    <row r="98" spans="1:2" ht="66" customHeight="1">
      <c r="A98" s="442"/>
      <c r="B98" s="14" t="s">
        <v>1223</v>
      </c>
    </row>
    <row r="99" spans="1:2" ht="31.2">
      <c r="A99" s="442" t="s">
        <v>1224</v>
      </c>
      <c r="B99" s="14" t="s">
        <v>1225</v>
      </c>
    </row>
    <row r="100" spans="1:2" ht="148.19999999999999" customHeight="1">
      <c r="A100" s="442"/>
      <c r="B100" s="16" t="s">
        <v>1226</v>
      </c>
    </row>
    <row r="101" spans="1:2" ht="15.6" customHeight="1">
      <c r="A101" s="442"/>
      <c r="B101" s="14" t="s">
        <v>1227</v>
      </c>
    </row>
    <row r="102" spans="1:2" ht="15.6">
      <c r="A102" s="442"/>
      <c r="B102" s="12" t="s">
        <v>1191</v>
      </c>
    </row>
    <row r="103" spans="1:2" ht="31.2">
      <c r="A103" s="442"/>
      <c r="B103" s="10" t="s">
        <v>1228</v>
      </c>
    </row>
    <row r="104" spans="1:2" ht="15.6">
      <c r="A104" s="442"/>
      <c r="B104" s="14" t="s">
        <v>1229</v>
      </c>
    </row>
    <row r="105" spans="1:2" ht="15.6">
      <c r="A105" s="441" t="s">
        <v>1230</v>
      </c>
      <c r="B105" s="14" t="s">
        <v>1193</v>
      </c>
    </row>
    <row r="106" spans="1:2" ht="15.6">
      <c r="A106" s="441"/>
      <c r="B106" s="10" t="s">
        <v>1231</v>
      </c>
    </row>
    <row r="107" spans="1:2" ht="15.6">
      <c r="A107" s="441"/>
      <c r="B107" s="11" t="s">
        <v>1232</v>
      </c>
    </row>
    <row r="108" spans="1:2" ht="31.2">
      <c r="A108" s="441"/>
      <c r="B108" s="12" t="s">
        <v>1196</v>
      </c>
    </row>
    <row r="109" spans="1:2" ht="78">
      <c r="A109" s="441"/>
      <c r="B109" s="12" t="s">
        <v>1233</v>
      </c>
    </row>
    <row r="110" spans="1:2" ht="15.6">
      <c r="A110" s="441"/>
      <c r="B110" s="8" t="s">
        <v>1234</v>
      </c>
    </row>
    <row r="111" spans="1:2" ht="15.6">
      <c r="A111" s="441"/>
      <c r="B111" s="14" t="s">
        <v>1235</v>
      </c>
    </row>
    <row r="112" spans="1:2" ht="15.6">
      <c r="A112" s="441"/>
      <c r="B112" s="14" t="s">
        <v>1236</v>
      </c>
    </row>
    <row r="113" spans="1:2" ht="21" customHeight="1">
      <c r="A113" s="441"/>
      <c r="B113" s="14" t="s">
        <v>1237</v>
      </c>
    </row>
    <row r="114" spans="1:2" ht="31.2">
      <c r="A114" s="441"/>
      <c r="B114" s="14" t="s">
        <v>1238</v>
      </c>
    </row>
    <row r="115" spans="1:2" ht="15.6" customHeight="1">
      <c r="A115" s="437" t="s">
        <v>1239</v>
      </c>
      <c r="B115" s="13" t="s">
        <v>1240</v>
      </c>
    </row>
    <row r="116" spans="1:2" ht="15.6">
      <c r="A116" s="437"/>
      <c r="B116" s="15" t="s">
        <v>1241</v>
      </c>
    </row>
    <row r="117" spans="1:2" ht="15.6">
      <c r="A117" s="437"/>
      <c r="B117" s="15" t="s">
        <v>1242</v>
      </c>
    </row>
    <row r="118" spans="1:2" ht="15.6">
      <c r="A118" s="437"/>
      <c r="B118" s="15" t="s">
        <v>1243</v>
      </c>
    </row>
    <row r="119" spans="1:2" ht="15.6">
      <c r="A119" s="437"/>
      <c r="B119" s="15" t="s">
        <v>1244</v>
      </c>
    </row>
    <row r="120" spans="1:2" ht="15.6">
      <c r="A120" s="438" t="s">
        <v>1245</v>
      </c>
      <c r="B120" s="15" t="s">
        <v>1246</v>
      </c>
    </row>
    <row r="121" spans="1:2" ht="16.5" customHeight="1">
      <c r="A121" s="438"/>
      <c r="B121" s="13" t="s">
        <v>1247</v>
      </c>
    </row>
    <row r="122" spans="1:2" ht="16.5" customHeight="1">
      <c r="A122" s="438"/>
      <c r="B122" s="15" t="s">
        <v>1248</v>
      </c>
    </row>
    <row r="123" spans="1:2" ht="16.5" customHeight="1">
      <c r="A123" s="438"/>
      <c r="B123" s="13" t="s">
        <v>1247</v>
      </c>
    </row>
    <row r="124" spans="1:2" ht="15.6">
      <c r="A124" s="438"/>
      <c r="B124" s="15" t="s">
        <v>1249</v>
      </c>
    </row>
    <row r="125" spans="1:2" ht="15.6">
      <c r="A125" s="438"/>
      <c r="B125" s="13" t="s">
        <v>1247</v>
      </c>
    </row>
    <row r="126" spans="1:2" ht="15.6">
      <c r="A126" s="438"/>
      <c r="B126" s="15" t="s">
        <v>1250</v>
      </c>
    </row>
    <row r="127" spans="1:2" ht="15.6">
      <c r="A127" s="438"/>
      <c r="B127" s="13" t="s">
        <v>1247</v>
      </c>
    </row>
    <row r="128" spans="1:2" ht="15.6">
      <c r="A128" s="438"/>
      <c r="B128" s="13" t="s">
        <v>1251</v>
      </c>
    </row>
    <row r="129" spans="1:2" ht="31.2">
      <c r="A129" s="438"/>
      <c r="B129" s="13" t="s">
        <v>1252</v>
      </c>
    </row>
    <row r="130" spans="1:2" ht="64.95" customHeight="1">
      <c r="A130" s="438"/>
      <c r="B130" s="13" t="s">
        <v>1253</v>
      </c>
    </row>
    <row r="131" spans="1:2" ht="15.6">
      <c r="A131" s="438"/>
      <c r="B131" s="13" t="s">
        <v>1254</v>
      </c>
    </row>
    <row r="132" spans="1:2" ht="31.2">
      <c r="A132" s="438"/>
      <c r="B132" s="13" t="s">
        <v>1255</v>
      </c>
    </row>
    <row r="133" spans="1:2" ht="15.6">
      <c r="A133" s="438"/>
      <c r="B133" s="13" t="s">
        <v>1183</v>
      </c>
    </row>
    <row r="134" spans="1:2" ht="31.2">
      <c r="A134" s="438"/>
      <c r="B134" s="13" t="s">
        <v>1256</v>
      </c>
    </row>
    <row r="135" spans="1:2" ht="88.2" customHeight="1">
      <c r="A135" s="438"/>
      <c r="B135" s="13" t="s">
        <v>1257</v>
      </c>
    </row>
    <row r="136" spans="1:2" ht="21.6" customHeight="1">
      <c r="A136" s="438"/>
      <c r="B136" s="13" t="s">
        <v>1200</v>
      </c>
    </row>
    <row r="137" spans="1:2" ht="70.2" customHeight="1">
      <c r="A137" s="438"/>
      <c r="B137" s="8" t="s">
        <v>1201</v>
      </c>
    </row>
    <row r="138" spans="1:2" ht="15.6">
      <c r="A138" s="438"/>
      <c r="B138" s="13" t="s">
        <v>1258</v>
      </c>
    </row>
    <row r="139" spans="1:2" ht="15.6">
      <c r="A139" s="439" t="s">
        <v>1259</v>
      </c>
      <c r="B139" s="13" t="s">
        <v>1260</v>
      </c>
    </row>
    <row r="140" spans="1:2" ht="15.6">
      <c r="A140" s="439"/>
      <c r="B140" s="13" t="s">
        <v>1261</v>
      </c>
    </row>
    <row r="141" spans="1:2" ht="15.6">
      <c r="A141" s="439"/>
      <c r="B141" s="13" t="s">
        <v>1262</v>
      </c>
    </row>
    <row r="142" spans="1:2" ht="15.6">
      <c r="A142" s="439"/>
      <c r="B142" s="13" t="s">
        <v>1263</v>
      </c>
    </row>
    <row r="143" spans="1:2" ht="15.6">
      <c r="A143" s="439"/>
      <c r="B143" s="13" t="s">
        <v>1264</v>
      </c>
    </row>
    <row r="144" spans="1:2" ht="15.6">
      <c r="A144" s="439"/>
      <c r="B144" s="13" t="s">
        <v>1265</v>
      </c>
    </row>
    <row r="145" spans="1:2" ht="15.6">
      <c r="A145" s="439"/>
      <c r="B145" s="13" t="s">
        <v>1266</v>
      </c>
    </row>
    <row r="146" spans="1:2" ht="15.6">
      <c r="A146" s="440"/>
      <c r="B146" s="17" t="s">
        <v>1267</v>
      </c>
    </row>
  </sheetData>
  <mergeCells count="17">
    <mergeCell ref="A120:A138"/>
    <mergeCell ref="A139:A146"/>
    <mergeCell ref="A79:A88"/>
    <mergeCell ref="A89:A98"/>
    <mergeCell ref="A99:A104"/>
    <mergeCell ref="A105:A114"/>
    <mergeCell ref="A115:A119"/>
    <mergeCell ref="A47:A49"/>
    <mergeCell ref="A50:A59"/>
    <mergeCell ref="A60:A64"/>
    <mergeCell ref="A65:A70"/>
    <mergeCell ref="A71:A78"/>
    <mergeCell ref="A1:B1"/>
    <mergeCell ref="A2:B2"/>
    <mergeCell ref="A16:A17"/>
    <mergeCell ref="A18:A19"/>
    <mergeCell ref="A39:A45"/>
  </mergeCells>
  <pageMargins left="0.25" right="0.25" top="0.75" bottom="0.75" header="0.3" footer="0.3"/>
  <pageSetup scale="14" fitToWidth="0" orientation="landscape"/>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9225b539-7b15-42b2-871d-c20cb6e17ae7" xsi:nil="true"/>
    <_ip_UnifiedCompliancePolicyUIAction xmlns="http://schemas.microsoft.com/sharepoint/v3" xsi:nil="true"/>
    <_ip_UnifiedCompliancePolicyProperties xmlns="http://schemas.microsoft.com/sharepoint/v3" xsi:nil="true"/>
    <lcf76f155ced4ddcb4097134ff3c332f xmlns="51f64f43-848e-4f71-a29c-5b275075194e">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mso-contentType ?>
<SharedContentType xmlns="Microsoft.SharePoint.Taxonomy.ContentTypeSync" SourceId="526ce853-7349-4a33-988e-bfef8f1d57f1" ContentTypeId="0x0101" PreviousValue="false"/>
</file>

<file path=customXml/item4.xml><?xml version="1.0" encoding="utf-8"?>
<?mso-contentType ?>
<spe:Receivers xmlns:spe="http://schemas.microsoft.com/sharepoint/events"/>
</file>

<file path=customXml/item5.xml><?xml version="1.0" encoding="utf-8"?>
<ct:contentTypeSchema xmlns:ct="http://schemas.microsoft.com/office/2006/metadata/contentType" xmlns:ma="http://schemas.microsoft.com/office/2006/metadata/properties/metaAttributes" ct:_="" ma:_="" ma:contentTypeName="Document" ma:contentTypeID="0x010100B2CC6643690C2D4A8E9C51BEFB2BDFED" ma:contentTypeVersion="15" ma:contentTypeDescription="Create a new document." ma:contentTypeScope="" ma:versionID="31f90e76d1d6966ab8edf9ebc7a5fb44">
  <xsd:schema xmlns:xsd="http://www.w3.org/2001/XMLSchema" xmlns:xs="http://www.w3.org/2001/XMLSchema" xmlns:p="http://schemas.microsoft.com/office/2006/metadata/properties" xmlns:ns1="http://schemas.microsoft.com/sharepoint/v3" xmlns:ns2="9225b539-7b15-42b2-871d-c20cb6e17ae7" xmlns:ns3="51f64f43-848e-4f71-a29c-5b275075194e" targetNamespace="http://schemas.microsoft.com/office/2006/metadata/properties" ma:root="true" ma:fieldsID="5a15502b1ffcc7e48a316a138be12348" ns1:_="" ns2:_="" ns3:_="">
    <xsd:import namespace="http://schemas.microsoft.com/sharepoint/v3"/>
    <xsd:import namespace="9225b539-7b15-42b2-871d-c20cb6e17ae7"/>
    <xsd:import namespace="51f64f43-848e-4f71-a29c-5b275075194e"/>
    <xsd:element name="properties">
      <xsd:complexType>
        <xsd:sequence>
          <xsd:element name="documentManagement">
            <xsd:complexType>
              <xsd:all>
                <xsd:element ref="ns2:_dlc_DocId" minOccurs="0"/>
                <xsd:element ref="ns2:_dlc_DocIdUrl" minOccurs="0"/>
                <xsd:element ref="ns2:_dlc_DocIdPersistId"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Location" minOccurs="0"/>
                <xsd:element ref="ns3:MediaServiceSearchProperties" minOccurs="0"/>
                <xsd:element ref="ns3:MediaServiceMetadata" minOccurs="0"/>
                <xsd:element ref="ns3:MediaServiceFastMetadata"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9225b539-7b15-42b2-871d-c20cb6e17ae7"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2" nillable="true" ma:displayName="Taxonomy Catch All Column" ma:hidden="true" ma:list="{cc4b600a-5654-43e9-bd8c-8b417a7ccf18}" ma:internalName="TaxCatchAll" ma:showField="CatchAllData" ma:web="fde1efa3-de85-4ab3-ac60-6cf1d18bfb92">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51f64f43-848e-4f71-a29c-5b275075194e" elementFormDefault="qualified">
    <xsd:import namespace="http://schemas.microsoft.com/office/2006/documentManagement/types"/>
    <xsd:import namespace="http://schemas.microsoft.com/office/infopath/2007/PartnerControls"/>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526ce853-7349-4a33-988e-bfef8f1d57f1"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ternalName="MediaServiceDateTaken"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Location" ma:index="19" nillable="true" ma:displayName="Location" ma:description="" ma:indexed="true" ma:internalName="MediaServiceLocation"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Metadata" ma:index="21" nillable="true" ma:displayName="MediaServiceMetadata" ma:hidden="true" ma:internalName="MediaServiceMetadata" ma:readOnly="true">
      <xsd:simpleType>
        <xsd:restriction base="dms:Note"/>
      </xsd:simpleType>
    </xsd:element>
    <xsd:element name="MediaServiceFastMetadata" ma:index="22"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5A08AC0-783C-4C1B-927A-AB27E36B29B1}">
  <ds:schemaRefs/>
</ds:datastoreItem>
</file>

<file path=customXml/itemProps2.xml><?xml version="1.0" encoding="utf-8"?>
<ds:datastoreItem xmlns:ds="http://schemas.openxmlformats.org/officeDocument/2006/customXml" ds:itemID="{8AEF2A48-5B03-4C1F-A9CC-64566AC26633}">
  <ds:schemaRefs/>
</ds:datastoreItem>
</file>

<file path=customXml/itemProps3.xml><?xml version="1.0" encoding="utf-8"?>
<ds:datastoreItem xmlns:ds="http://schemas.openxmlformats.org/officeDocument/2006/customXml" ds:itemID="{264D0ED4-CFF4-4E4A-A60F-9059F5A051E0}">
  <ds:schemaRefs/>
</ds:datastoreItem>
</file>

<file path=customXml/itemProps4.xml><?xml version="1.0" encoding="utf-8"?>
<ds:datastoreItem xmlns:ds="http://schemas.openxmlformats.org/officeDocument/2006/customXml" ds:itemID="{F60E64E6-2DC8-4932-8C16-154DCA22A89A}">
  <ds:schemaRefs/>
</ds:datastoreItem>
</file>

<file path=customXml/itemProps5.xml><?xml version="1.0" encoding="utf-8"?>
<ds:datastoreItem xmlns:ds="http://schemas.openxmlformats.org/officeDocument/2006/customXml" ds:itemID="{11B7BC51-6590-48E3-9D38-DF84616A6B5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1</vt:i4>
      </vt:variant>
    </vt:vector>
  </HeadingPairs>
  <TitlesOfParts>
    <vt:vector size="11" baseType="lpstr">
      <vt:lpstr>Header</vt:lpstr>
      <vt:lpstr>ATD FY26 YTD</vt:lpstr>
      <vt:lpstr>Detention FY26</vt:lpstr>
      <vt:lpstr> ICLOS and Detainees</vt:lpstr>
      <vt:lpstr>Semiannual</vt:lpstr>
      <vt:lpstr>Monthly Bond Statistics</vt:lpstr>
      <vt:lpstr>Facilities FY26</vt:lpstr>
      <vt:lpstr>FY26 Monthly Segregation</vt:lpstr>
      <vt:lpstr>Vulnerable &amp; Special Population</vt:lpstr>
      <vt:lpstr>Footnotes</vt:lpstr>
      <vt:lpstr>'Detention FY26'!Print_Area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Black, Tyler M (CTR)</dc:creator>
  <cp:lastModifiedBy>michael ale</cp:lastModifiedBy>
  <dcterms:created xsi:type="dcterms:W3CDTF">2020-01-31T18:40:00Z</dcterms:created>
  <dcterms:modified xsi:type="dcterms:W3CDTF">2025-12-22T22:18:58Z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0x010100B2CC6643690C2D4A8E9C51BEFB2BDFED</vt:lpwstr>
  </property>
  <property fmtid="{D5CDD505-2E9C-101B-9397-08002B2CF9AE}" pid="3" name="Workbook id">
    <vt:lpwstr>314fce5b-a83b-4d64-a39b-3066b2b6d662</vt:lpwstr>
  </property>
  <property fmtid="{D5CDD505-2E9C-101B-9397-08002B2CF9AE}" pid="4" name="Workbook type">
    <vt:lpwstr>Custom</vt:lpwstr>
  </property>
  <property fmtid="{D5CDD505-2E9C-101B-9397-08002B2CF9AE}" pid="5" name="Workbook version">
    <vt:lpwstr>Custom</vt:lpwstr>
  </property>
  <property fmtid="{D5CDD505-2E9C-101B-9397-08002B2CF9AE}" pid="6" name="MediaServiceImageTags">
    <vt:lpwstr/>
  </property>
  <property fmtid="{D5CDD505-2E9C-101B-9397-08002B2CF9AE}" pid="7" name="Order">
    <vt:r8>808900</vt:r8>
  </property>
  <property fmtid="{D5CDD505-2E9C-101B-9397-08002B2CF9AE}" pid="8" name="xd_Signature">
    <vt:bool>false</vt:bool>
  </property>
  <property fmtid="{D5CDD505-2E9C-101B-9397-08002B2CF9AE}" pid="9" name="xd_ProgID">
    <vt:lpwstr/>
  </property>
  <property fmtid="{D5CDD505-2E9C-101B-9397-08002B2CF9AE}" pid="10" name="ComplianceAssetId">
    <vt:lpwstr/>
  </property>
  <property fmtid="{D5CDD505-2E9C-101B-9397-08002B2CF9AE}" pid="11" name="TemplateUrl">
    <vt:lpwstr/>
  </property>
  <property fmtid="{D5CDD505-2E9C-101B-9397-08002B2CF9AE}" pid="12" name="_ExtendedDescription">
    <vt:lpwstr/>
  </property>
  <property fmtid="{D5CDD505-2E9C-101B-9397-08002B2CF9AE}" pid="13" name="TriggerFlowInfo">
    <vt:lpwstr/>
  </property>
  <property fmtid="{D5CDD505-2E9C-101B-9397-08002B2CF9AE}" pid="14" name="ICV">
    <vt:lpwstr>1C1F6BAF6761446EACFC452FD9813325_12</vt:lpwstr>
  </property>
  <property fmtid="{D5CDD505-2E9C-101B-9397-08002B2CF9AE}" pid="15" name="KSOProductBuildVer">
    <vt:lpwstr>1033-12.2.0.23155</vt:lpwstr>
  </property>
</Properties>
</file>