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5.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openxmlformats.org/officeDocument/2006/relationships/customXml" Target="../customXml/item5.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6"/>
  </bookViews>
  <sheets>
    <sheet name="Header" sheetId="1" state="visible" r:id="rId3"/>
    <sheet name="ATD FY26 YTD" sheetId="2" state="visible" r:id="rId4"/>
    <sheet name="Detention FY26" sheetId="3" state="visible" r:id="rId5"/>
    <sheet name=" ICLOS and Detainees" sheetId="4" state="visible" r:id="rId6"/>
    <sheet name="Semiannual" sheetId="5" state="visible" r:id="rId7"/>
    <sheet name="Monthly Bond Statistics" sheetId="6" state="visible" r:id="rId8"/>
    <sheet name="Facilities FY26" sheetId="7" state="visible" r:id="rId9"/>
    <sheet name="FY26 Monthly Segregation" sheetId="8" state="visible" r:id="rId10"/>
    <sheet name="Vulnerable &amp; Special Population" sheetId="9" state="visible" r:id="rId11"/>
    <sheet name="Footnotes" sheetId="10" state="visible" r:id="rId12"/>
  </sheets>
  <definedNames>
    <definedName function="false" hidden="false" localSheetId="2" name="_xlnm.Print_Area" vbProcedure="false">'Detention FY26'!$A$1:$V$137</definedName>
    <definedName function="false" hidden="true" localSheetId="6" name="_xlnm._FilterDatabase" vbProcedure="false">'Facilities FY26'!$A$10:$AA$213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<sst xmlns="http://schemas.openxmlformats.org/spreadsheetml/2006/main" count="3907" uniqueCount="1418">
  <si>
    <t xml:space="preserve">ICE Detention Statistics</t>
  </si>
  <si>
    <t xml:space="preserve">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</si>
  <si>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</si>
  <si>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 xml:space="preserve">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</si>
  <si>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</si>
  <si>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 xml:space="preserve">U.S. Immigration and Customs Enforcement</t>
  </si>
  <si>
    <t xml:space="preserve">ICE ALTERNATIVES TO DETENTION DATA, FY26</t>
  </si>
  <si>
    <t xml:space="preserve">ATD Active Population Counts and Daily Cost by Technology</t>
  </si>
  <si>
    <t xml:space="preserve">FY26 thru March Court Appearance: Total Hearings*</t>
  </si>
  <si>
    <t xml:space="preserve">Technology</t>
  </si>
  <si>
    <t xml:space="preserve">Count</t>
  </si>
  <si>
    <t xml:space="preserve">Daily Tech Cost</t>
  </si>
  <si>
    <t xml:space="preserve">Metric</t>
  </si>
  <si>
    <t xml:space="preserve">%</t>
  </si>
  <si>
    <t xml:space="preserve">SmartLINK</t>
  </si>
  <si>
    <t xml:space="preserve">Attended</t>
  </si>
  <si>
    <t xml:space="preserve">Ankle Monitor</t>
  </si>
  <si>
    <t xml:space="preserve">Failed to Attend</t>
  </si>
  <si>
    <t xml:space="preserve">Wristworn</t>
  </si>
  <si>
    <t xml:space="preserve">Total</t>
  </si>
  <si>
    <t xml:space="preserve">Dual Tech</t>
  </si>
  <si>
    <t xml:space="preserve">Court Data from BI Inc. </t>
  </si>
  <si>
    <t xml:space="preserve">Data from BI Inc. Participants Report, 04.04.2026</t>
  </si>
  <si>
    <t xml:space="preserve">*Only Participants with court tracking assigned</t>
  </si>
  <si>
    <t xml:space="preserve">Costs listed above are only related to technology costs, and do not include other associated contract and case management costs that are a part of the ATD program. Average daily participant cost is greater than those listed in the table above.</t>
  </si>
  <si>
    <t xml:space="preserve">ATD Active Population by Status, Extended Case Management Service, Count and ALIP, FY26</t>
  </si>
  <si>
    <t xml:space="preserve">FAMU Status</t>
  </si>
  <si>
    <t xml:space="preserve">ALIP</t>
  </si>
  <si>
    <t xml:space="preserve">FAMU</t>
  </si>
  <si>
    <t xml:space="preserve">Single Adult</t>
  </si>
  <si>
    <t xml:space="preserve">FY26 thru March Court Appearance: Final Hearings*</t>
  </si>
  <si>
    <t xml:space="preserve">Data from OBP Report, 04.06.2026</t>
  </si>
  <si>
    <t xml:space="preserve">From '03/23/2026' and '04/05/2026', 10 FAMU individuals were released from ICE custody. </t>
  </si>
  <si>
    <t xml:space="preserve">Court Data from BI Inc.</t>
  </si>
  <si>
    <t xml:space="preserve">Active ATD Participants and Average Length in Program, FY26,  as of 04/04/2026, by AOR and Technology</t>
  </si>
  <si>
    <t xml:space="preserve">AOR/Technology</t>
  </si>
  <si>
    <t xml:space="preserve">Average Length in Program</t>
  </si>
  <si>
    <t xml:space="preserve">Atlanta</t>
  </si>
  <si>
    <t xml:space="preserve">Baltimore</t>
  </si>
  <si>
    <t xml:space="preserve">Boston</t>
  </si>
  <si>
    <t xml:space="preserve">Buffalo</t>
  </si>
  <si>
    <t xml:space="preserve">Chicago</t>
  </si>
  <si>
    <t xml:space="preserve">Dallas</t>
  </si>
  <si>
    <t xml:space="preserve">Denver</t>
  </si>
  <si>
    <t xml:space="preserve">Detroit</t>
  </si>
  <si>
    <t xml:space="preserve">El Paso</t>
  </si>
  <si>
    <t xml:space="preserve">Harlingen</t>
  </si>
  <si>
    <t xml:space="preserve">Houston</t>
  </si>
  <si>
    <t xml:space="preserve">Los Angeles</t>
  </si>
  <si>
    <t xml:space="preserve">Miami</t>
  </si>
  <si>
    <t xml:space="preserve">New Orleans</t>
  </si>
  <si>
    <t xml:space="preserve">New York</t>
  </si>
  <si>
    <t xml:space="preserve">Newark</t>
  </si>
  <si>
    <t xml:space="preserve">Philadelphia</t>
  </si>
  <si>
    <t xml:space="preserve">Phoenix</t>
  </si>
  <si>
    <t xml:space="preserve">Salt Lake City</t>
  </si>
  <si>
    <t xml:space="preserve">San Antonio</t>
  </si>
  <si>
    <t xml:space="preserve">San Diego</t>
  </si>
  <si>
    <t xml:space="preserve">San Francisco</t>
  </si>
  <si>
    <t xml:space="preserve">Seattle</t>
  </si>
  <si>
    <t xml:space="preserve">St Paul</t>
  </si>
  <si>
    <t xml:space="preserve">Washington DC</t>
  </si>
  <si>
    <t xml:space="preserve">ICE DETENTION DATA, FY2026</t>
  </si>
  <si>
    <t xml:space="preserve">ICE Currently Detained by Processing Disposition and Detention Facility Type: FY2026</t>
  </si>
  <si>
    <t xml:space="preserve">Average Time from USCIS Fear Decision Service Date to ICE Release (In Days)</t>
  </si>
  <si>
    <t xml:space="preserve">Aliens with USCIS-Established Fear Decisions in an ICE Detention Facility by Facility Type</t>
  </si>
  <si>
    <t xml:space="preserve">Processing Disposition</t>
  </si>
  <si>
    <t xml:space="preserve">FSC</t>
  </si>
  <si>
    <t xml:space="preserve">Adult</t>
  </si>
  <si>
    <t xml:space="preserve">ICE Release Fiscal Year</t>
  </si>
  <si>
    <t xml:space="preserve">Detention Facility Type</t>
  </si>
  <si>
    <t xml:space="preserve">Total Detained</t>
  </si>
  <si>
    <t xml:space="preserve">FY2026</t>
  </si>
  <si>
    <t xml:space="preserve">Expedited Removal (I-860)</t>
  </si>
  <si>
    <t xml:space="preserve">Notice to Appear (I-862)</t>
  </si>
  <si>
    <t xml:space="preserve">Reinstatement of Deport Order (I-871)</t>
  </si>
  <si>
    <t xml:space="preserve">Other</t>
  </si>
  <si>
    <t xml:space="preserve">ICE Currently Detained by Criminality and Arresting Agency: FY2026</t>
  </si>
  <si>
    <t xml:space="preserve">ICE Initial Book-Ins by Arresting Agency and Month: FY2026</t>
  </si>
  <si>
    <t xml:space="preserve">Criminality</t>
  </si>
  <si>
    <t xml:space="preserve">ICE</t>
  </si>
  <si>
    <t xml:space="preserve">Percent ICE</t>
  </si>
  <si>
    <t xml:space="preserve">CBP</t>
  </si>
  <si>
    <t xml:space="preserve">Percent CBP</t>
  </si>
  <si>
    <t xml:space="preserve">Agency</t>
  </si>
  <si>
    <t xml:space="preserve">Oct</t>
  </si>
  <si>
    <t xml:space="preserve">Nov</t>
  </si>
  <si>
    <t xml:space="preserve">Dec</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</si>
  <si>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</si>
  <si>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</si>
  <si>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</si>
  <si>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</si>
  <si>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</si>
  <si>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</si>
  <si>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</si>
  <si>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</si>
  <si>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</si>
  <si>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Convicted Criminal</t>
  </si>
  <si>
    <t xml:space="preserve">Pending Criminal Charges</t>
  </si>
  <si>
    <t xml:space="preserve">ICE  </t>
  </si>
  <si>
    <t xml:space="preserve">Other Immigration Violator</t>
  </si>
  <si>
    <t xml:space="preserve">ICE Initial Book-Ins by Facility Type and Criminality: FY2026</t>
  </si>
  <si>
    <t xml:space="preserve">ICE Final Book Outs by Facility Type: FY2026</t>
  </si>
  <si>
    <t xml:space="preserve">ICE Removals: FY2026</t>
  </si>
  <si>
    <t xml:space="preserve">Facility Type</t>
  </si>
  <si>
    <t xml:space="preserve">Removals</t>
  </si>
  <si>
    <t xml:space="preserve">Removals with a FAMU Identifier</t>
  </si>
  <si>
    <t xml:space="preserve">ICE Final Book Outs by Release Reason, Month and Criminality: FY2026</t>
  </si>
  <si>
    <t xml:space="preserve">Release Reason</t>
  </si>
  <si>
    <t xml:space="preserve">Bonded Out</t>
  </si>
  <si>
    <t xml:space="preserve">Bond Set by ICE</t>
  </si>
  <si>
    <t xml:space="preserve">Bond Set by IJ</t>
  </si>
  <si>
    <t xml:space="preserve">Court Ordered</t>
  </si>
  <si>
    <t xml:space="preserve">Order of Recognizance</t>
  </si>
  <si>
    <t xml:space="preserve">Order of Supervision</t>
  </si>
  <si>
    <t xml:space="preserve">Paroled</t>
  </si>
  <si>
    <t xml:space="preserve">Proceedings Terminated</t>
  </si>
  <si>
    <t xml:space="preserve">Release to Remove</t>
  </si>
  <si>
    <t xml:space="preserve">Relief Granted by IJ</t>
  </si>
  <si>
    <t xml:space="preserve">Transfer to U.S. Marshals or other agency</t>
  </si>
  <si>
    <t xml:space="preserve">Transferred</t>
  </si>
  <si>
    <t xml:space="preserve">ICE Average Daily Population by Arresting Agency, Month and Criminality: FY2026</t>
  </si>
  <si>
    <t xml:space="preserve">FY Overall</t>
  </si>
  <si>
    <t xml:space="preserve">CBP Average</t>
  </si>
  <si>
    <t xml:space="preserve">ICE Average  </t>
  </si>
  <si>
    <t xml:space="preserve">Average </t>
  </si>
  <si>
    <t xml:space="preserve">ICE Average Length of Stay by Arresting Agency, Month and Criminality: FY2026</t>
  </si>
  <si>
    <t xml:space="preserve">ICE Average Daily Population by Facility Type and Month: FY2026</t>
  </si>
  <si>
    <t xml:space="preserve">ICE Average Length of Stay by Facility Type and Month: FY2026</t>
  </si>
  <si>
    <t xml:space="preserve">ICE Average Length of Stay Adult Facility Type by Month and Arresting Agency: FY2026</t>
  </si>
  <si>
    <t xml:space="preserve">Arresting Agency</t>
  </si>
  <si>
    <t xml:space="preserve">Aliens with Positive Credible Fear Determination Parole Requested: FY2024 - FY2026</t>
  </si>
  <si>
    <t xml:space="preserve">Fiscal Year</t>
  </si>
  <si>
    <t xml:space="preserve">FY2025</t>
  </si>
  <si>
    <t xml:space="preserve">FY2024</t>
  </si>
  <si>
    <t xml:space="preserve">Aliens with Positive Credible Fear Determination Parole Status: FY2024 - FY2026</t>
  </si>
  <si>
    <t xml:space="preserve">Parole Status</t>
  </si>
  <si>
    <t xml:space="preserve">Parole Granted</t>
  </si>
  <si>
    <t xml:space="preserve">Parole Denied</t>
  </si>
  <si>
    <t xml:space="preserve">ICE Currently Detained of Stateless Aliens by Detention Facility</t>
  </si>
  <si>
    <t xml:space="preserve">Detention Facility</t>
  </si>
  <si>
    <t xml:space="preserve">Detention Facility Code</t>
  </si>
  <si>
    <t xml:space="preserve">ADAMS COUNTY CORRECTIONAL CENTER</t>
  </si>
  <si>
    <t xml:space="preserve">ADAMSMS</t>
  </si>
  <si>
    <t xml:space="preserve">ADELANTO ICE PROCESSING CENTER</t>
  </si>
  <si>
    <t xml:space="preserve">ADLNTCA</t>
  </si>
  <si>
    <t xml:space="preserve">BAKER C. I.</t>
  </si>
  <si>
    <t xml:space="preserve">FLBAKCI</t>
  </si>
  <si>
    <t xml:space="preserve">BAKER COUNTY SHERIFF DEPT.</t>
  </si>
  <si>
    <t xml:space="preserve">BAKERFL</t>
  </si>
  <si>
    <t xml:space="preserve">BUFFALO SPC</t>
  </si>
  <si>
    <t xml:space="preserve">BTV</t>
  </si>
  <si>
    <t xml:space="preserve">BUTLER COUNTY JAIL</t>
  </si>
  <si>
    <t xml:space="preserve">BUTLEOH</t>
  </si>
  <si>
    <t xml:space="preserve">CALHOMI CALHOUN CO., BATTLE CR,MI</t>
  </si>
  <si>
    <t xml:space="preserve">CALHOMI</t>
  </si>
  <si>
    <t xml:space="preserve">CALIFORNIA CITY CORECTIONS CENTER</t>
  </si>
  <si>
    <t xml:space="preserve">CACTYCA</t>
  </si>
  <si>
    <t xml:space="preserve">CAROLINE DETENTION FACILITY</t>
  </si>
  <si>
    <t xml:space="preserve">CARDFVA</t>
  </si>
  <si>
    <t xml:space="preserve">CCA NORTHEAST OH CORRECTS</t>
  </si>
  <si>
    <t xml:space="preserve">CCANOOH</t>
  </si>
  <si>
    <t xml:space="preserve">CCA, FLORENCE CORRECTIONAL CENTER</t>
  </si>
  <si>
    <t xml:space="preserve">CCAFLAZ</t>
  </si>
  <si>
    <t xml:space="preserve">CENTRAL LOUISIANA ICE PROC CTR</t>
  </si>
  <si>
    <t xml:space="preserve">JENADLA</t>
  </si>
  <si>
    <t xml:space="preserve">CHRISTIAN COUNTY JAIL</t>
  </si>
  <si>
    <t xml:space="preserve">CHRISKY</t>
  </si>
  <si>
    <t xml:space="preserve">DIAMONDBACK CORR FACILITY</t>
  </si>
  <si>
    <t xml:space="preserve">OKDBACK</t>
  </si>
  <si>
    <t xml:space="preserve">EDEN DETENTION CTR</t>
  </si>
  <si>
    <t xml:space="preserve">EDNDCTX</t>
  </si>
  <si>
    <t xml:space="preserve">EL PASO SPC</t>
  </si>
  <si>
    <t xml:space="preserve">EPC</t>
  </si>
  <si>
    <t xml:space="preserve">EL VALLE DETENTION FACILITY</t>
  </si>
  <si>
    <t xml:space="preserve">ELVDFTX</t>
  </si>
  <si>
    <t xml:space="preserve">ELOY FED CTR FACILITY (CORE CIVIC)</t>
  </si>
  <si>
    <t xml:space="preserve">EAZ</t>
  </si>
  <si>
    <t xml:space="preserve">FLORIDA SOFT-SIDED FACILITY -SOUTH</t>
  </si>
  <si>
    <t xml:space="preserve">FLDSSFS</t>
  </si>
  <si>
    <t xml:space="preserve">FOLKSTON D RAY ICE PROCESSING CTR</t>
  </si>
  <si>
    <t xml:space="preserve">FIPCDGA</t>
  </si>
  <si>
    <t xml:space="preserve">GEAUGA COUNTY JAIL (GEAUGOH)</t>
  </si>
  <si>
    <t xml:space="preserve">GEAUGOH</t>
  </si>
  <si>
    <t xml:space="preserve">GLADES COUNTY DETENTION CENTER</t>
  </si>
  <si>
    <t xml:space="preserve">GLADEFL</t>
  </si>
  <si>
    <t xml:space="preserve">HENDERSON DETENTION</t>
  </si>
  <si>
    <t xml:space="preserve">HENDENV</t>
  </si>
  <si>
    <t xml:space="preserve">HOUSTON CONTRACT DET.FAC.</t>
  </si>
  <si>
    <t xml:space="preserve">HOUICDF</t>
  </si>
  <si>
    <t xml:space="preserve">JACKSON PARISH CORRECTIONAL CENTER</t>
  </si>
  <si>
    <t xml:space="preserve">JKPCCLA</t>
  </si>
  <si>
    <t xml:space="preserve">KARNES CO IMMIGRATION PROCESS CTR</t>
  </si>
  <si>
    <t xml:space="preserve">KRNRCTX</t>
  </si>
  <si>
    <t xml:space="preserve">KROME NORTH SPC</t>
  </si>
  <si>
    <t xml:space="preserve">KRO</t>
  </si>
  <si>
    <t xml:space="preserve">LEWISBURG U.S. PEN.</t>
  </si>
  <si>
    <t xml:space="preserve">BOPLEW</t>
  </si>
  <si>
    <t xml:space="preserve">LOUISIANA ICE PROCESSING CENTER</t>
  </si>
  <si>
    <t xml:space="preserve">LICEPLA</t>
  </si>
  <si>
    <t xml:space="preserve">MIAMI CORRECTIONAL CENTER</t>
  </si>
  <si>
    <t xml:space="preserve">INMIAMI</t>
  </si>
  <si>
    <t xml:space="preserve">MIAMI FED.DET.CENTER</t>
  </si>
  <si>
    <t xml:space="preserve">BOPMIM</t>
  </si>
  <si>
    <t xml:space="preserve">OTAY MESA DETENTION CENTER</t>
  </si>
  <si>
    <t xml:space="preserve">CCASDCA</t>
  </si>
  <si>
    <t xml:space="preserve">OTERO CO PROCESSING CENTER</t>
  </si>
  <si>
    <t xml:space="preserve">OTRPCNM</t>
  </si>
  <si>
    <t xml:space="preserve">OZARK COUNTY SHERIFF'S OFFICE</t>
  </si>
  <si>
    <t xml:space="preserve">OZARKMO</t>
  </si>
  <si>
    <t xml:space="preserve">PINE PRAIRIE ICE PROCESSING CENTER</t>
  </si>
  <si>
    <t xml:space="preserve">PINEPLA</t>
  </si>
  <si>
    <t xml:space="preserve">PORT ISABEL SPC</t>
  </si>
  <si>
    <t xml:space="preserve">PIC</t>
  </si>
  <si>
    <t xml:space="preserve">PRAIRIELAND DETENTION CENTER</t>
  </si>
  <si>
    <t xml:space="preserve">PRLDCTX</t>
  </si>
  <si>
    <t xml:space="preserve">SHERBURNE COUNTY JAIL</t>
  </si>
  <si>
    <t xml:space="preserve">SHERBMN</t>
  </si>
  <si>
    <t xml:space="preserve">SOUTH TEXAS ICE PROCESSING CENTER</t>
  </si>
  <si>
    <t xml:space="preserve">STCDFTX</t>
  </si>
  <si>
    <t xml:space="preserve">STEWART DETENTION CENTER</t>
  </si>
  <si>
    <t xml:space="preserve">STWRTGA</t>
  </si>
  <si>
    <t xml:space="preserve">WINN CORRECTIONAL CENTER</t>
  </si>
  <si>
    <t xml:space="preserve">LAWINCI</t>
  </si>
  <si>
    <t xml:space="preserve">Average In Custody Length of Stay (ICLOS)</t>
  </si>
  <si>
    <t xml:space="preserve">Population </t>
  </si>
  <si>
    <t xml:space="preserve">January</t>
  </si>
  <si>
    <t xml:space="preserve">February</t>
  </si>
  <si>
    <t xml:space="preserve">March</t>
  </si>
  <si>
    <t xml:space="preserve">April</t>
  </si>
  <si>
    <t xml:space="preserve">June</t>
  </si>
  <si>
    <t xml:space="preserve">July</t>
  </si>
  <si>
    <t xml:space="preserve">August</t>
  </si>
  <si>
    <t xml:space="preserve">September</t>
  </si>
  <si>
    <t xml:space="preserve">October</t>
  </si>
  <si>
    <t xml:space="preserve">November</t>
  </si>
  <si>
    <t xml:space="preserve">December</t>
  </si>
  <si>
    <t xml:space="preserve">mid </t>
  </si>
  <si>
    <t xml:space="preserve">end</t>
  </si>
  <si>
    <t xml:space="preserve">Adult Facility Aliens</t>
  </si>
  <si>
    <t xml:space="preserve">FSC Facility Individuals</t>
  </si>
  <si>
    <t xml:space="preserve">Single Adults with a Positive Fear Determination Still in Custody</t>
  </si>
  <si>
    <t xml:space="preserve">Family Units with a Positive Fear Determination Still in Custody</t>
  </si>
  <si>
    <t xml:space="preserve">Detainees</t>
  </si>
  <si>
    <t xml:space="preserve">0-180 Days</t>
  </si>
  <si>
    <t xml:space="preserve">181-365 Days</t>
  </si>
  <si>
    <t xml:space="preserve">366-730 Days</t>
  </si>
  <si>
    <t xml:space="preserve">More than 730 Days</t>
  </si>
  <si>
    <t xml:space="preserve">The data contained within this Semiannual page has been refreshed for the United States Armed Forces, United States Citizens, Parents of United States Citizens, and Temporary Protective Status Countries tables. These tables will not be updated until after March 31, 2026.</t>
  </si>
  <si>
    <t xml:space="preserve">United States Armed Forces Alien Arrests FY2018 - FY2025</t>
  </si>
  <si>
    <t xml:space="preserve">Arrests</t>
  </si>
  <si>
    <t xml:space="preserve">FY2018</t>
  </si>
  <si>
    <t xml:space="preserve">FY2019</t>
  </si>
  <si>
    <t xml:space="preserve">FY2020</t>
  </si>
  <si>
    <t xml:space="preserve">FY2021</t>
  </si>
  <si>
    <t xml:space="preserve">FY2022 </t>
  </si>
  <si>
    <t xml:space="preserve">FY2023</t>
  </si>
  <si>
    <t xml:space="preserve">United States Armed Forces Alien Bookins FY2018 - FY2025</t>
  </si>
  <si>
    <t xml:space="preserve">Bookins</t>
  </si>
  <si>
    <t xml:space="preserve">United States Armed Forces Alien Removals FY2018 - FY2025</t>
  </si>
  <si>
    <t xml:space="preserve">United States Citizen Arrests FY2018 - FY2025</t>
  </si>
  <si>
    <t xml:space="preserve">FY2022</t>
  </si>
  <si>
    <t xml:space="preserve">United States Citizens Bookins FY2018 - FY2025</t>
  </si>
  <si>
    <t xml:space="preserve">United States Citizens Removals FY2018 - FY2025</t>
  </si>
  <si>
    <t xml:space="preserve">Parents of USC Arrests FY2018 - FY2025</t>
  </si>
  <si>
    <t xml:space="preserve">Parents of USC Bookins FY2018 - FY2025</t>
  </si>
  <si>
    <t xml:space="preserve">Parents of USC Removals FY2018 - FY2025</t>
  </si>
  <si>
    <t xml:space="preserve">Temporary Protected Status Countries Arrests FY2018 - FY2025</t>
  </si>
  <si>
    <t xml:space="preserve">Citizenship Country</t>
  </si>
  <si>
    <t xml:space="preserve">Afghanistan</t>
  </si>
  <si>
    <t xml:space="preserve">Burma (Myanmar)</t>
  </si>
  <si>
    <t xml:space="preserve">Cameroon</t>
  </si>
  <si>
    <t xml:space="preserve">El Salvador</t>
  </si>
  <si>
    <t xml:space="preserve">Ethiopia</t>
  </si>
  <si>
    <t xml:space="preserve">Haiti</t>
  </si>
  <si>
    <t xml:space="preserve">Honduras</t>
  </si>
  <si>
    <t xml:space="preserve">Lebanon</t>
  </si>
  <si>
    <t xml:space="preserve">Nepal</t>
  </si>
  <si>
    <t xml:space="preserve">Nicaragua</t>
  </si>
  <si>
    <t xml:space="preserve">Somalia</t>
  </si>
  <si>
    <t xml:space="preserve">South Sudan</t>
  </si>
  <si>
    <t xml:space="preserve">Sudan</t>
  </si>
  <si>
    <t xml:space="preserve">Syria</t>
  </si>
  <si>
    <t xml:space="preserve">Ukraine</t>
  </si>
  <si>
    <t xml:space="preserve">Venezuela</t>
  </si>
  <si>
    <t xml:space="preserve">Yemen</t>
  </si>
  <si>
    <t xml:space="preserve">Temporary Protected Status Countries Bookins FY2018 - FY2025</t>
  </si>
  <si>
    <t xml:space="preserve">Temporary Protected Status Countries Removals FY2018 - FY2025</t>
  </si>
  <si>
    <t xml:space="preserve">FY2026 Bonded Out Book Outs Count and ALOS - Prior 12 months plus Current Month</t>
  </si>
  <si>
    <t xml:space="preserve">Total ICE Final Book Outs</t>
  </si>
  <si>
    <t xml:space="preserve">ICE Final Book Outs with Bond Posted</t>
  </si>
  <si>
    <t xml:space="preserve">Bond Posted Book Outs/Releases (%)</t>
  </si>
  <si>
    <t xml:space="preserve">Average Bond Amount ($)</t>
  </si>
  <si>
    <t xml:space="preserve">ALOS (Days)</t>
  </si>
  <si>
    <t xml:space="preserve">These statistics are made available to the public pursuant to H.R. 1158 Sec. 218 - Department of Homeland Security Appropriations Act, 2020. The information in this report is subject to change.</t>
  </si>
  <si>
    <t xml:space="preserve">ICE Facilities Data, FY26</t>
  </si>
  <si>
    <t xml:space="preserve">ICE Enforcement and Removal Operations Data, FY26</t>
  </si>
  <si>
    <t xml:space="preserve">Data Source: ICE Integrated Decision Support (IIDS), 04/02/2026</t>
  </si>
  <si>
    <t xml:space="preserve">This list is limited to facilities that have a population count of greater than or equal to 1 as the time of the data pull. This list does not include HOLD, HOSPITAL, JUVENILE, MIRP, or ORR facilities.</t>
  </si>
  <si>
    <t xml:space="preserve">Facility Information</t>
  </si>
  <si>
    <t xml:space="preserve">Facility Average Length of Stay</t>
  </si>
  <si>
    <t xml:space="preserve">FY26 ADP: Detainee Classification Level</t>
  </si>
  <si>
    <t xml:space="preserve">FY26 ADP: Criminality</t>
  </si>
  <si>
    <t xml:space="preserve">FY26 ADP: ICE Threat Level</t>
  </si>
  <si>
    <t xml:space="preserve">FY26 ADP: Mandatory</t>
  </si>
  <si>
    <t xml:space="preserve">Contract Facility Inspections Information</t>
  </si>
  <si>
    <t xml:space="preserve">Name</t>
  </si>
  <si>
    <t xml:space="preserve">Address</t>
  </si>
  <si>
    <t xml:space="preserve">City</t>
  </si>
  <si>
    <t xml:space="preserve">State</t>
  </si>
  <si>
    <t xml:space="preserve">Zip</t>
  </si>
  <si>
    <t xml:space="preserve">AOR</t>
  </si>
  <si>
    <t xml:space="preserve">Type Detailed</t>
  </si>
  <si>
    <t xml:space="preserve">Male/Female</t>
  </si>
  <si>
    <t xml:space="preserve">FY26 ALOS</t>
  </si>
  <si>
    <t xml:space="preserve">Level A</t>
  </si>
  <si>
    <t xml:space="preserve">Level B</t>
  </si>
  <si>
    <t xml:space="preserve">Level C</t>
  </si>
  <si>
    <t xml:space="preserve">Level D</t>
  </si>
  <si>
    <t xml:space="preserve">Male Crim</t>
  </si>
  <si>
    <t xml:space="preserve">Male Non-Crim</t>
  </si>
  <si>
    <t xml:space="preserve">Female Crim</t>
  </si>
  <si>
    <t xml:space="preserve">Female Non-Crim</t>
  </si>
  <si>
    <t xml:space="preserve">ICE Threat Level 1</t>
  </si>
  <si>
    <t xml:space="preserve">ICE Threat Level 2</t>
  </si>
  <si>
    <t xml:space="preserve">ICE Threat Level 3</t>
  </si>
  <si>
    <t xml:space="preserve">No ICE Threat Level</t>
  </si>
  <si>
    <t xml:space="preserve">Mandatory</t>
  </si>
  <si>
    <t xml:space="preserve">Guaranteed Minimum</t>
  </si>
  <si>
    <t xml:space="preserve">Last Inspection Type</t>
  </si>
  <si>
    <t xml:space="preserve">Last Inspection End Date</t>
  </si>
  <si>
    <t xml:space="preserve">Last Inspection Standard</t>
  </si>
  <si>
    <t xml:space="preserve">Last Final Rating</t>
  </si>
  <si>
    <t xml:space="preserve">20 HOBO FORK RD.</t>
  </si>
  <si>
    <t xml:space="preserve">NATCHEZ</t>
  </si>
  <si>
    <t xml:space="preserve">MS</t>
  </si>
  <si>
    <t xml:space="preserve">39120</t>
  </si>
  <si>
    <t xml:space="preserve">NOL</t>
  </si>
  <si>
    <t xml:space="preserve">DIGSA</t>
  </si>
  <si>
    <t xml:space="preserve">Male</t>
  </si>
  <si>
    <t xml:space="preserve">ODO</t>
  </si>
  <si>
    <t xml:space="preserve">PBNDS 2011 - 2016 Revisions</t>
  </si>
  <si>
    <t xml:space="preserve">Pass</t>
  </si>
  <si>
    <t xml:space="preserve">10250 RANCHO ROAD</t>
  </si>
  <si>
    <t xml:space="preserve">ADELANTO</t>
  </si>
  <si>
    <t xml:space="preserve">CA</t>
  </si>
  <si>
    <t xml:space="preserve">92301</t>
  </si>
  <si>
    <t xml:space="preserve">LOS</t>
  </si>
  <si>
    <t xml:space="preserve">CDF</t>
  </si>
  <si>
    <t xml:space="preserve">ALEXANDRIA STAGING FACILITY</t>
  </si>
  <si>
    <t xml:space="preserve">96 GEORGE THOMPSON DR.</t>
  </si>
  <si>
    <t xml:space="preserve">ALEXANDRIA</t>
  </si>
  <si>
    <t xml:space="preserve">LA</t>
  </si>
  <si>
    <t xml:space="preserve">71303</t>
  </si>
  <si>
    <t xml:space="preserve">STAGING</t>
  </si>
  <si>
    <t xml:space="preserve">ALLEGANY COUNTY JAIL</t>
  </si>
  <si>
    <t xml:space="preserve">4884 STATE ROUTE 19</t>
  </si>
  <si>
    <t xml:space="preserve">BELMONT</t>
  </si>
  <si>
    <t xml:space="preserve">NY</t>
  </si>
  <si>
    <t xml:space="preserve">14813</t>
  </si>
  <si>
    <t xml:space="preserve">BUF</t>
  </si>
  <si>
    <t xml:space="preserve">USMS IGA</t>
  </si>
  <si>
    <t xml:space="preserve">Female/Male</t>
  </si>
  <si>
    <t xml:space="preserve">Scheduled FY26</t>
  </si>
  <si>
    <t xml:space="preserve">ALLEN PARISH PUBLIC SAFETY COMPLEX</t>
  </si>
  <si>
    <t xml:space="preserve">7340 HIGHWAY 26 WEST</t>
  </si>
  <si>
    <t xml:space="preserve">OBERLIN</t>
  </si>
  <si>
    <t xml:space="preserve">70655</t>
  </si>
  <si>
    <t xml:space="preserve">IGSA</t>
  </si>
  <si>
    <t xml:space="preserve">BAKER CORRECTIONAL INSTITUTION</t>
  </si>
  <si>
    <t xml:space="preserve">20706 US 90 W</t>
  </si>
  <si>
    <t xml:space="preserve">SANDERSON</t>
  </si>
  <si>
    <t xml:space="preserve">FL</t>
  </si>
  <si>
    <t xml:space="preserve">32087</t>
  </si>
  <si>
    <t xml:space="preserve">MIA</t>
  </si>
  <si>
    <t xml:space="preserve">STATE</t>
  </si>
  <si>
    <t xml:space="preserve">1 SHERIFF OFFICE DRIVE</t>
  </si>
  <si>
    <t xml:space="preserve">MACCLENNY</t>
  </si>
  <si>
    <t xml:space="preserve">32063</t>
  </si>
  <si>
    <t xml:space="preserve">NDS 2019</t>
  </si>
  <si>
    <t xml:space="preserve">BALDWIN COUNTY CORRECTIONAL CENTER</t>
  </si>
  <si>
    <t xml:space="preserve">200 HAND AVE.</t>
  </si>
  <si>
    <t xml:space="preserve">BAY MINETTE</t>
  </si>
  <si>
    <t xml:space="preserve">AL</t>
  </si>
  <si>
    <t xml:space="preserve">36507</t>
  </si>
  <si>
    <t xml:space="preserve">Fail</t>
  </si>
  <si>
    <t xml:space="preserve">BERLIN FED. CORR. INST.</t>
  </si>
  <si>
    <t xml:space="preserve">1 SUCCESS LOOP DR.</t>
  </si>
  <si>
    <t xml:space="preserve">BERLIN</t>
  </si>
  <si>
    <t xml:space="preserve">NH</t>
  </si>
  <si>
    <t xml:space="preserve">03570</t>
  </si>
  <si>
    <t xml:space="preserve">BOS</t>
  </si>
  <si>
    <t xml:space="preserve">BOP</t>
  </si>
  <si>
    <t xml:space="preserve">BLUEBONNET DETENTION FACILITY</t>
  </si>
  <si>
    <t xml:space="preserve">400 2ND STREET</t>
  </si>
  <si>
    <t xml:space="preserve">ANSON</t>
  </si>
  <si>
    <t xml:space="preserve">TX</t>
  </si>
  <si>
    <t xml:space="preserve">79501</t>
  </si>
  <si>
    <t xml:space="preserve">DAL</t>
  </si>
  <si>
    <t xml:space="preserve">BOONE COUNTY JAIL</t>
  </si>
  <si>
    <t xml:space="preserve">3020 CONRAD LANE</t>
  </si>
  <si>
    <t xml:space="preserve">BURLINGTON</t>
  </si>
  <si>
    <t xml:space="preserve">KY</t>
  </si>
  <si>
    <t xml:space="preserve">41005</t>
  </si>
  <si>
    <t xml:space="preserve">CHI</t>
  </si>
  <si>
    <t xml:space="preserve">BROOKLYN MDC</t>
  </si>
  <si>
    <t xml:space="preserve">100 29TH STREET</t>
  </si>
  <si>
    <t xml:space="preserve">BROOKLYN</t>
  </si>
  <si>
    <t xml:space="preserve">11232</t>
  </si>
  <si>
    <t xml:space="preserve">NYC</t>
  </si>
  <si>
    <t xml:space="preserve">BROOME COUNTY JAIL</t>
  </si>
  <si>
    <t xml:space="preserve">897 FRONT STREET</t>
  </si>
  <si>
    <t xml:space="preserve">BINGHAMTON</t>
  </si>
  <si>
    <t xml:space="preserve">13905</t>
  </si>
  <si>
    <t xml:space="preserve">BROWARD COUNTY JAIL</t>
  </si>
  <si>
    <t xml:space="preserve">555 SE 1ST AVENUE</t>
  </si>
  <si>
    <t xml:space="preserve">FT.LAUDERDALE</t>
  </si>
  <si>
    <t xml:space="preserve">33301</t>
  </si>
  <si>
    <t xml:space="preserve">BROWARD TRANSITIONAL CENTER</t>
  </si>
  <si>
    <t xml:space="preserve">3900 NORTH POWERLINE ROAD</t>
  </si>
  <si>
    <t xml:space="preserve">POMPANO BEACH</t>
  </si>
  <si>
    <t xml:space="preserve">33073</t>
  </si>
  <si>
    <t xml:space="preserve">BUFFALO SERVICE PROCESSING CENTER</t>
  </si>
  <si>
    <t xml:space="preserve">4250 FEDERAL DRIVE</t>
  </si>
  <si>
    <t xml:space="preserve">BATAVIA</t>
  </si>
  <si>
    <t xml:space="preserve">14020</t>
  </si>
  <si>
    <t xml:space="preserve">SPC</t>
  </si>
  <si>
    <t xml:space="preserve">BURLEIGH COUNTY</t>
  </si>
  <si>
    <t xml:space="preserve">P.O. BOX 1416</t>
  </si>
  <si>
    <t xml:space="preserve">BISMARCK</t>
  </si>
  <si>
    <t xml:space="preserve">ND</t>
  </si>
  <si>
    <t xml:space="preserve">58502</t>
  </si>
  <si>
    <t xml:space="preserve">SPM</t>
  </si>
  <si>
    <t xml:space="preserve">705 HANOVER STREET</t>
  </si>
  <si>
    <t xml:space="preserve">HAMILTON</t>
  </si>
  <si>
    <t xml:space="preserve">OH</t>
  </si>
  <si>
    <t xml:space="preserve">45011</t>
  </si>
  <si>
    <t xml:space="preserve">DET</t>
  </si>
  <si>
    <t xml:space="preserve">ORSA</t>
  </si>
  <si>
    <t xml:space="preserve">Scheduled FY27</t>
  </si>
  <si>
    <t xml:space="preserve">ORSA NDS 2019</t>
  </si>
  <si>
    <t xml:space="preserve">CALHOUN COUNTY CORRECTIONAL CENTER</t>
  </si>
  <si>
    <t xml:space="preserve">185 EAST MICHIGAN AVENUE</t>
  </si>
  <si>
    <t xml:space="preserve">BATTLE CREEK</t>
  </si>
  <si>
    <t xml:space="preserve">MI</t>
  </si>
  <si>
    <t xml:space="preserve">49014</t>
  </si>
  <si>
    <t xml:space="preserve">CALIFORNIA CITY IMMIGRATION PROCESSING CENTER</t>
  </si>
  <si>
    <t xml:space="preserve">22844 VIRGINIA BOULEVARD</t>
  </si>
  <si>
    <t xml:space="preserve">CALIFORNIA CITY</t>
  </si>
  <si>
    <t xml:space="preserve">93505</t>
  </si>
  <si>
    <t xml:space="preserve">SFR</t>
  </si>
  <si>
    <t xml:space="preserve">CAMBRIA COUNTY PRISON</t>
  </si>
  <si>
    <t xml:space="preserve">425 MANOR DRIVE</t>
  </si>
  <si>
    <t xml:space="preserve">EBENSBURG</t>
  </si>
  <si>
    <t xml:space="preserve">PA</t>
  </si>
  <si>
    <t xml:space="preserve">15931</t>
  </si>
  <si>
    <t xml:space="preserve">PHI</t>
  </si>
  <si>
    <t xml:space="preserve">CAMPBELL CO DET CTR</t>
  </si>
  <si>
    <t xml:space="preserve">601 CENTRAL AVE</t>
  </si>
  <si>
    <t xml:space="preserve">NEWPORT</t>
  </si>
  <si>
    <t xml:space="preserve">41071</t>
  </si>
  <si>
    <t xml:space="preserve">11093 S.W. LEWIS MEMORIAL DRIVE</t>
  </si>
  <si>
    <t xml:space="preserve">BOWLING GREEN</t>
  </si>
  <si>
    <t xml:space="preserve">VA</t>
  </si>
  <si>
    <t xml:space="preserve">22427</t>
  </si>
  <si>
    <t xml:space="preserve">WAS</t>
  </si>
  <si>
    <t xml:space="preserve">CASCADE COUNTY JAIL, MT</t>
  </si>
  <si>
    <t xml:space="preserve">3800 ULM NORTH FRONTAGE ROAD</t>
  </si>
  <si>
    <t xml:space="preserve">GREAT FALLS</t>
  </si>
  <si>
    <t xml:space="preserve">MT</t>
  </si>
  <si>
    <t xml:space="preserve">59404</t>
  </si>
  <si>
    <t xml:space="preserve">SLC</t>
  </si>
  <si>
    <t xml:space="preserve">CASS COUNTY JAIL</t>
  </si>
  <si>
    <t xml:space="preserve">336 MAIN STREET</t>
  </si>
  <si>
    <t xml:space="preserve">PLATTSMOUTH</t>
  </si>
  <si>
    <t xml:space="preserve">NE</t>
  </si>
  <si>
    <t xml:space="preserve">68048</t>
  </si>
  <si>
    <t xml:space="preserve">1100 BOWLING ROAD</t>
  </si>
  <si>
    <t xml:space="preserve">FLORENCE</t>
  </si>
  <si>
    <t xml:space="preserve">AZ</t>
  </si>
  <si>
    <t xml:space="preserve">85232</t>
  </si>
  <si>
    <t xml:space="preserve">PHO</t>
  </si>
  <si>
    <t xml:space="preserve">USMS CDF</t>
  </si>
  <si>
    <t xml:space="preserve">CENTRAL LOUISIANA ICE PROCESSING CENTER (CLIPC)</t>
  </si>
  <si>
    <t xml:space="preserve">830 PINEHILL ROAD</t>
  </si>
  <si>
    <t xml:space="preserve">JENA</t>
  </si>
  <si>
    <t xml:space="preserve">71342</t>
  </si>
  <si>
    <t xml:space="preserve">CHASE COUNTY JAIL</t>
  </si>
  <si>
    <t xml:space="preserve">301 SOUTH WALNUT STREET</t>
  </si>
  <si>
    <t xml:space="preserve">COTTONWOOD FALL</t>
  </si>
  <si>
    <t xml:space="preserve">KS</t>
  </si>
  <si>
    <t xml:space="preserve">66845</t>
  </si>
  <si>
    <t xml:space="preserve">CHIPPEWA COUNTY SSM</t>
  </si>
  <si>
    <t xml:space="preserve">325 COURT STREET</t>
  </si>
  <si>
    <t xml:space="preserve">SAULT STE MARIE</t>
  </si>
  <si>
    <t xml:space="preserve">49783</t>
  </si>
  <si>
    <t xml:space="preserve">CHITTENDEN REGIONAL CORRECTIONAL FACILITY</t>
  </si>
  <si>
    <t xml:space="preserve">7 FARRELL STREET</t>
  </si>
  <si>
    <t xml:space="preserve">SOUTH BURLINGTON</t>
  </si>
  <si>
    <t xml:space="preserve">VT</t>
  </si>
  <si>
    <t xml:space="preserve">05403</t>
  </si>
  <si>
    <t xml:space="preserve">410 WEST 7TH STREET,</t>
  </si>
  <si>
    <t xml:space="preserve">HOPKINSVILLE</t>
  </si>
  <si>
    <t xml:space="preserve">42240</t>
  </si>
  <si>
    <t xml:space="preserve">CIBOLA COUNTY CORRECTIONAL CENTER</t>
  </si>
  <si>
    <t xml:space="preserve">2000 CIBOLA LOOP</t>
  </si>
  <si>
    <t xml:space="preserve">MILAN</t>
  </si>
  <si>
    <t xml:space="preserve">NM</t>
  </si>
  <si>
    <t xml:space="preserve">87021</t>
  </si>
  <si>
    <t xml:space="preserve">ELP</t>
  </si>
  <si>
    <t xml:space="preserve">CIMMARRON CORR FACILITY</t>
  </si>
  <si>
    <t xml:space="preserve">3700 S. KINGS HWY</t>
  </si>
  <si>
    <t xml:space="preserve">CUSHING</t>
  </si>
  <si>
    <t xml:space="preserve">OK</t>
  </si>
  <si>
    <t xml:space="preserve">74023</t>
  </si>
  <si>
    <t xml:space="preserve">Preoccupancy</t>
  </si>
  <si>
    <t xml:space="preserve">FPBDS</t>
  </si>
  <si>
    <t xml:space="preserve">CLARK COUNTY JAIL (IN)</t>
  </si>
  <si>
    <t xml:space="preserve">501 EAST COURT AVE.</t>
  </si>
  <si>
    <t xml:space="preserve">JEFFERSONVILLE</t>
  </si>
  <si>
    <t xml:space="preserve">IN</t>
  </si>
  <si>
    <t xml:space="preserve">47130</t>
  </si>
  <si>
    <t xml:space="preserve">CLAY COUNTY JUSTICE CENTER</t>
  </si>
  <si>
    <t xml:space="preserve">611 EAST JACKSON STREET</t>
  </si>
  <si>
    <t xml:space="preserve">BRAZIL</t>
  </si>
  <si>
    <t xml:space="preserve">47834</t>
  </si>
  <si>
    <t xml:space="preserve">CLINTON COUNTY CORRECTIONAL FACILITY</t>
  </si>
  <si>
    <t xml:space="preserve">58 PINE MOUNTAIN RD.</t>
  </si>
  <si>
    <t xml:space="preserve">MCELHATTAN</t>
  </si>
  <si>
    <t xml:space="preserve">17748</t>
  </si>
  <si>
    <t xml:space="preserve">CLINTON COUNTY JAIL</t>
  </si>
  <si>
    <t xml:space="preserve">301 E WALNUT STREET</t>
  </si>
  <si>
    <t xml:space="preserve">FRANKFORT</t>
  </si>
  <si>
    <t xml:space="preserve">46041</t>
  </si>
  <si>
    <t xml:space="preserve">COASTAL BEND DETENTION FACILITY</t>
  </si>
  <si>
    <t xml:space="preserve">4909 FM 2826</t>
  </si>
  <si>
    <t xml:space="preserve">ROBSTOWN</t>
  </si>
  <si>
    <t xml:space="preserve">78380</t>
  </si>
  <si>
    <t xml:space="preserve">HLG</t>
  </si>
  <si>
    <t xml:space="preserve">ODO OASIP</t>
  </si>
  <si>
    <t xml:space="preserve">COLLIER COUNTY NAPLES JAIL CENTER</t>
  </si>
  <si>
    <t xml:space="preserve">3347 TAMIAMI TRAIL E</t>
  </si>
  <si>
    <t xml:space="preserve">NAPLES</t>
  </si>
  <si>
    <t xml:space="preserve">34112</t>
  </si>
  <si>
    <t xml:space="preserve">CORR. CTR OF NORTHWEST OHIO</t>
  </si>
  <si>
    <t xml:space="preserve">3151 COUNTY ROAD 2425</t>
  </si>
  <si>
    <t xml:space="preserve">STRYKER</t>
  </si>
  <si>
    <t xml:space="preserve">43557</t>
  </si>
  <si>
    <t xml:space="preserve">CROW WING COUNTY JAIL</t>
  </si>
  <si>
    <t xml:space="preserve">313 LAUREL ST</t>
  </si>
  <si>
    <t xml:space="preserve">BRAINERD</t>
  </si>
  <si>
    <t xml:space="preserve">MN</t>
  </si>
  <si>
    <t xml:space="preserve">56401</t>
  </si>
  <si>
    <t xml:space="preserve">Final Rating Pending</t>
  </si>
  <si>
    <t xml:space="preserve">DAKOTA COUNTY JAIL</t>
  </si>
  <si>
    <t xml:space="preserve">1601 BROADWAY</t>
  </si>
  <si>
    <t xml:space="preserve">DAKOTA CITY</t>
  </si>
  <si>
    <t xml:space="preserve">68731</t>
  </si>
  <si>
    <t xml:space="preserve">DAVIESS COUNTY DETENTION</t>
  </si>
  <si>
    <t xml:space="preserve">3337 HIGHWAY 144</t>
  </si>
  <si>
    <t xml:space="preserve">OWENSBORO</t>
  </si>
  <si>
    <t xml:space="preserve">42303</t>
  </si>
  <si>
    <t xml:space="preserve">DAVIS COUNTY</t>
  </si>
  <si>
    <t xml:space="preserve">800 WEST STATE STREET</t>
  </si>
  <si>
    <t xml:space="preserve">FARMINGTON</t>
  </si>
  <si>
    <t xml:space="preserve">UT</t>
  </si>
  <si>
    <t xml:space="preserve">84025</t>
  </si>
  <si>
    <t xml:space="preserve">DELANEY HALL DETENTION FACILITY</t>
  </si>
  <si>
    <t xml:space="preserve">451 DOREMUS AVENUE</t>
  </si>
  <si>
    <t xml:space="preserve">NEWARK</t>
  </si>
  <si>
    <t xml:space="preserve">NJ</t>
  </si>
  <si>
    <t xml:space="preserve">07105</t>
  </si>
  <si>
    <t xml:space="preserve">NEW</t>
  </si>
  <si>
    <t xml:space="preserve">DENVER CONTRACT DETENTION FACILITY</t>
  </si>
  <si>
    <t xml:space="preserve">3130 OAKLAND ST</t>
  </si>
  <si>
    <t xml:space="preserve">AURORA</t>
  </si>
  <si>
    <t xml:space="preserve">CO</t>
  </si>
  <si>
    <t xml:space="preserve">80010</t>
  </si>
  <si>
    <t xml:space="preserve">DEN</t>
  </si>
  <si>
    <t xml:space="preserve">DEPARTMENT OF CORRECTIONS HAGATNA</t>
  </si>
  <si>
    <t xml:space="preserve">203 ASPINAL AVE. PO BOX 3236</t>
  </si>
  <si>
    <t xml:space="preserve">HAGATNA</t>
  </si>
  <si>
    <t xml:space="preserve">GU</t>
  </si>
  <si>
    <t xml:space="preserve">96910</t>
  </si>
  <si>
    <t xml:space="preserve">DESERT VIEW ANNEX</t>
  </si>
  <si>
    <t xml:space="preserve">10450 RANCHO ROAD</t>
  </si>
  <si>
    <t xml:space="preserve">ROUTE 2, BOX 336</t>
  </si>
  <si>
    <t xml:space="preserve">WATONGA</t>
  </si>
  <si>
    <t xml:space="preserve">73772</t>
  </si>
  <si>
    <t xml:space="preserve">NDS 2025</t>
  </si>
  <si>
    <t xml:space="preserve">DILLEY IMMIGRATION PROCESSING CENTER</t>
  </si>
  <si>
    <t xml:space="preserve">300 EL RANCHO WAY</t>
  </si>
  <si>
    <t xml:space="preserve">DILLEY</t>
  </si>
  <si>
    <t xml:space="preserve">78017</t>
  </si>
  <si>
    <t xml:space="preserve">SNA</t>
  </si>
  <si>
    <t xml:space="preserve">FAMILY</t>
  </si>
  <si>
    <t xml:space="preserve">FRS</t>
  </si>
  <si>
    <t xml:space="preserve">DILLEY PROCESSING SINGLE ADULT FEMALE</t>
  </si>
  <si>
    <t xml:space="preserve">Female</t>
  </si>
  <si>
    <t xml:space="preserve">DODGE COUNTY JAIL</t>
  </si>
  <si>
    <t xml:space="preserve">215 WEST CENTRAL STREET</t>
  </si>
  <si>
    <t xml:space="preserve">JUNEAU</t>
  </si>
  <si>
    <t xml:space="preserve">WI</t>
  </si>
  <si>
    <t xml:space="preserve">53039</t>
  </si>
  <si>
    <t xml:space="preserve">DOUGLAS COUNTY</t>
  </si>
  <si>
    <t xml:space="preserve">1409 HAMMOND AVENUE</t>
  </si>
  <si>
    <t xml:space="preserve">SUPERIOR</t>
  </si>
  <si>
    <t xml:space="preserve">54880</t>
  </si>
  <si>
    <t xml:space="preserve">EAST HIDALGO DETENTION CENTER</t>
  </si>
  <si>
    <t xml:space="preserve">1330 HIGHWAY 107</t>
  </si>
  <si>
    <t xml:space="preserve">LA VILLA</t>
  </si>
  <si>
    <t xml:space="preserve">78562</t>
  </si>
  <si>
    <t xml:space="preserve">702 E BROADWAY ST</t>
  </si>
  <si>
    <t xml:space="preserve">EDEN</t>
  </si>
  <si>
    <t xml:space="preserve">76837</t>
  </si>
  <si>
    <t xml:space="preserve">EL PASO SERVICE PROCESSING CENTER</t>
  </si>
  <si>
    <t xml:space="preserve">8915 MONTANA AVE.</t>
  </si>
  <si>
    <t xml:space="preserve">EL PASO</t>
  </si>
  <si>
    <t xml:space="preserve">79925</t>
  </si>
  <si>
    <t xml:space="preserve">1800 INDUSTRIAL DRIVE</t>
  </si>
  <si>
    <t xml:space="preserve">RAYMONDVILLE</t>
  </si>
  <si>
    <t xml:space="preserve">78580</t>
  </si>
  <si>
    <t xml:space="preserve">ELIZABETH CONTRACT DETENTION FACILITY</t>
  </si>
  <si>
    <t xml:space="preserve">625 EVANS STREET</t>
  </si>
  <si>
    <t xml:space="preserve">ELIZABETH</t>
  </si>
  <si>
    <t xml:space="preserve">07201</t>
  </si>
  <si>
    <t xml:space="preserve">ELMORE COUNTY JAIL</t>
  </si>
  <si>
    <t xml:space="preserve">2255 E. 8TH NORTH</t>
  </si>
  <si>
    <t xml:space="preserve">MOUNTAIN HOME</t>
  </si>
  <si>
    <t xml:space="preserve">ID</t>
  </si>
  <si>
    <t xml:space="preserve">83647</t>
  </si>
  <si>
    <t xml:space="preserve">ELOY FEDERAL CONTRACT FACILITY</t>
  </si>
  <si>
    <t xml:space="preserve">1705 EAST HANNA RD.</t>
  </si>
  <si>
    <t xml:space="preserve">ELOY</t>
  </si>
  <si>
    <t xml:space="preserve">85131</t>
  </si>
  <si>
    <t xml:space="preserve">ERO EL PASO CAMP EAST MONTANA</t>
  </si>
  <si>
    <t xml:space="preserve">6920 DIGITAL RD</t>
  </si>
  <si>
    <t xml:space="preserve">79936</t>
  </si>
  <si>
    <t xml:space="preserve">ETOWAH COUNTY JAIL</t>
  </si>
  <si>
    <t xml:space="preserve">827 FORREST AVENUE</t>
  </si>
  <si>
    <t xml:space="preserve">GADSDEN</t>
  </si>
  <si>
    <t xml:space="preserve">35901</t>
  </si>
  <si>
    <t xml:space="preserve">NDS</t>
  </si>
  <si>
    <t xml:space="preserve">FARMVILLE DETENTION CENTER</t>
  </si>
  <si>
    <t xml:space="preserve">508 WATERWORKS ROAD</t>
  </si>
  <si>
    <t xml:space="preserve">FARMVILLE</t>
  </si>
  <si>
    <t xml:space="preserve">23901</t>
  </si>
  <si>
    <t xml:space="preserve">FCI ATLANTA</t>
  </si>
  <si>
    <t xml:space="preserve">601 MCDONOUGH BOULEVARD, SE</t>
  </si>
  <si>
    <t xml:space="preserve">ATLANTA</t>
  </si>
  <si>
    <t xml:space="preserve">GA</t>
  </si>
  <si>
    <t xml:space="preserve">30315</t>
  </si>
  <si>
    <t xml:space="preserve">ATL</t>
  </si>
  <si>
    <t xml:space="preserve">FDC PHILADELPHIA</t>
  </si>
  <si>
    <t xml:space="preserve">700 ARCH ST.</t>
  </si>
  <si>
    <t xml:space="preserve">PHILADELPHIA</t>
  </si>
  <si>
    <t xml:space="preserve">19106</t>
  </si>
  <si>
    <t xml:space="preserve">FLAGLER COUNTY JAIL</t>
  </si>
  <si>
    <t xml:space="preserve">1002 JUSICE LANE</t>
  </si>
  <si>
    <t xml:space="preserve">BUNNELL</t>
  </si>
  <si>
    <t xml:space="preserve">32110</t>
  </si>
  <si>
    <t xml:space="preserve">FLORENCE SERVICE PROCESSING CENTER</t>
  </si>
  <si>
    <t xml:space="preserve">3250 NORTH PINAL PARKWAY</t>
  </si>
  <si>
    <t xml:space="preserve">85132</t>
  </si>
  <si>
    <t xml:space="preserve">FLORENCE STAGING FACILITY</t>
  </si>
  <si>
    <t xml:space="preserve">FLORIDA SOFT-SIDED FACILITY</t>
  </si>
  <si>
    <t xml:space="preserve">54575 TAMIAMI TRL E</t>
  </si>
  <si>
    <t xml:space="preserve">OCHOPEE</t>
  </si>
  <si>
    <t xml:space="preserve">34141</t>
  </si>
  <si>
    <t xml:space="preserve">FLOYD COUNTY JAIL</t>
  </si>
  <si>
    <t xml:space="preserve">2526 NEW CALHOUN HWY</t>
  </si>
  <si>
    <t xml:space="preserve">ROME</t>
  </si>
  <si>
    <t xml:space="preserve">30161</t>
  </si>
  <si>
    <t xml:space="preserve">FOLKSTON ANNEX IPC</t>
  </si>
  <si>
    <t xml:space="preserve">3424 HWY 252 EAST</t>
  </si>
  <si>
    <t xml:space="preserve">FOLKSTON</t>
  </si>
  <si>
    <t xml:space="preserve">31537</t>
  </si>
  <si>
    <t xml:space="preserve">3262 HIGHWAY 252</t>
  </si>
  <si>
    <t xml:space="preserve">FOLKSTON MAIN IPC</t>
  </si>
  <si>
    <t xml:space="preserve">3026 HWY 252 EAST</t>
  </si>
  <si>
    <t xml:space="preserve">FREEBORN COUNTY ADULT DETENTION CENTER</t>
  </si>
  <si>
    <t xml:space="preserve">411 SOUTH BROADWAY AVENUE</t>
  </si>
  <si>
    <t xml:space="preserve">ALBERT LEA</t>
  </si>
  <si>
    <t xml:space="preserve">56007</t>
  </si>
  <si>
    <t xml:space="preserve">FULTON CO JAIL INDIANA</t>
  </si>
  <si>
    <t xml:space="preserve">2006 SWEETGUM RD</t>
  </si>
  <si>
    <t xml:space="preserve">ROCHESTER</t>
  </si>
  <si>
    <t xml:space="preserve">46975</t>
  </si>
  <si>
    <t xml:space="preserve">GEAUGA COUNTY JAIL</t>
  </si>
  <si>
    <t xml:space="preserve">12450 MERRITT DR</t>
  </si>
  <si>
    <t xml:space="preserve">CHARDON</t>
  </si>
  <si>
    <t xml:space="preserve">44024</t>
  </si>
  <si>
    <t xml:space="preserve">1297 EAST SR 78</t>
  </si>
  <si>
    <t xml:space="preserve">MOORE HAVEN</t>
  </si>
  <si>
    <t xml:space="preserve">33471</t>
  </si>
  <si>
    <t xml:space="preserve">GOLDEN STATE ANNEX</t>
  </si>
  <si>
    <t xml:space="preserve">611 FRONTAGE RD</t>
  </si>
  <si>
    <t xml:space="preserve">MCFARLAND</t>
  </si>
  <si>
    <t xml:space="preserve">93250</t>
  </si>
  <si>
    <t xml:space="preserve">GRAND FORKS COUNTY CORRECTIONAL FACILITY</t>
  </si>
  <si>
    <t xml:space="preserve">1701 NORTH WASHINGTON ST</t>
  </si>
  <si>
    <t xml:space="preserve">GRAND FORKS</t>
  </si>
  <si>
    <t xml:space="preserve">58203</t>
  </si>
  <si>
    <t xml:space="preserve">GRAYSON COUNTY JAIL</t>
  </si>
  <si>
    <t xml:space="preserve">320 SHAW STATION ROAD</t>
  </si>
  <si>
    <t xml:space="preserve">LEITCHFIELD</t>
  </si>
  <si>
    <t xml:space="preserve">42754</t>
  </si>
  <si>
    <t xml:space="preserve">GREENE COUNTY JAIL</t>
  </si>
  <si>
    <t xml:space="preserve">1199 N HASELTINE RD</t>
  </si>
  <si>
    <t xml:space="preserve">SPRINGFIELD</t>
  </si>
  <si>
    <t xml:space="preserve">MO</t>
  </si>
  <si>
    <t xml:space="preserve">65802</t>
  </si>
  <si>
    <t xml:space="preserve">HALL COUNTY DEPARTMENT OF CORRECTIONS</t>
  </si>
  <si>
    <t xml:space="preserve">110 PUBLIC SAFETY DRIVE</t>
  </si>
  <si>
    <t xml:space="preserve">GRAND ISLAND</t>
  </si>
  <si>
    <t xml:space="preserve">68801</t>
  </si>
  <si>
    <t xml:space="preserve">HANCOCK COUNTY PUBLIC SAFETY COMPLEX</t>
  </si>
  <si>
    <t xml:space="preserve">8450 HIGHWAY 90</t>
  </si>
  <si>
    <t xml:space="preserve">BAY ST. LOUIS</t>
  </si>
  <si>
    <t xml:space="preserve">39520</t>
  </si>
  <si>
    <t xml:space="preserve">HARDIN COUNTY JAIL</t>
  </si>
  <si>
    <t xml:space="preserve">1116 14TH AVENUE</t>
  </si>
  <si>
    <t xml:space="preserve">ELDORA</t>
  </si>
  <si>
    <t xml:space="preserve">IA</t>
  </si>
  <si>
    <t xml:space="preserve">50627</t>
  </si>
  <si>
    <t xml:space="preserve">18 E BASIC ROAD</t>
  </si>
  <si>
    <t xml:space="preserve">HENDERSON</t>
  </si>
  <si>
    <t xml:space="preserve">NV</t>
  </si>
  <si>
    <t xml:space="preserve">89015</t>
  </si>
  <si>
    <t xml:space="preserve">HONOLULU FEDERAL DETENTION CENTER</t>
  </si>
  <si>
    <t xml:space="preserve">351 ELLIOTT ST.</t>
  </si>
  <si>
    <t xml:space="preserve">HONOLULU</t>
  </si>
  <si>
    <t xml:space="preserve">HI</t>
  </si>
  <si>
    <t xml:space="preserve">96819</t>
  </si>
  <si>
    <t xml:space="preserve">HOPKINS COUNTY JAIL</t>
  </si>
  <si>
    <t xml:space="preserve">2250 LAFOON TRAIL</t>
  </si>
  <si>
    <t xml:space="preserve">MADISONVILLE</t>
  </si>
  <si>
    <t xml:space="preserve">42431</t>
  </si>
  <si>
    <t xml:space="preserve">HOUSTON CONTRACT DETENTION FACILITY</t>
  </si>
  <si>
    <t xml:space="preserve">15850 EXPORT PLAZA DRIVE</t>
  </si>
  <si>
    <t xml:space="preserve">HOUSTON</t>
  </si>
  <si>
    <t xml:space="preserve">77032</t>
  </si>
  <si>
    <t xml:space="preserve">HOU</t>
  </si>
  <si>
    <t xml:space="preserve">IAH SECURE ADULT DETENTION FACILITY (POLK)</t>
  </si>
  <si>
    <t xml:space="preserve">3400 FM 350 SOUTH</t>
  </si>
  <si>
    <t xml:space="preserve">LIVINGSTON</t>
  </si>
  <si>
    <t xml:space="preserve">77351</t>
  </si>
  <si>
    <t xml:space="preserve">IMPERIAL REGIONAL DETENTION FACILITY</t>
  </si>
  <si>
    <t xml:space="preserve">1572 GATEWAY</t>
  </si>
  <si>
    <t xml:space="preserve">CALEXICO</t>
  </si>
  <si>
    <t xml:space="preserve">92231</t>
  </si>
  <si>
    <t xml:space="preserve">SND</t>
  </si>
  <si>
    <t xml:space="preserve">IRWIN COUNTY DETENTION CENTER</t>
  </si>
  <si>
    <t xml:space="preserve">132 COTTON DRIVE</t>
  </si>
  <si>
    <t xml:space="preserve">OCILLA</t>
  </si>
  <si>
    <t xml:space="preserve">31772</t>
  </si>
  <si>
    <t xml:space="preserve">327 INDUSTRIAL DRIVE</t>
  </si>
  <si>
    <t xml:space="preserve">JONESBORO</t>
  </si>
  <si>
    <t xml:space="preserve">71251</t>
  </si>
  <si>
    <t xml:space="preserve">JEFFERSON COUNTY JAIL</t>
  </si>
  <si>
    <t xml:space="preserve">219 EAST FREMONT AVENUE</t>
  </si>
  <si>
    <t xml:space="preserve">RIGBY</t>
  </si>
  <si>
    <t xml:space="preserve">83442</t>
  </si>
  <si>
    <t xml:space="preserve">JOE CORLEY PROCESSING CTR</t>
  </si>
  <si>
    <t xml:space="preserve">500 HILBIG RD</t>
  </si>
  <si>
    <t xml:space="preserve">CONROE</t>
  </si>
  <si>
    <t xml:space="preserve">77301</t>
  </si>
  <si>
    <t xml:space="preserve">JTF CAMP SIX</t>
  </si>
  <si>
    <t xml:space="preserve">AVENUE C PSC 1005 BOX 55</t>
  </si>
  <si>
    <t xml:space="preserve">FPO</t>
  </si>
  <si>
    <t xml:space="preserve">34009</t>
  </si>
  <si>
    <t xml:space="preserve">DOD</t>
  </si>
  <si>
    <t xml:space="preserve">KANDIYOHI COUNTY JAIL</t>
  </si>
  <si>
    <t xml:space="preserve">2201 23RD ST NE</t>
  </si>
  <si>
    <t xml:space="preserve">WILLMAR</t>
  </si>
  <si>
    <t xml:space="preserve">56201</t>
  </si>
  <si>
    <t xml:space="preserve">KARNES COUNTY CORRECTIONAL CENTER</t>
  </si>
  <si>
    <t xml:space="preserve">810 COMMERCE STREET</t>
  </si>
  <si>
    <t xml:space="preserve">KARNES CITY</t>
  </si>
  <si>
    <t xml:space="preserve">78118</t>
  </si>
  <si>
    <t xml:space="preserve">KARNES COUNTY IMMIGRATION PROCESSING CENTER</t>
  </si>
  <si>
    <t xml:space="preserve">409 FM 1144</t>
  </si>
  <si>
    <t xml:space="preserve">KAY CO JUSTICE FACILITY</t>
  </si>
  <si>
    <t xml:space="preserve">1101 WEST DRY ROAD</t>
  </si>
  <si>
    <t xml:space="preserve">NEWKIRK</t>
  </si>
  <si>
    <t xml:space="preserve">74647</t>
  </si>
  <si>
    <t xml:space="preserve">KENTON COUNTY JAIL</t>
  </si>
  <si>
    <t xml:space="preserve">3000 DECKER CRANE LANE</t>
  </si>
  <si>
    <t xml:space="preserve">COVINGTON</t>
  </si>
  <si>
    <t xml:space="preserve">41017</t>
  </si>
  <si>
    <t xml:space="preserve">KNOX COUNTY DETENTION FACILITY</t>
  </si>
  <si>
    <t xml:space="preserve">5001 MALONEYVILLE RD</t>
  </si>
  <si>
    <t xml:space="preserve">KNOXVILLE</t>
  </si>
  <si>
    <t xml:space="preserve">TN</t>
  </si>
  <si>
    <t xml:space="preserve">37918</t>
  </si>
  <si>
    <t xml:space="preserve">KROME NORTH SERVICE PROCESSING CENTER</t>
  </si>
  <si>
    <t xml:space="preserve">18201 SW 12TH ST</t>
  </si>
  <si>
    <t xml:space="preserve">MIAMI</t>
  </si>
  <si>
    <t xml:space="preserve">33194</t>
  </si>
  <si>
    <t xml:space="preserve">LA SALLE COUNTY REGIONAL DETENTION CENTER</t>
  </si>
  <si>
    <t xml:space="preserve">832 EAST TEXAS STATE HIGHWAY 44</t>
  </si>
  <si>
    <t xml:space="preserve">ENCINAL</t>
  </si>
  <si>
    <t xml:space="preserve">78019</t>
  </si>
  <si>
    <t xml:space="preserve">LAFAYETTE PARISH CORRECTIONAL CENTER</t>
  </si>
  <si>
    <t xml:space="preserve">916 LAFAYETTE STREET</t>
  </si>
  <si>
    <t xml:space="preserve">LAFAYETTE</t>
  </si>
  <si>
    <t xml:space="preserve">70501</t>
  </si>
  <si>
    <t xml:space="preserve">LARAMIE COUNTY JAIL</t>
  </si>
  <si>
    <t xml:space="preserve">1910 PIONEER AVENUE</t>
  </si>
  <si>
    <t xml:space="preserve">CHEYENNE</t>
  </si>
  <si>
    <t xml:space="preserve">WY</t>
  </si>
  <si>
    <t xml:space="preserve">82001</t>
  </si>
  <si>
    <t xml:space="preserve">LAREDO PROCESSING CENTER</t>
  </si>
  <si>
    <t xml:space="preserve">4702 EAST SAUNDERS STREET</t>
  </si>
  <si>
    <t xml:space="preserve">LAREDO</t>
  </si>
  <si>
    <t xml:space="preserve">78041</t>
  </si>
  <si>
    <t xml:space="preserve">LAUREL COUNTY CORRECTIONAL CENTER</t>
  </si>
  <si>
    <t xml:space="preserve">440 HAMMOCK ROAD</t>
  </si>
  <si>
    <t xml:space="preserve">LONDON</t>
  </si>
  <si>
    <t xml:space="preserve">40744</t>
  </si>
  <si>
    <t xml:space="preserve">LAWRENCE COUNTY</t>
  </si>
  <si>
    <t xml:space="preserve">80 SHERMAN STREET</t>
  </si>
  <si>
    <t xml:space="preserve">DEADWOOD</t>
  </si>
  <si>
    <t xml:space="preserve">SD</t>
  </si>
  <si>
    <t xml:space="preserve">57732</t>
  </si>
  <si>
    <t xml:space="preserve">LEWISBURG US PENITENTIARY</t>
  </si>
  <si>
    <t xml:space="preserve">P.O. BOX 1000</t>
  </si>
  <si>
    <t xml:space="preserve">LEWISBURG</t>
  </si>
  <si>
    <t xml:space="preserve">17837</t>
  </si>
  <si>
    <t xml:space="preserve">LEXINGTON COUNTY JAIL</t>
  </si>
  <si>
    <t xml:space="preserve">521 GIBSON ROAD</t>
  </si>
  <si>
    <t xml:space="preserve">LEXINGTON</t>
  </si>
  <si>
    <t xml:space="preserve">SC</t>
  </si>
  <si>
    <t xml:space="preserve">29072</t>
  </si>
  <si>
    <t xml:space="preserve">LIBERTY COUNTY JAIL</t>
  </si>
  <si>
    <t xml:space="preserve">12499 NW POGO ST PO BOX 67</t>
  </si>
  <si>
    <t xml:space="preserve">BRISTOL</t>
  </si>
  <si>
    <t xml:space="preserve">32321</t>
  </si>
  <si>
    <t xml:space="preserve">LIMESTONE COUNTY DETENTION CENTER</t>
  </si>
  <si>
    <t xml:space="preserve">910 NORTH TYUS STREET</t>
  </si>
  <si>
    <t xml:space="preserve">GROESBECK</t>
  </si>
  <si>
    <t xml:space="preserve">76642</t>
  </si>
  <si>
    <t xml:space="preserve">LINCOLN COUNTY JAIL</t>
  </si>
  <si>
    <t xml:space="preserve">3020 N JEFFERS</t>
  </si>
  <si>
    <t xml:space="preserve">NORTH PLATTE</t>
  </si>
  <si>
    <t xml:space="preserve">69101</t>
  </si>
  <si>
    <t xml:space="preserve">LINN COUNTY JAIL</t>
  </si>
  <si>
    <t xml:space="preserve">53 3RD AVENUE BRIDGE</t>
  </si>
  <si>
    <t xml:space="preserve">CEDAR RAPIDS</t>
  </si>
  <si>
    <t xml:space="preserve">52401</t>
  </si>
  <si>
    <t xml:space="preserve">LOGAN COUNTY JAIL</t>
  </si>
  <si>
    <t xml:space="preserve">216 S BROAD ST</t>
  </si>
  <si>
    <t xml:space="preserve">GUTHRIE</t>
  </si>
  <si>
    <t xml:space="preserve">73044</t>
  </si>
  <si>
    <t xml:space="preserve">LOUISIANA ICE PROCESSING</t>
  </si>
  <si>
    <t xml:space="preserve">18198 TUNICA TRACE BLDG E</t>
  </si>
  <si>
    <t xml:space="preserve">ANGOLA</t>
  </si>
  <si>
    <t xml:space="preserve">70712</t>
  </si>
  <si>
    <t xml:space="preserve">MADISON COUNTY JAIL</t>
  </si>
  <si>
    <t xml:space="preserve">2935 HIGHWAY 51</t>
  </si>
  <si>
    <t xml:space="preserve">CANTON</t>
  </si>
  <si>
    <t xml:space="preserve">39046</t>
  </si>
  <si>
    <t xml:space="preserve">MAHONING COUNTY JAIL</t>
  </si>
  <si>
    <t xml:space="preserve">110 FIFTH AVENUE</t>
  </si>
  <si>
    <t xml:space="preserve">YOUNGSTOWN</t>
  </si>
  <si>
    <t xml:space="preserve">44503</t>
  </si>
  <si>
    <t xml:space="preserve">MARTIN COUNTY JAIL</t>
  </si>
  <si>
    <t xml:space="preserve">800 SOUTHEAST MONTEREY ROAD</t>
  </si>
  <si>
    <t xml:space="preserve">STUART</t>
  </si>
  <si>
    <t xml:space="preserve">34994</t>
  </si>
  <si>
    <t xml:space="preserve">MCCOOK DETENTION CENTER</t>
  </si>
  <si>
    <t xml:space="preserve">2309 N HIGHWAY 83</t>
  </si>
  <si>
    <t xml:space="preserve">MCCOOK</t>
  </si>
  <si>
    <t xml:space="preserve">69001</t>
  </si>
  <si>
    <t xml:space="preserve">MESA VERDE ICE PROCESSING CENTER</t>
  </si>
  <si>
    <t xml:space="preserve">425 GOLDEN STATE AVE</t>
  </si>
  <si>
    <t xml:space="preserve">BAKERSFIELD</t>
  </si>
  <si>
    <t xml:space="preserve">93301</t>
  </si>
  <si>
    <t xml:space="preserve">3038 WEST 850 SOUTH P.O. BOX 900</t>
  </si>
  <si>
    <t xml:space="preserve">BUNKERHILL</t>
  </si>
  <si>
    <t xml:space="preserve">46914</t>
  </si>
  <si>
    <t xml:space="preserve">MIAMI FEDERAL DETENTION</t>
  </si>
  <si>
    <t xml:space="preserve">33 NE 4 STREET</t>
  </si>
  <si>
    <t xml:space="preserve">33132</t>
  </si>
  <si>
    <t xml:space="preserve">MIAMI STAGING FACILITY</t>
  </si>
  <si>
    <t xml:space="preserve">UNAVAILABLE</t>
  </si>
  <si>
    <t xml:space="preserve">33101</t>
  </si>
  <si>
    <t xml:space="preserve">MIDWEST REGIONAL RECEPTION CENTER</t>
  </si>
  <si>
    <t xml:space="preserve">100 HIGHWAY TERRACE</t>
  </si>
  <si>
    <t xml:space="preserve">LEAVENWORTH</t>
  </si>
  <si>
    <t xml:space="preserve">66048</t>
  </si>
  <si>
    <t xml:space="preserve">MILLER COUNTY JAIL</t>
  </si>
  <si>
    <t xml:space="preserve">2300 EAST STREET</t>
  </si>
  <si>
    <t xml:space="preserve">TEXARKANA</t>
  </si>
  <si>
    <t xml:space="preserve">AR</t>
  </si>
  <si>
    <t xml:space="preserve">71854</t>
  </si>
  <si>
    <t xml:space="preserve">MINICASSIA DETENTION CENTER</t>
  </si>
  <si>
    <t xml:space="preserve">1415 ALBION AVENUE</t>
  </si>
  <si>
    <t xml:space="preserve">BURLEY</t>
  </si>
  <si>
    <t xml:space="preserve">83318</t>
  </si>
  <si>
    <t xml:space="preserve">MINNEHAHA COUNTY JAIL</t>
  </si>
  <si>
    <t xml:space="preserve">500 NORTH MINNESOTA AVENUE</t>
  </si>
  <si>
    <t xml:space="preserve">SIOUX FALLS</t>
  </si>
  <si>
    <t xml:space="preserve">57104</t>
  </si>
  <si>
    <t xml:space="preserve">MONROE COUNTY DETENTION-DORM</t>
  </si>
  <si>
    <t xml:space="preserve">7000 EAST DUNBAR ROAD</t>
  </si>
  <si>
    <t xml:space="preserve">MONROE</t>
  </si>
  <si>
    <t xml:space="preserve">48161</t>
  </si>
  <si>
    <t xml:space="preserve">MONTGOMERY ICE PROCESSING CENTER</t>
  </si>
  <si>
    <t xml:space="preserve">806 HILBIG RD</t>
  </si>
  <si>
    <t xml:space="preserve">MOSHANNON VALLEY PROCESSING CENTER</t>
  </si>
  <si>
    <t xml:space="preserve">555 GEO DRIVE</t>
  </si>
  <si>
    <t xml:space="preserve">PHILIPSBURG</t>
  </si>
  <si>
    <t xml:space="preserve">16866</t>
  </si>
  <si>
    <t xml:space="preserve">MUSCATINE COUNTY JAIL</t>
  </si>
  <si>
    <t xml:space="preserve">400 WALNUT STREET</t>
  </si>
  <si>
    <t xml:space="preserve">MUSCATINE</t>
  </si>
  <si>
    <t xml:space="preserve">52761</t>
  </si>
  <si>
    <t xml:space="preserve">NATRONA COUNTY JAIL</t>
  </si>
  <si>
    <t xml:space="preserve">1100 BRUCE LANE</t>
  </si>
  <si>
    <t xml:space="preserve">CASPER</t>
  </si>
  <si>
    <t xml:space="preserve">82601</t>
  </si>
  <si>
    <t xml:space="preserve">NELSON COLEMAN CORRECTION</t>
  </si>
  <si>
    <t xml:space="preserve">5061 HIGHWAY 3127</t>
  </si>
  <si>
    <t xml:space="preserve">KILLONA</t>
  </si>
  <si>
    <t xml:space="preserve">70057</t>
  </si>
  <si>
    <t xml:space="preserve">NEVADA SOUTHERN DETENTION CENTER</t>
  </si>
  <si>
    <t xml:space="preserve">2190 EAST MESQUITE AVENUE</t>
  </si>
  <si>
    <t xml:space="preserve">PAHRUMP</t>
  </si>
  <si>
    <t xml:space="preserve">89060</t>
  </si>
  <si>
    <t xml:space="preserve">NEW HANOVER COUNTY JAIL</t>
  </si>
  <si>
    <t xml:space="preserve">3950 JUVENILE RD</t>
  </si>
  <si>
    <t xml:space="preserve">CASTLE HAYNE</t>
  </si>
  <si>
    <t xml:space="preserve">NC</t>
  </si>
  <si>
    <t xml:space="preserve">28429</t>
  </si>
  <si>
    <t xml:space="preserve">NIAGARA COUNTY JAIL</t>
  </si>
  <si>
    <t xml:space="preserve">5526 NIAGARA STREET EXTENTION</t>
  </si>
  <si>
    <t xml:space="preserve">LOCKPORT</t>
  </si>
  <si>
    <t xml:space="preserve">14094</t>
  </si>
  <si>
    <t xml:space="preserve">NORTH LAKE CORRECTIONAL FACILITY</t>
  </si>
  <si>
    <t xml:space="preserve">1805 W 32ND ST</t>
  </si>
  <si>
    <t xml:space="preserve">BALDWIN</t>
  </si>
  <si>
    <t xml:space="preserve">49304</t>
  </si>
  <si>
    <t xml:space="preserve">NORTHEAST OHIO CORRECTIONAL CENTER</t>
  </si>
  <si>
    <t xml:space="preserve">2240 HUBBARD ROAD</t>
  </si>
  <si>
    <t xml:space="preserve">44505</t>
  </si>
  <si>
    <t xml:space="preserve">NORTHWEST ICE PROCESSSING CENTER</t>
  </si>
  <si>
    <t xml:space="preserve">1623 E. J STREET</t>
  </si>
  <si>
    <t xml:space="preserve">TACOMA</t>
  </si>
  <si>
    <t xml:space="preserve">WA</t>
  </si>
  <si>
    <t xml:space="preserve">98421</t>
  </si>
  <si>
    <t xml:space="preserve">SEA</t>
  </si>
  <si>
    <t xml:space="preserve">NORTHWEST REGIONAL CORRECTIONS CENTER</t>
  </si>
  <si>
    <t xml:space="preserve">816 MARIN AVE., SUITE 110</t>
  </si>
  <si>
    <t xml:space="preserve">CROOKSTON</t>
  </si>
  <si>
    <t xml:space="preserve">56716</t>
  </si>
  <si>
    <t xml:space="preserve">NORTHWEST STATE CORRECTIONAL CENTER</t>
  </si>
  <si>
    <t xml:space="preserve">3649 LOWER NEWTON ROAD</t>
  </si>
  <si>
    <t xml:space="preserve">SWANTON</t>
  </si>
  <si>
    <t xml:space="preserve">05488</t>
  </si>
  <si>
    <t xml:space="preserve">OLDHAM COUNTY DETENTION CENTER</t>
  </si>
  <si>
    <t xml:space="preserve">3405 W HWY 146</t>
  </si>
  <si>
    <t xml:space="preserve">LA GRANGE</t>
  </si>
  <si>
    <t xml:space="preserve">40031</t>
  </si>
  <si>
    <t xml:space="preserve">ORANGE COUNTY JAIL (FL)</t>
  </si>
  <si>
    <t xml:space="preserve">3855 SOUTH JOHN YOUNG PARKWAY</t>
  </si>
  <si>
    <t xml:space="preserve">ORLANDO</t>
  </si>
  <si>
    <t xml:space="preserve">32839</t>
  </si>
  <si>
    <t xml:space="preserve">ORANGE COUNTY JAIL (NY)</t>
  </si>
  <si>
    <t xml:space="preserve">110 WELLS FARM ROAD</t>
  </si>
  <si>
    <t xml:space="preserve">GOSHEN</t>
  </si>
  <si>
    <t xml:space="preserve">10924</t>
  </si>
  <si>
    <t xml:space="preserve">7488 CALZADA DE LA FUENTE</t>
  </si>
  <si>
    <t xml:space="preserve">SAN DIEGO</t>
  </si>
  <si>
    <t xml:space="preserve">92154</t>
  </si>
  <si>
    <t xml:space="preserve">OTERO COUNTY PROCESSING CENTER</t>
  </si>
  <si>
    <t xml:space="preserve">26 MCGREGOR RANGE ROAD</t>
  </si>
  <si>
    <t xml:space="preserve">CHAPARRAL</t>
  </si>
  <si>
    <t xml:space="preserve">88081</t>
  </si>
  <si>
    <t xml:space="preserve">1818 COUNTY ROAD 806</t>
  </si>
  <si>
    <t xml:space="preserve">GAINESVILLE</t>
  </si>
  <si>
    <t xml:space="preserve">65655</t>
  </si>
  <si>
    <t xml:space="preserve">PENNINGTON COUNTY JAIL (SOUTH DAKOTA)</t>
  </si>
  <si>
    <t xml:space="preserve">300 KANSAS CITY STREET NONE</t>
  </si>
  <si>
    <t xml:space="preserve">RAPID CITY</t>
  </si>
  <si>
    <t xml:space="preserve">57701</t>
  </si>
  <si>
    <t xml:space="preserve">PHELPS COUNTY JAIL (MO)</t>
  </si>
  <si>
    <t xml:space="preserve">301 W. 2ND</t>
  </si>
  <si>
    <t xml:space="preserve">ROLLA</t>
  </si>
  <si>
    <t xml:space="preserve">65401</t>
  </si>
  <si>
    <t xml:space="preserve">PHELPS COUNTY JAIL (NE)</t>
  </si>
  <si>
    <t xml:space="preserve">715 5TH AVENUE</t>
  </si>
  <si>
    <t xml:space="preserve">HOLDREGE</t>
  </si>
  <si>
    <t xml:space="preserve">68949</t>
  </si>
  <si>
    <t xml:space="preserve">PICKENS COUNTY DETENTION CENTER</t>
  </si>
  <si>
    <t xml:space="preserve">188 CEMETERY ST</t>
  </si>
  <si>
    <t xml:space="preserve">CARROLLTON</t>
  </si>
  <si>
    <t xml:space="preserve">35447</t>
  </si>
  <si>
    <t xml:space="preserve">PIKE COUNTY JAIL</t>
  </si>
  <si>
    <t xml:space="preserve">175 PIKE COUNTY BOULEVARD</t>
  </si>
  <si>
    <t xml:space="preserve">LORDS VALLEY</t>
  </si>
  <si>
    <t xml:space="preserve">18428</t>
  </si>
  <si>
    <t xml:space="preserve">1133 HAMPTON DUPRE ROAD</t>
  </si>
  <si>
    <t xml:space="preserve">PINE PRAIRIE</t>
  </si>
  <si>
    <t xml:space="preserve">70576</t>
  </si>
  <si>
    <t xml:space="preserve">PINELLAS COUNTY JAIL</t>
  </si>
  <si>
    <t xml:space="preserve">14400 49TH STREET NORTH</t>
  </si>
  <si>
    <t xml:space="preserve">CLEARWATER</t>
  </si>
  <si>
    <t xml:space="preserve">33762</t>
  </si>
  <si>
    <t xml:space="preserve">PLYMOUTH COUNTY CORRECTIONAL FACILITY</t>
  </si>
  <si>
    <t xml:space="preserve">26 LONG POND ROAD</t>
  </si>
  <si>
    <t xml:space="preserve">PLYMOUTH</t>
  </si>
  <si>
    <t xml:space="preserve">MA</t>
  </si>
  <si>
    <t xml:space="preserve">02360</t>
  </si>
  <si>
    <t xml:space="preserve">POLK COUNTY JAIL</t>
  </si>
  <si>
    <t xml:space="preserve">1985 NE 51ST PLACE</t>
  </si>
  <si>
    <t xml:space="preserve">DES MOINES</t>
  </si>
  <si>
    <t xml:space="preserve">50313</t>
  </si>
  <si>
    <t xml:space="preserve">27991 BUENA VISTA BOULEVARD</t>
  </si>
  <si>
    <t xml:space="preserve">LOS FRESNOS</t>
  </si>
  <si>
    <t xml:space="preserve">78566</t>
  </si>
  <si>
    <t xml:space="preserve">POTTAWATTAMIE COUNTY JAIL</t>
  </si>
  <si>
    <t xml:space="preserve">1400 BIG LAKE ROAD</t>
  </si>
  <si>
    <t xml:space="preserve">COUNCIL BLUFFS</t>
  </si>
  <si>
    <t xml:space="preserve">51501</t>
  </si>
  <si>
    <t xml:space="preserve">1209 SUNFLOWER LN</t>
  </si>
  <si>
    <t xml:space="preserve">ALVARADO</t>
  </si>
  <si>
    <t xml:space="preserve">76009</t>
  </si>
  <si>
    <t xml:space="preserve">RICHWOOD CORRECTIONAL CENTER</t>
  </si>
  <si>
    <t xml:space="preserve">180 PINE BAYOU CIRCLE</t>
  </si>
  <si>
    <t xml:space="preserve">71202</t>
  </si>
  <si>
    <t xml:space="preserve">RIO GRANDE DETENTION CENTER</t>
  </si>
  <si>
    <t xml:space="preserve">1001 SAN RIO BOULEVARD</t>
  </si>
  <si>
    <t xml:space="preserve">78046</t>
  </si>
  <si>
    <t xml:space="preserve">RIVER CORRECTIONAL CENTER</t>
  </si>
  <si>
    <t xml:space="preserve">26362 HIGHWAY 15</t>
  </si>
  <si>
    <t xml:space="preserve">FERRIDAY</t>
  </si>
  <si>
    <t xml:space="preserve">71334</t>
  </si>
  <si>
    <t xml:space="preserve">RIVERSIDE REGIONAL JAIL</t>
  </si>
  <si>
    <t xml:space="preserve">1000 RIVER ROAD</t>
  </si>
  <si>
    <t xml:space="preserve">HOPEWELL</t>
  </si>
  <si>
    <t xml:space="preserve">23860</t>
  </si>
  <si>
    <t xml:space="preserve">ROBERT A DEYTON DETENTION FACILITY</t>
  </si>
  <si>
    <t xml:space="preserve">11866 HASTINGS BRIDGE ROAD P.O. BOX 429</t>
  </si>
  <si>
    <t xml:space="preserve">LOVEJOY</t>
  </si>
  <si>
    <t xml:space="preserve">30250</t>
  </si>
  <si>
    <t xml:space="preserve">SAIPAN DEPARTMENT OF CORRECTIONS (SUSUPE)</t>
  </si>
  <si>
    <t xml:space="preserve">VICENTE T. SEMAN BLDG, CIVIC CENTER</t>
  </si>
  <si>
    <t xml:space="preserve">SAIPAN</t>
  </si>
  <si>
    <t xml:space="preserve">MP</t>
  </si>
  <si>
    <t xml:space="preserve">96950</t>
  </si>
  <si>
    <t xml:space="preserve">SALT LAKE COUNTY METRO JAIL</t>
  </si>
  <si>
    <t xml:space="preserve">3415 SOUTH 900 WEST</t>
  </si>
  <si>
    <t xml:space="preserve">SALT LAKE CITY</t>
  </si>
  <si>
    <t xml:space="preserve">84119</t>
  </si>
  <si>
    <t xml:space="preserve">SAN JUAN STAGING</t>
  </si>
  <si>
    <t xml:space="preserve">651 FEDERAL DRIVE, SUITE 104</t>
  </si>
  <si>
    <t xml:space="preserve">GUAYNABO</t>
  </si>
  <si>
    <t xml:space="preserve">PR</t>
  </si>
  <si>
    <t xml:space="preserve">00965</t>
  </si>
  <si>
    <t xml:space="preserve">SAN LUIS REGIONAL DETENTION CENTER</t>
  </si>
  <si>
    <t xml:space="preserve">406 NORTH AVENUE D</t>
  </si>
  <si>
    <t xml:space="preserve">SAN LUIS</t>
  </si>
  <si>
    <t xml:space="preserve">85349</t>
  </si>
  <si>
    <t xml:space="preserve">SARPY COUNTY JAIL</t>
  </si>
  <si>
    <t xml:space="preserve">1208 GOLDEN GATE DRIVE</t>
  </si>
  <si>
    <t xml:space="preserve">PAPILLION</t>
  </si>
  <si>
    <t xml:space="preserve">68046</t>
  </si>
  <si>
    <t xml:space="preserve">SAUK COUNTY SHERIFF</t>
  </si>
  <si>
    <t xml:space="preserve">1300 LANGE CT.</t>
  </si>
  <si>
    <t xml:space="preserve">BARABOO</t>
  </si>
  <si>
    <t xml:space="preserve">53913</t>
  </si>
  <si>
    <t xml:space="preserve">SCOTT COUNTY DET. FACILITY</t>
  </si>
  <si>
    <t xml:space="preserve">416 W 4TH ST</t>
  </si>
  <si>
    <t xml:space="preserve">DAVENPORT</t>
  </si>
  <si>
    <t xml:space="preserve">52801</t>
  </si>
  <si>
    <t xml:space="preserve">SENECA COUNTY JAIL</t>
  </si>
  <si>
    <t xml:space="preserve">3040 SOUTH STATE HIGHWAY 100</t>
  </si>
  <si>
    <t xml:space="preserve">TIFFIN</t>
  </si>
  <si>
    <t xml:space="preserve">44883</t>
  </si>
  <si>
    <t xml:space="preserve">13880 BUSINESS CENTER DRIVE</t>
  </si>
  <si>
    <t xml:space="preserve">ELK RIVER</t>
  </si>
  <si>
    <t xml:space="preserve">55330</t>
  </si>
  <si>
    <t xml:space="preserve">SIOUX COUNTY JAIL</t>
  </si>
  <si>
    <t xml:space="preserve">4363 IRONWOOD AVENUE</t>
  </si>
  <si>
    <t xml:space="preserve">ORANGE CITY</t>
  </si>
  <si>
    <t xml:space="preserve">51041</t>
  </si>
  <si>
    <t xml:space="preserve">SOUTH LOUISIANA ICE PROCESSING CENTER</t>
  </si>
  <si>
    <t xml:space="preserve">3843 STAGG AVENUE</t>
  </si>
  <si>
    <t xml:space="preserve">BASILE</t>
  </si>
  <si>
    <t xml:space="preserve">70515</t>
  </si>
  <si>
    <t xml:space="preserve">566 VETERANS DRIVE</t>
  </si>
  <si>
    <t xml:space="preserve">PEARSALL</t>
  </si>
  <si>
    <t xml:space="preserve">78061</t>
  </si>
  <si>
    <t xml:space="preserve">ST. CLAIR COUNTY JAIL</t>
  </si>
  <si>
    <t xml:space="preserve">1170 MICHIGAN ROAD</t>
  </si>
  <si>
    <t xml:space="preserve">PORT HURON</t>
  </si>
  <si>
    <t xml:space="preserve">48060</t>
  </si>
  <si>
    <t xml:space="preserve">ST. LUCIE COUNTY JAIL</t>
  </si>
  <si>
    <t xml:space="preserve">900 N. ROCK RD.</t>
  </si>
  <si>
    <t xml:space="preserve">FORT PIERCE</t>
  </si>
  <si>
    <t xml:space="preserve">34945</t>
  </si>
  <si>
    <t xml:space="preserve">STE. GENEVIEVE COUNTY SHERIFF-JAIL</t>
  </si>
  <si>
    <t xml:space="preserve">5 BASLER DR.</t>
  </si>
  <si>
    <t xml:space="preserve">STE. GENEVIEVE</t>
  </si>
  <si>
    <t xml:space="preserve">63670</t>
  </si>
  <si>
    <t xml:space="preserve">146 CCA ROAD</t>
  </si>
  <si>
    <t xml:space="preserve">LUMPKIN</t>
  </si>
  <si>
    <t xml:space="preserve">31815</t>
  </si>
  <si>
    <t xml:space="preserve">STRAFFORD COUNTY CORRECTIONS</t>
  </si>
  <si>
    <t xml:space="preserve">266 COUNTY FARM ROAD</t>
  </si>
  <si>
    <t xml:space="preserve">DOVER</t>
  </si>
  <si>
    <t xml:space="preserve">03820</t>
  </si>
  <si>
    <t xml:space="preserve">SWEETWATER COUNTY JAIL</t>
  </si>
  <si>
    <t xml:space="preserve">50140 UNITED STATES HIGHWAY 191 SOUTH</t>
  </si>
  <si>
    <t xml:space="preserve">ROCK SPRINGS</t>
  </si>
  <si>
    <t xml:space="preserve">82935</t>
  </si>
  <si>
    <t xml:space="preserve">T DON HUTTO DETENTION CENTER</t>
  </si>
  <si>
    <t xml:space="preserve">1001 WELCH STREET</t>
  </si>
  <si>
    <t xml:space="preserve">TAYLOR</t>
  </si>
  <si>
    <t xml:space="preserve">76574</t>
  </si>
  <si>
    <t xml:space="preserve">TOOELE COUNTY JAIL</t>
  </si>
  <si>
    <t xml:space="preserve">47 SOUTH MAIN STREET</t>
  </si>
  <si>
    <t xml:space="preserve">TOOELE</t>
  </si>
  <si>
    <t xml:space="preserve">84074</t>
  </si>
  <si>
    <t xml:space="preserve">TORRANCE COUNTY DETENTION FACILITY</t>
  </si>
  <si>
    <t xml:space="preserve">209 COUNTY ROAD 49</t>
  </si>
  <si>
    <t xml:space="preserve">ESTANCIA</t>
  </si>
  <si>
    <t xml:space="preserve">87016</t>
  </si>
  <si>
    <t xml:space="preserve">TULSA COUNTY JAIL (DAVID L. MOSS JUSTICE CTR)</t>
  </si>
  <si>
    <t xml:space="preserve">300 NORTH DENVER AVENUE</t>
  </si>
  <si>
    <t xml:space="preserve">TULSA</t>
  </si>
  <si>
    <t xml:space="preserve">74103</t>
  </si>
  <si>
    <t xml:space="preserve">TURNER GUILFORD KNIGHT (TGK) JAIL</t>
  </si>
  <si>
    <t xml:space="preserve">7000 NW 41ST ST.</t>
  </si>
  <si>
    <t xml:space="preserve">33166</t>
  </si>
  <si>
    <t xml:space="preserve">UINTA COUNTY JAIL</t>
  </si>
  <si>
    <t xml:space="preserve">77 COUNTY ROAD 109</t>
  </si>
  <si>
    <t xml:space="preserve">EVANSTON</t>
  </si>
  <si>
    <t xml:space="preserve">82930</t>
  </si>
  <si>
    <t xml:space="preserve">VAL VERDE CORRECTIONAL FACILITY</t>
  </si>
  <si>
    <t xml:space="preserve">253 FARM TO MARKET 2523</t>
  </si>
  <si>
    <t xml:space="preserve">DEL RIO</t>
  </si>
  <si>
    <t xml:space="preserve">78840</t>
  </si>
  <si>
    <t xml:space="preserve">WALTON COUNTY JAIL</t>
  </si>
  <si>
    <t xml:space="preserve">40 SHERIFF CIR</t>
  </si>
  <si>
    <t xml:space="preserve">DEFUNIAK SPRINGS</t>
  </si>
  <si>
    <t xml:space="preserve">32433</t>
  </si>
  <si>
    <t xml:space="preserve">WARD COUNTY JAIL</t>
  </si>
  <si>
    <t xml:space="preserve">P.O. BOX 907</t>
  </si>
  <si>
    <t xml:space="preserve">MINOT</t>
  </si>
  <si>
    <t xml:space="preserve">58702</t>
  </si>
  <si>
    <t xml:space="preserve">WASHINGTON COUNTY DETENTION CENTER</t>
  </si>
  <si>
    <t xml:space="preserve">1155 WEST CLYDESDALE DRIVE</t>
  </si>
  <si>
    <t xml:space="preserve">FAYETTEVILLE</t>
  </si>
  <si>
    <t xml:space="preserve">72701</t>
  </si>
  <si>
    <t xml:space="preserve">WASHINGTON COUNTY JAIL (PURGATORY CORRECTIONAL FACILITY)</t>
  </si>
  <si>
    <t xml:space="preserve">750 SOUTH 5300 WEST</t>
  </si>
  <si>
    <t xml:space="preserve">HURRICANE</t>
  </si>
  <si>
    <t xml:space="preserve">84737</t>
  </si>
  <si>
    <t xml:space="preserve">WASHOE COUNTY JAIL</t>
  </si>
  <si>
    <t xml:space="preserve">911 PARR BLVD 775 328 3308</t>
  </si>
  <si>
    <t xml:space="preserve">RENO</t>
  </si>
  <si>
    <t xml:space="preserve">89506</t>
  </si>
  <si>
    <t xml:space="preserve">WAUKESHA COUNTY JAIL</t>
  </si>
  <si>
    <t xml:space="preserve">515 WEST MORELAND</t>
  </si>
  <si>
    <t xml:space="preserve">WAUKESHA</t>
  </si>
  <si>
    <t xml:space="preserve">53186</t>
  </si>
  <si>
    <t xml:space="preserve">WEBB COUNTY DETENTION CENTER (CCA)</t>
  </si>
  <si>
    <t xml:space="preserve">9998 SOUTH HIGHWAY 83</t>
  </si>
  <si>
    <t xml:space="preserve">WEBER COUNTY JAIL</t>
  </si>
  <si>
    <t xml:space="preserve">721 WEST 12TH STREET</t>
  </si>
  <si>
    <t xml:space="preserve">OGDEN</t>
  </si>
  <si>
    <t xml:space="preserve">84404</t>
  </si>
  <si>
    <t xml:space="preserve">WESTERN TENNESSEE DETENTION FACILITY</t>
  </si>
  <si>
    <t xml:space="preserve">6299 FINDE NAIFEH DRIVE</t>
  </si>
  <si>
    <t xml:space="preserve">MASON</t>
  </si>
  <si>
    <t xml:space="preserve">38049</t>
  </si>
  <si>
    <t xml:space="preserve">WESTERN VIRGINIA REGIONAL JAIL</t>
  </si>
  <si>
    <t xml:space="preserve">5885 W RIVER RD</t>
  </si>
  <si>
    <t xml:space="preserve">SALEM</t>
  </si>
  <si>
    <t xml:space="preserve">24153</t>
  </si>
  <si>
    <t xml:space="preserve">560 GUM SPRING ROAD</t>
  </si>
  <si>
    <t xml:space="preserve">WINNFIELD</t>
  </si>
  <si>
    <t xml:space="preserve">71483</t>
  </si>
  <si>
    <t xml:space="preserve">WOODBURY COUNTY JAIL</t>
  </si>
  <si>
    <t xml:space="preserve">407 7TH STREET</t>
  </si>
  <si>
    <t xml:space="preserve">SIOUX CITY</t>
  </si>
  <si>
    <t xml:space="preserve">51101</t>
  </si>
  <si>
    <t xml:space="preserve">WYATT DETENTION CENTER</t>
  </si>
  <si>
    <t xml:space="preserve">950 HIGH STREET</t>
  </si>
  <si>
    <t xml:space="preserve">CENTRAL FALLS</t>
  </si>
  <si>
    <t xml:space="preserve">RI</t>
  </si>
  <si>
    <t xml:space="preserve">02863</t>
  </si>
  <si>
    <r>
      <rPr>
        <b val="true"/>
        <sz val="18"/>
        <color theme="4" tint="-0.5"/>
        <rFont val="Calibri"/>
        <family val="0"/>
        <charset val="134"/>
      </rPr>
      <t xml:space="preserve">U.S. Immigration and Customs Enforcement
</t>
    </r>
    <r>
      <rPr>
        <sz val="9"/>
        <color theme="4" tint="-0.5"/>
        <rFont val="Calibri"/>
        <family val="0"/>
        <charset val="134"/>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</si>
  <si>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 xml:space="preserve">March 2026</t>
  </si>
  <si>
    <t xml:space="preserve">Facilities</t>
  </si>
  <si>
    <t xml:space="preserve">Placement Count</t>
  </si>
  <si>
    <t xml:space="preserve">T. DON HUTTO</t>
  </si>
  <si>
    <t xml:space="preserve">Grand Total</t>
  </si>
  <si>
    <t xml:space="preserve">February 2026</t>
  </si>
  <si>
    <t xml:space="preserve">January 2026</t>
  </si>
  <si>
    <t xml:space="preserve">CUMBERLAND COUNTY JAIL</t>
  </si>
  <si>
    <t xml:space="preserve">December 2025</t>
  </si>
  <si>
    <t xml:space="preserve">November 2025</t>
  </si>
  <si>
    <t xml:space="preserve">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</si>
  <si>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</si>
  <si>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</si>
  <si>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 xml:space="preserve">Fiscal Year (FY)  2022 Quarter 2 Data</t>
  </si>
  <si>
    <t xml:space="preserve">Placement Reason</t>
  </si>
  <si>
    <t xml:space="preserve">Number of Placements</t>
  </si>
  <si>
    <t xml:space="preserve">Average Number of Consecutive Days in Segregation</t>
  </si>
  <si>
    <t xml:space="preserve">Average Number of Cumulative Days in Segregation</t>
  </si>
  <si>
    <t xml:space="preserve"> </t>
  </si>
  <si>
    <t xml:space="preserve">Disciplinary</t>
  </si>
  <si>
    <t xml:space="preserve">Facility Security Threat</t>
  </si>
  <si>
    <t xml:space="preserve">Medical/Mental Health</t>
  </si>
  <si>
    <t xml:space="preserve">Pending Investigation of Disciplinary Violation</t>
  </si>
  <si>
    <t xml:space="preserve">Protective Custody</t>
  </si>
  <si>
    <t xml:space="preserve">* Data represents 281 unique detainees. Some detainees have multiple placements within FY22 Q2 (296 total placements).</t>
  </si>
  <si>
    <t xml:space="preserve">Fiscal Year (FY) 2022 Quarter 3 Data</t>
  </si>
  <si>
    <t xml:space="preserve">* Data represents 209 unique detainees. Some detainees have multiple placements within FY22 Q3 (226 total placements).</t>
  </si>
  <si>
    <t xml:space="preserve">**All Q3 detainees previously under the Hunger Strike/Suicide Watch Placement reason have since had their placement reason updated</t>
  </si>
  <si>
    <t xml:space="preserve">Fiscal Year (FY) 2022 Quarter 4 Data</t>
  </si>
  <si>
    <t xml:space="preserve">*Data represents 281 unique detainees. Some detainees have multiple placements within FY22 Q4 (311 total placements).</t>
  </si>
  <si>
    <t xml:space="preserve">Fiscal Year (FY) 2023 Quarter 1 Data</t>
  </si>
  <si>
    <t xml:space="preserve">*Data represents 344 unique detainees. Some detainees have multiple placements within FY23 Q1 (377 total placements).</t>
  </si>
  <si>
    <t xml:space="preserve">Fiscal Year (FY) 2023 Quarter 2 Data</t>
  </si>
  <si>
    <t xml:space="preserve">*Data represents 335 unique detainees. Some detainees have multiple placements within FY23 Q2 (373 total placements).</t>
  </si>
  <si>
    <t xml:space="preserve">Fiscal Year (FY) 2023 Quarter 3 Data</t>
  </si>
  <si>
    <t xml:space="preserve">*Data represents 358 unique detainees. Some detainees have multiple placements within FY23 Q3 (418 total placements).</t>
  </si>
  <si>
    <t xml:space="preserve">Fiscal Year (FY) 2023 Quarter 4 Data</t>
  </si>
  <si>
    <t xml:space="preserve">*Data represents 288 unique detainees. Some detainees have multiple placements within FY23 Q4 (351 total placements).</t>
  </si>
  <si>
    <t xml:space="preserve">Fiscal Year (FY) 2024 Quarter 1 Data</t>
  </si>
  <si>
    <t xml:space="preserve">*Data represents 431 unique detainees. Some detainees have multiple placements within FY24 Q1 (497 total placements).</t>
  </si>
  <si>
    <t xml:space="preserve">Fiscal Year (FY) 2024 Quarter 2 Data</t>
  </si>
  <si>
    <t xml:space="preserve">Medical Mental</t>
  </si>
  <si>
    <t xml:space="preserve">*Data represents 351 unique detainees. Some detainees have multiple placements within FY24 Q2 (391 total placements).</t>
  </si>
  <si>
    <t xml:space="preserve">Fiscal Year (FY) 2024 Quarter 3 Data</t>
  </si>
  <si>
    <t xml:space="preserve">*Data represents 414 unique detainees. Some detainees have multiple placements within FY24 Q3 (446 total placements).</t>
  </si>
  <si>
    <t xml:space="preserve">Fiscal Year (FY) 2024 Quarter 4 Data</t>
  </si>
  <si>
    <t xml:space="preserve">*Data represents 469 unique detainees. Some detainees have multiple placements within FY24 Q4 (545 total placements).</t>
  </si>
  <si>
    <t xml:space="preserve">Fiscal Year (FY) 2025 Quarter 1 Data</t>
  </si>
  <si>
    <t xml:space="preserve">*Data represents 401 unique detainees. Some detainees have multiple placements within FY25 Q1 (475 total placements).</t>
  </si>
  <si>
    <t xml:space="preserve">Fiscal Year (FY) 2025 Quarter 2 Data</t>
  </si>
  <si>
    <t xml:space="preserve">*Data represents 425 unique detainees. Some detainees have multiple placements within FY25 Q2 (490 total placements).</t>
  </si>
  <si>
    <t xml:space="preserve">Fiscal Year (FY) 2025 Quarter 3 Data</t>
  </si>
  <si>
    <t xml:space="preserve">*Data represents 432 unique detainees. Some detainees have multiple placements within FY25 Q3 (566 total placements).</t>
  </si>
  <si>
    <t xml:space="preserve">Fiscal Year (FY) 2026 Quarter 1 Data</t>
  </si>
  <si>
    <t xml:space="preserve">*Data represents 469 unique detainees. Some detainees have multiple placements within FY26 Q1 (585 total placements).</t>
  </si>
  <si>
    <t xml:space="preserve">Fiscal Year (FY) 2026 Quarter 2 Data</t>
  </si>
  <si>
    <t xml:space="preserve">*Data represents 380 unique detainees. Some detainees have multiple placements within FY26 Q2 (467 total placements).</t>
  </si>
  <si>
    <t xml:space="preserve">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</si>
  <si>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</si>
  <si>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</si>
  <si>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</si>
  <si>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ICE FOOTNOTES</t>
  </si>
  <si>
    <t xml:space="preserve">Term</t>
  </si>
  <si>
    <t xml:space="preserve">Definition</t>
  </si>
  <si>
    <t xml:space="preserve">ADP</t>
  </si>
  <si>
    <t xml:space="preserve">Average daily population</t>
  </si>
  <si>
    <t xml:space="preserve">Average length in program</t>
  </si>
  <si>
    <t xml:space="preserve">ALOS</t>
  </si>
  <si>
    <t xml:space="preserve">Average length of stay</t>
  </si>
  <si>
    <t xml:space="preserve">Area of Responsibility</t>
  </si>
  <si>
    <t xml:space="preserve">ATD</t>
  </si>
  <si>
    <t xml:space="preserve">Alternatives to Detention</t>
  </si>
  <si>
    <t xml:space="preserve">Bonded Out-FO</t>
  </si>
  <si>
    <t xml:space="preserve">An alien is bonded out due to decision by the Field Office</t>
  </si>
  <si>
    <t xml:space="preserve">Bonded Out-IJ</t>
  </si>
  <si>
    <t xml:space="preserve">An alien is bonded out due to decision by the Immigration Judge</t>
  </si>
  <si>
    <t xml:space="preserve">Customs and Border Protection</t>
  </si>
  <si>
    <t xml:space="preserve">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</si>
  <si>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</si>
  <si>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 xml:space="preserve">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</si>
  <si>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</si>
  <si>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 xml:space="preserve">FCMP</t>
  </si>
  <si>
    <t xml:space="preserve">Family Case Management Program</t>
  </si>
  <si>
    <t xml:space="preserve">Facilities Adhering to ICE Performance Based National Detention Standards (PBNDS2011, PBNDS 2008, and NDS 2019)</t>
  </si>
  <si>
    <t xml:space="preserve">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</si>
  <si>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 xml:space="preserve">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</si>
  <si>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 xml:space="preserve">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</si>
  <si>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</si>
  <si>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</si>
  <si>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 xml:space="preserve">Family Unit</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</si>
  <si>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</si>
  <si>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 xml:space="preserve">GPS</t>
  </si>
  <si>
    <t xml:space="preserve">Global positioning system tracking device</t>
  </si>
  <si>
    <t xml:space="preserve">Head of Household</t>
  </si>
  <si>
    <t xml:space="preserve">Parent or legal guardian of a non-U.S. citizen child or children under the age of 18.</t>
  </si>
  <si>
    <t xml:space="preserve">Immigration and Customs Enforcement </t>
  </si>
  <si>
    <t xml:space="preserve">ICE Threat Level (ADP)</t>
  </si>
  <si>
    <t xml:space="preserve">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</si>
  <si>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 xml:space="preserve">Inspection Ratings</t>
  </si>
  <si>
    <t xml:space="preserve">ICE detention facilities are inspected and rated using a Pass/Fail grading system. Annual or biennial inspections, which measure a facility’s program performance and compliance to ICE detention standards over time, will result in ratings.</t>
  </si>
  <si>
    <t xml:space="preserve">Last Inspection Date</t>
  </si>
  <si>
    <t xml:space="preserve">The date the facility was last inspected.</t>
  </si>
  <si>
    <t xml:space="preserve">Last Inspection Rating-Final</t>
  </si>
  <si>
    <t xml:space="preserve">The most recent finalized inspection rating the facility received.</t>
  </si>
  <si>
    <t xml:space="preserve">The inspection standard the facility was last inspected against.</t>
  </si>
  <si>
    <t xml:space="preserve">This indicates the gender(s) of detainees at a facility. M indicates male population, and F indicates female population. Where limited data is available, the default value is M, F.</t>
  </si>
  <si>
    <t xml:space="preserve">Mandatory (ADP)</t>
  </si>
  <si>
    <t xml:space="preserve">The average daily population of detainees who are subject to mandatory detention.</t>
  </si>
  <si>
    <t xml:space="preserve">A pre-final order alien is released because he/she is not a detention priority. </t>
  </si>
  <si>
    <t xml:space="preserve">Order of Supervision-No SLRFF</t>
  </si>
  <si>
    <t xml:space="preserve">A final order alien is released because the Field Office is unable to obtain a travel document. </t>
  </si>
  <si>
    <t xml:space="preserve">A final order alien is released because the field office is unable to obtain a travel document.  </t>
  </si>
  <si>
    <t xml:space="preserve">Second to Last Inspection Standard</t>
  </si>
  <si>
    <t xml:space="preserve">The inspection standard the facility was inspected against during the second to the last inspection.</t>
  </si>
  <si>
    <t xml:space="preserve">Second to Last Rating</t>
  </si>
  <si>
    <t xml:space="preserve">The final inspection rating a facility received after the second to last inspection.</t>
  </si>
  <si>
    <t xml:space="preserve">Second to Last Inspection Date</t>
  </si>
  <si>
    <t xml:space="preserve">The second to last date the facility was inspected.</t>
  </si>
  <si>
    <t xml:space="preserve">SmartLink</t>
  </si>
  <si>
    <t xml:space="preserve">Online tracking device using smart phone or tablet</t>
  </si>
  <si>
    <t xml:space="preserve">TR</t>
  </si>
  <si>
    <t xml:space="preserve">Telephonic reporting</t>
  </si>
  <si>
    <t xml:space="preserve">Type--Detailed</t>
  </si>
  <si>
    <t xml:space="preserve">ICE holds detainees in several different types of facilities, listed below:</t>
  </si>
  <si>
    <t xml:space="preserve">BOP (Federal Bureau of Prisons): A facility operated by the Federal Bureau of Prisons</t>
  </si>
  <si>
    <t xml:space="preserve">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</si>
  <si>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 xml:space="preserve">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</si>
  <si>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 xml:space="preserve">SPC (Service Processing Center): A facility owned by the government and staffed by a combination of federal and contract employees.</t>
  </si>
  <si>
    <t xml:space="preserve">USMS (United States Marshals Service): A facility primarily contracted with the USMS for housing of USMS detainees, in which ICE contracts with the USMS for bed space.</t>
  </si>
  <si>
    <t xml:space="preserve">USMS IGA (USMS Intergovernmental Agreement): A USMS Intergovernmental Agreement in which ICE agrees to utilize an already established US Marshal Service contract.</t>
  </si>
  <si>
    <t xml:space="preserve">USCIS</t>
  </si>
  <si>
    <t xml:space="preserve">U.S. Citizenship and Immigration Services</t>
  </si>
  <si>
    <t xml:space="preserve">FY2019 ICE Alternatives to Detention</t>
  </si>
  <si>
    <t xml:space="preserve">Family Unit (FAMU) subject apprehensions represent all OPB apprehensions of adults (18 years old and over) with a FAMU classification who were subsequently enrolled in ATD.</t>
  </si>
  <si>
    <t xml:space="preserve">Average Length in Program is calculated for active participants only.</t>
  </si>
  <si>
    <t xml:space="preserve">Length of Program = 1/31/2020 ATD Original Start Date +1</t>
  </si>
  <si>
    <t xml:space="preserve">FY2026 ICE Average Daily Population and ICE Average Length of Stay</t>
  </si>
  <si>
    <t xml:space="preserve">FY2026 YTD ICE Detention data are updated through 04/04/2026 (IIDS Run Date 04/05/2026; EID as of 04/04/2026).</t>
  </si>
  <si>
    <t xml:space="preserve">ICE Detention data exclude ORR transfers/facilities, as well as U.S. Marshals Service Prisoners.</t>
  </si>
  <si>
    <t xml:space="preserve">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</si>
  <si>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 xml:space="preserve">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</si>
  <si>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</si>
  <si>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All stats are pulled based on Current Program which attributes all cases back to the Program of the processing officer of the event.  However, if Current Program = OPL, XXX, ZZZ, or null, then Event Program is used.</t>
  </si>
  <si>
    <t xml:space="preserve">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</si>
  <si>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 xml:space="preserve">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</si>
  <si>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</si>
  <si>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 xml:space="preserve">ICE resumed the use of Family Residential Centers on April 7, 2025. Previously ICE discontinued the use of Family Residential Centers on March 31, 2022.</t>
  </si>
  <si>
    <t xml:space="preserve">FY2026 and FY2025 ICE Final Book Outs</t>
  </si>
  <si>
    <t xml:space="preserve">FY2026 YTD ICE Final Book Out data are updated through 04/04/2026 (IIDS Run Date 04/05/2026; EID as of 04/04/2026).</t>
  </si>
  <si>
    <t xml:space="preserve">FY2024 ICE Final Book Out Data is historic and remains static.</t>
  </si>
  <si>
    <t xml:space="preserve">In FY2024 ICE began tracking Final Bookouts in lieu of Final Releases due to a change in methodology.</t>
  </si>
  <si>
    <t xml:space="preserve">All bookouts occurring during ICE detention are reported here.  A bookout may be classified as a final release from ICE custody or an interim bookout which occurs during the detention stay.</t>
  </si>
  <si>
    <t xml:space="preserve">Bonded Out, Order of Recognizance, Order of Supervision, Paroled and Court Ordered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
 </t>
  </si>
  <si>
    <t xml:space="preserve">FY2026 ICE Removals</t>
  </si>
  <si>
    <t xml:space="preserve">FY2026 YTD ICE Removals data are updated through 04/04/2026 (IIDS Run Date 04/05/2026; EID as of 04/04/2026).</t>
  </si>
  <si>
    <t xml:space="preserve">ICE Removal Data Include Returns and Expulsions.  Returns include Voluntary Returns, Voluntary Departures and Withdrawals Under Docket Control.</t>
  </si>
  <si>
    <t xml:space="preserve">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</si>
  <si>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</si>
  <si>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 xml:space="preserve">ICE Currently Detained Population Breakdown</t>
  </si>
  <si>
    <t xml:space="preserve">ICE National Docket data are a snapshot as of 04/04/2026 (IIDS Run Date 04/05/2026; EID as of 04/04/2026).</t>
  </si>
  <si>
    <t xml:space="preserve">ICE Detention data excludes ORR transfers/facilities, as well as U.S. Marshals Service Prisoners.</t>
  </si>
  <si>
    <t xml:space="preserve">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</si>
  <si>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Processing dispositions of Other may include, but are not limited to, Aliens processed under Administrative Removal, Visa Waiver Program Removal, Stowaway or Crewmember.</t>
  </si>
  <si>
    <t xml:space="preserve">A stateless person is someone who, under national laws, does not enjoy citizenship – the legal bond between a government and an individual – in any country.</t>
  </si>
  <si>
    <t xml:space="preserve">FY2026 ICE Initial Book-Ins</t>
  </si>
  <si>
    <t xml:space="preserve">FY2026 YTD ICE Book-ins data is updated through 04/04/2026 (IIDS Run Date 04/05/2026; EID as of 04/04/2026).</t>
  </si>
  <si>
    <t xml:space="preserve">The "ICE" Arresting Agency includes ERO, HSI, and Other programs.</t>
  </si>
  <si>
    <t xml:space="preserve">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</si>
  <si>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 xml:space="preserve">HSI Programs include HSI Criminal Arrest Only, Intelligence, Joint Terrorism Task Force, Non-User Fee Investigations, Quick Response Team, and User Fee Investigations.</t>
  </si>
  <si>
    <t xml:space="preserve">Other Programs include Adjudications, Asylum, and PICS Default Value - for user initialization only; these are included in the CAP Program Counts.</t>
  </si>
  <si>
    <t xml:space="preserve">USCIS Average Time from USCIS Fear Decision Service Date to ICE Release (In Days) &amp; Aliens with USCIS-Established Fear Decisions in an ICE Detention Facility</t>
  </si>
  <si>
    <t xml:space="preserve">Aliens Currently in ICE Detention Facilities data are a snapshot as 04/04/2026 (IIDS Run Date 04/05/2026; EID as of 04/04/2026).</t>
  </si>
  <si>
    <t xml:space="preserve">USCIS provided data containing APSO (Asylum Pre Screening Officer) cases clocked during FY2024 - FY2026.  Data were received on 04/08/2026.</t>
  </si>
  <si>
    <t xml:space="preserve">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</si>
  <si>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 xml:space="preserve">An Aliens Fear Screening Determination cannot be confirmed as directly related to an ICE Detention Stay, even if the USCIS Decision Service Date falls within the ICE Detention Stay.</t>
  </si>
  <si>
    <t xml:space="preserve">Of the 199,849 records in the USCIS provided data, the breakdown of the fear screening determinations is as follows; 77,991 positive fear screening determinations, 83,153 negative fear screening determinations and 38,705 without an identified determination. Of the 77,991 with positive fear screening determinations; 45,046 have Persecution Claim Established and 32,945 have Torture Claim Established.</t>
  </si>
  <si>
    <t xml:space="preserve">Aliens Currently in ICE Detention Facilities and the Average Time from USCIS Fear Decision Service Date to ICE Release include detentions not associated with a removal case.</t>
  </si>
  <si>
    <t xml:space="preserve">The data provided by USCIS contains multiple records for some Alien File Numbers. There are 199,849 unique fear determinations and 18,148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</si>
  <si>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</si>
  <si>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</si>
  <si>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</si>
  <si>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</si>
  <si>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</si>
  <si>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 xml:space="preserve">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</si>
  <si>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 xml:space="preserve">ICE ICLOS and Detainees Data are updated through 04/07/2026 (IIDS Run Date 04/08/2026; EID as of 04/07/2026).</t>
  </si>
  <si>
    <t xml:space="preserve">Monthly Bond Statistics</t>
  </si>
  <si>
    <t xml:space="preserve">FY2025 ICE Final Bookouts data is historic and remains static.</t>
  </si>
  <si>
    <t xml:space="preserve">In FY2024 ICE began tracking Final Bookouts in lieu of Final Releases due to a change in methodology.  Prior year data reflects ICE Final Releases.</t>
  </si>
  <si>
    <t xml:space="preserve">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</si>
  <si>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 xml:space="preserve">ICE Detention data exclude ORR transfers/facilities, and U.S. Marshals Service prisoners.</t>
  </si>
  <si>
    <t xml:space="preserve">BMU provided data containing Bonds Posted cases recorded from 03/01/2025 - 04/06/2026. Data were received on 04/07/2026.</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</si>
  <si>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</si>
  <si>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</si>
  <si>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 xml:space="preserve">STU determines Bonded Out releases by Release Reason entered and Detention Book Out Date. BMU data uses the Bond Post Date which is not necessarily the same as the Detention Book Out Date.</t>
  </si>
  <si>
    <t xml:space="preserve">Individuals with Credible Fear Parole</t>
  </si>
  <si>
    <t xml:space="preserve">FY2026 YTD Encounters data is updated through 04/07/2026 (IIDS Run Date 04/08/2026; EID as of 04/07/2026).</t>
  </si>
  <si>
    <t xml:space="preserve">Parole requested and parole granted dates are based on the Case Action Decision Date contained in the system of record.</t>
  </si>
  <si>
    <t xml:space="preserve">Parole granted is defined as Agency-based case action jurisdiction and case decision is "Granted".</t>
  </si>
  <si>
    <t xml:space="preserve">Parole denied is defined as Agency-based case action jurisdiction and case decision is "Denied".</t>
  </si>
  <si>
    <t xml:space="preserve">Parole decisions may not be in the same month as parole requested.</t>
  </si>
  <si>
    <t xml:space="preserve">Semiannual Arrests, Bookins and Removals</t>
  </si>
  <si>
    <t xml:space="preserve">For United States Armed Forces tables:</t>
  </si>
  <si>
    <t xml:space="preserve">·       FY2018-FY2024 data are historical and remain static.</t>
  </si>
  <si>
    <t xml:space="preserve">For United States Citizens tables:</t>
  </si>
  <si>
    <t xml:space="preserve">For Parents of United States Citizens tables:</t>
  </si>
  <si>
    <t xml:space="preserve">For Temporary Protected Status Countries tables:</t>
  </si>
  <si>
    <t xml:space="preserve">USC Arrests, Booking and Removals stats are pulled based on administrative enforcement actions executed by ERO Officers.</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</si>
  <si>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</si>
  <si>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 xml:space="preserve">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</si>
  <si>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 xml:space="preserve">All stats are pulled based on Current Program which attributes all cases back to the Program of the processing officer of the event.</t>
  </si>
  <si>
    <t xml:space="preserve">Country of Citizenship is derived from the ICE system of record as it is input by the officer at the time of processing. An "Unknown" Country indicates the alien failed or refused to identify a country of citizenship or the officer lacked documentation to do so.</t>
  </si>
  <si>
    <t xml:space="preserve">All stats are pulled based on Current Program which attributes all cases back to the Program of the processing officer of the event. However, if Current Program = OPL, XXX, ZZZ, or null, then Event Program is used.</t>
  </si>
  <si>
    <t xml:space="preserve">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</si>
  <si>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Veteran Status flag implemented during FY2021. Prior years required manual input by the officers in the database. </t>
  </si>
  <si>
    <t xml:space="preserve">TPS Countries</t>
  </si>
  <si>
    <t xml:space="preserve">Burma (Myanmar) designated TPS as of 05/25/2021. Arrests, Bookins, and Removals reported are since the designation date.</t>
  </si>
  <si>
    <t xml:space="preserve">Haiti designated TPS as of 08/03/2021. Arrests, Bookins, and Removals reported are since the designation date.</t>
  </si>
  <si>
    <t xml:space="preserve">Venezuela designated TPS as of 03/09/2021. Arrests, Bookins, and Removals for reported are since the designation date.</t>
  </si>
  <si>
    <t xml:space="preserve">Afghanistan designated TPS as of 05/20/2022. Arrests, Bookins, and Removals for reported are since the designation date.</t>
  </si>
  <si>
    <t xml:space="preserve">Cameroon designated TPS as of 06/07/2022. Arrests, Bookins, and Removals reported are since the designation date.</t>
  </si>
  <si>
    <t xml:space="preserve">Ethiopia designated TPS as of 12/12/2022. Arrests, Bookins, and Removals reported are since the designation date.</t>
  </si>
  <si>
    <t xml:space="preserve">Ukraine designated TPS as of 04/19/2022. Arrests, Bookins, and Removals for  reported are since the designation date.</t>
  </si>
  <si>
    <t xml:space="preserve">Lebanon designated TPS as of 11/27/2024. Arrests, Bookins, and Removals for  reported are since the designation date.</t>
  </si>
</sst>
</file>

<file path=xl/styles.xml><?xml version="1.0" encoding="utf-8"?>
<styleSheet xmlns="http://schemas.openxmlformats.org/spreadsheetml/2006/main">
  <numFmts count="20">
    <numFmt numFmtId="164" formatCode="General"/>
    <numFmt numFmtId="165" formatCode="_(* #,##0.00_);_(* \(#,##0.00\);_(* \-??_);_(@_)"/>
    <numFmt numFmtId="166" formatCode="_(* #,##0_);_(* \(#,##0\);_(* \-??_);_(@_)"/>
    <numFmt numFmtId="167" formatCode="0%"/>
    <numFmt numFmtId="168" formatCode="0.0%"/>
    <numFmt numFmtId="169" formatCode="#,##0"/>
    <numFmt numFmtId="170" formatCode="\$#,##0.00"/>
    <numFmt numFmtId="171" formatCode="_(\$* #,##0.00_);_(\$* \(#,##0.00\);_(\$* \-??_);_(@_)"/>
    <numFmt numFmtId="172" formatCode="#,##0.0"/>
    <numFmt numFmtId="173" formatCode="_(* #,##0_);_(* \(#,##0\);_(* \-_);_(@_)"/>
    <numFmt numFmtId="174" formatCode="_(* #,##0.0_);_(* \(#,##0.0\);_(* \-_);_(@_)"/>
    <numFmt numFmtId="175" formatCode="0.00"/>
    <numFmt numFmtId="176" formatCode="0.0"/>
    <numFmt numFmtId="177" formatCode="_(* #,##0.0_);_(* \(#,##0.0\);_(* \-?_);_(@_)"/>
    <numFmt numFmtId="178" formatCode="mmm\ dd"/>
    <numFmt numFmtId="179" formatCode="#,##0.00"/>
    <numFmt numFmtId="180" formatCode="mmm/yyyy"/>
    <numFmt numFmtId="181" formatCode="_(* #,##0_);_(* \(#,##0\);_(* \-?_);_(@_)"/>
    <numFmt numFmtId="182" formatCode="mm/dd/yyyy"/>
    <numFmt numFmtId="183" formatCode="@"/>
  </numFmts>
  <fonts count="49">
    <font>
      <sz val="11"/>
      <color theme="1"/>
      <name val="Calibri"/>
      <family val="0"/>
      <charset val="134"/>
    </font>
    <font>
      <sz val="10"/>
      <name val="Arial"/>
      <family val="0"/>
    </font>
    <font>
      <sz val="10"/>
      <name val="Arial"/>
      <family val="0"/>
    </font>
    <font>
      <sz val="10"/>
      <name val="Arial"/>
      <family val="0"/>
    </font>
    <font>
      <sz val="10"/>
      <name val="MS Sans Serif"/>
      <family val="0"/>
      <charset val="134"/>
    </font>
    <font>
      <sz val="10"/>
      <color rgb="FF000000"/>
      <name val="Arial"/>
      <family val="0"/>
      <charset val="134"/>
    </font>
    <font>
      <sz val="12"/>
      <color theme="1"/>
      <name val="Times New Roman"/>
      <family val="0"/>
      <charset val="134"/>
    </font>
    <font>
      <sz val="10"/>
      <name val="Arial"/>
      <family val="0"/>
      <charset val="134"/>
    </font>
    <font>
      <b val="true"/>
      <sz val="24"/>
      <color theme="4" tint="-0.5"/>
      <name val="Calibri"/>
      <family val="0"/>
      <charset val="134"/>
    </font>
    <font>
      <b val="true"/>
      <sz val="12"/>
      <color theme="4" tint="-0.5"/>
      <name val="Calibri"/>
      <family val="0"/>
      <charset val="134"/>
    </font>
    <font>
      <b val="true"/>
      <sz val="20"/>
      <color theme="4" tint="-0.5"/>
      <name val="Calibri"/>
      <family val="0"/>
      <charset val="134"/>
    </font>
    <font>
      <b val="true"/>
      <sz val="12"/>
      <color rgb="FF000080"/>
      <name val="Times New Roman"/>
      <family val="0"/>
      <charset val="134"/>
    </font>
    <font>
      <b val="true"/>
      <sz val="12"/>
      <name val="Calibri"/>
      <family val="0"/>
      <charset val="134"/>
    </font>
    <font>
      <b val="true"/>
      <sz val="12"/>
      <color rgb="FF000080"/>
      <name val="Calibri"/>
      <family val="0"/>
      <charset val="134"/>
    </font>
    <font>
      <b val="true"/>
      <sz val="12"/>
      <color rgb="FFFF0000"/>
      <name val="Calibri"/>
      <family val="0"/>
      <charset val="134"/>
    </font>
    <font>
      <b val="true"/>
      <sz val="12"/>
      <color theme="1"/>
      <name val="Calibri"/>
      <family val="0"/>
      <charset val="134"/>
    </font>
    <font>
      <b val="true"/>
      <sz val="12"/>
      <color theme="0"/>
      <name val="Calibri"/>
      <family val="0"/>
      <charset val="134"/>
    </font>
    <font>
      <sz val="12"/>
      <color rgb="FF000000"/>
      <name val="Calibri"/>
      <family val="0"/>
      <charset val="134"/>
    </font>
    <font>
      <sz val="12"/>
      <color theme="1"/>
      <name val="Calibri"/>
      <family val="0"/>
      <charset val="134"/>
    </font>
    <font>
      <b val="true"/>
      <sz val="12"/>
      <color rgb="FF000000"/>
      <name val="Calibri"/>
      <family val="0"/>
      <charset val="134"/>
    </font>
    <font>
      <sz val="8"/>
      <color theme="1"/>
      <name val="Calibri"/>
      <family val="0"/>
      <charset val="134"/>
    </font>
    <font>
      <sz val="8"/>
      <name val="Calibri"/>
      <family val="0"/>
      <charset val="134"/>
    </font>
    <font>
      <sz val="9"/>
      <color theme="1"/>
      <name val="Calibri"/>
      <family val="0"/>
      <charset val="134"/>
    </font>
    <font>
      <b val="true"/>
      <sz val="18"/>
      <color theme="3" tint="-0.5"/>
      <name val="Calibri"/>
      <family val="0"/>
      <charset val="134"/>
    </font>
    <font>
      <b val="true"/>
      <sz val="9"/>
      <color theme="0"/>
      <name val="Times New Roman"/>
      <family val="0"/>
      <charset val="134"/>
    </font>
    <font>
      <b val="true"/>
      <sz val="9"/>
      <color theme="1"/>
      <name val="Times New Roman"/>
      <family val="0"/>
      <charset val="134"/>
    </font>
    <font>
      <b val="true"/>
      <sz val="9"/>
      <color theme="1"/>
      <name val="Calibri"/>
      <family val="0"/>
      <charset val="134"/>
    </font>
    <font>
      <b val="true"/>
      <sz val="9"/>
      <color theme="0"/>
      <name val="Calibri"/>
      <family val="0"/>
      <charset val="134"/>
    </font>
    <font>
      <b val="true"/>
      <i val="true"/>
      <sz val="9"/>
      <color theme="1"/>
      <name val="Calibri"/>
      <family val="0"/>
      <charset val="134"/>
    </font>
    <font>
      <i val="true"/>
      <sz val="9"/>
      <color theme="1"/>
      <name val="Calibri"/>
      <family val="0"/>
      <charset val="134"/>
    </font>
    <font>
      <b val="true"/>
      <sz val="12"/>
      <color theme="1"/>
      <name val="Times New Roman"/>
      <family val="0"/>
      <charset val="134"/>
    </font>
    <font>
      <b val="true"/>
      <sz val="11"/>
      <color theme="1"/>
      <name val="Times New Roman"/>
      <family val="0"/>
      <charset val="134"/>
    </font>
    <font>
      <sz val="11"/>
      <color theme="1"/>
      <name val="Times New Roman"/>
      <family val="0"/>
      <charset val="134"/>
    </font>
    <font>
      <sz val="9"/>
      <color theme="1"/>
      <name val="Times New Roman"/>
      <family val="0"/>
      <charset val="134"/>
    </font>
    <font>
      <b val="true"/>
      <sz val="11"/>
      <color theme="1"/>
      <name val="Calibri"/>
      <family val="0"/>
      <charset val="134"/>
    </font>
    <font>
      <b val="true"/>
      <sz val="14"/>
      <color theme="1"/>
      <name val="Times New Roman"/>
      <family val="0"/>
      <charset val="134"/>
    </font>
    <font>
      <b val="true"/>
      <sz val="12"/>
      <color theme="0"/>
      <name val="Times New Roman"/>
      <family val="0"/>
      <charset val="134"/>
    </font>
    <font>
      <b val="true"/>
      <sz val="12"/>
      <color rgb="FFFFFFFF"/>
      <name val="Times New Roman"/>
      <family val="0"/>
      <charset val="134"/>
    </font>
    <font>
      <b val="true"/>
      <sz val="12"/>
      <color rgb="FF000000"/>
      <name val="Times New Roman"/>
      <family val="0"/>
      <charset val="134"/>
    </font>
    <font>
      <sz val="12"/>
      <color rgb="FF000000"/>
      <name val="Times New Roman"/>
      <family val="0"/>
      <charset val="134"/>
    </font>
    <font>
      <b val="true"/>
      <sz val="18"/>
      <color theme="4" tint="-0.5"/>
      <name val="Calibri"/>
      <family val="0"/>
      <charset val="134"/>
    </font>
    <font>
      <sz val="9"/>
      <color theme="4" tint="-0.5"/>
      <name val="Calibri"/>
      <family val="0"/>
      <charset val="134"/>
    </font>
    <font>
      <b val="true"/>
      <sz val="11"/>
      <color rgb="FF000000"/>
      <name val="Calibri"/>
      <family val="0"/>
      <charset val="134"/>
    </font>
    <font>
      <b val="true"/>
      <sz val="11"/>
      <name val="Calibri"/>
      <family val="0"/>
      <charset val="134"/>
    </font>
    <font>
      <sz val="11"/>
      <color rgb="FF000000"/>
      <name val="Calibri"/>
      <family val="0"/>
      <charset val="134"/>
    </font>
    <font>
      <i val="true"/>
      <sz val="11"/>
      <color theme="1"/>
      <name val="Calibri"/>
      <family val="0"/>
      <charset val="134"/>
    </font>
    <font>
      <sz val="11"/>
      <name val="Calibri"/>
      <family val="0"/>
      <charset val="134"/>
    </font>
    <font>
      <sz val="14"/>
      <color theme="0"/>
      <name val="Times New Roman"/>
      <family val="0"/>
      <charset val="134"/>
    </font>
    <font>
      <sz val="12"/>
      <name val="Times New Roman"/>
      <family val="0"/>
      <charset val="134"/>
    </font>
  </fonts>
  <fills count="17">
    <fill>
      <patternFill patternType="none"/>
    </fill>
    <fill>
      <patternFill patternType="gray125"/>
    </fill>
    <fill>
      <patternFill patternType="solid">
        <fgColor rgb="FFFFFFFF"/>
        <bgColor rgb="FFFFF2CC"/>
      </patternFill>
    </fill>
    <fill>
      <patternFill patternType="solid">
        <fgColor theme="0" tint="-0.15"/>
        <bgColor rgb="FFD9E1F2"/>
      </patternFill>
    </fill>
    <fill>
      <patternFill patternType="solid">
        <fgColor theme="4" tint="-0.5"/>
        <bgColor rgb="FF222A35"/>
      </patternFill>
    </fill>
    <fill>
      <patternFill patternType="solid">
        <fgColor rgb="FF002060"/>
        <bgColor rgb="FF222A35"/>
      </patternFill>
    </fill>
    <fill>
      <patternFill patternType="solid">
        <fgColor theme="0" tint="-0.25"/>
        <bgColor rgb="FFB4C7E7"/>
      </patternFill>
    </fill>
    <fill>
      <patternFill patternType="solid">
        <fgColor theme="4" tint="0.7999"/>
        <bgColor rgb="FFD9E1F2"/>
      </patternFill>
    </fill>
    <fill>
      <patternFill patternType="solid">
        <fgColor theme="2"/>
        <bgColor rgb="FFDEEBF7"/>
      </patternFill>
    </fill>
    <fill>
      <patternFill patternType="solid">
        <fgColor theme="7" tint="0.7999"/>
        <bgColor rgb="FFFBE5D6"/>
      </patternFill>
    </fill>
    <fill>
      <patternFill patternType="solid">
        <fgColor theme="9" tint="0.7999"/>
        <bgColor rgb="FFE7E6E6"/>
      </patternFill>
    </fill>
    <fill>
      <patternFill patternType="solid">
        <fgColor theme="8" tint="0.7999"/>
        <bgColor rgb="FFDAE3F3"/>
      </patternFill>
    </fill>
    <fill>
      <patternFill patternType="solid">
        <fgColor theme="5" tint="0.7999"/>
        <bgColor rgb="FFFFF2CC"/>
      </patternFill>
    </fill>
    <fill>
      <patternFill patternType="solid">
        <fgColor theme="1"/>
        <bgColor rgb="FF003300"/>
      </patternFill>
    </fill>
    <fill>
      <patternFill patternType="solid">
        <fgColor theme="4" tint="0.3999"/>
        <bgColor rgb="FF969696"/>
      </patternFill>
    </fill>
    <fill>
      <patternFill patternType="solid">
        <fgColor theme="4" tint="0.5999"/>
        <bgColor rgb="FFBFBFBF"/>
      </patternFill>
    </fill>
    <fill>
      <patternFill patternType="solid">
        <fgColor rgb="FFD9E1F2"/>
        <bgColor rgb="FFDAE3F3"/>
      </patternFill>
    </fill>
  </fills>
  <borders count="52">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thin"/>
      <top/>
      <bottom/>
      <diagonal/>
    </border>
    <border diagonalUp="false" diagonalDown="false">
      <left style="medium"/>
      <right style="thin"/>
      <top style="thin"/>
      <bottom style="double"/>
      <diagonal/>
    </border>
    <border diagonalUp="false" diagonalDown="false">
      <left style="thin"/>
      <right style="thin"/>
      <top style="thin"/>
      <bottom style="double"/>
      <diagonal/>
    </border>
    <border diagonalUp="false" diagonalDown="false">
      <left/>
      <right style="thin"/>
      <top style="thin"/>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style="thin"/>
      <top style="double"/>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medium"/>
      <top/>
      <bottom style="thin"/>
      <diagonal/>
    </border>
    <border diagonalUp="false" diagonalDown="false">
      <left style="thin"/>
      <right style="medium"/>
      <top style="thin"/>
      <bottom style="double"/>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style="double"/>
      <bottom style="thin"/>
      <diagonal/>
    </border>
    <border diagonalUp="false" diagonalDown="false">
      <left/>
      <right style="medium"/>
      <top style="thin"/>
      <bottom/>
      <diagonal/>
    </border>
    <border diagonalUp="false" diagonalDown="false">
      <left style="medium"/>
      <right/>
      <top/>
      <bottom style="thin"/>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double"/>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medium"/>
      <bottom style="thin"/>
      <diagonal/>
    </border>
    <border diagonalUp="false" diagonalDown="false">
      <left/>
      <right style="thin"/>
      <top style="thin"/>
      <bottom style="mediu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4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2" borderId="1" xfId="24" applyFont="true" applyBorder="true" applyAlignment="true" applyProtection="true">
      <alignment horizontal="general" vertical="center" textRotation="0" wrapText="true" indent="0" shrinkToFit="false"/>
      <protection locked="true" hidden="false"/>
    </xf>
    <xf numFmtId="164" fontId="9" fillId="2" borderId="2" xfId="24" applyFont="true" applyBorder="true" applyAlignment="true" applyProtection="true">
      <alignment horizontal="general" vertical="center" textRotation="0" wrapText="tru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10" fillId="0" borderId="0" xfId="23" applyFont="true" applyBorder="true" applyAlignment="true" applyProtection="true">
      <alignment horizontal="center" vertical="top" textRotation="0" wrapText="false" indent="0" shrinkToFit="false"/>
      <protection locked="true" hidden="false"/>
    </xf>
    <xf numFmtId="164" fontId="11" fillId="2" borderId="0" xfId="24" applyFont="true" applyBorder="false" applyAlignment="true" applyProtection="true">
      <alignment horizontal="general" vertical="center" textRotation="0" wrapText="true" indent="0" shrinkToFit="false"/>
      <protection locked="true" hidden="false"/>
    </xf>
    <xf numFmtId="164" fontId="9" fillId="2" borderId="0" xfId="24" applyFont="true" applyBorder="true" applyAlignment="true" applyProtection="true">
      <alignment horizontal="center" vertical="center" textRotation="0" wrapText="true" indent="0" shrinkToFit="false"/>
      <protection locked="true" hidden="false"/>
    </xf>
    <xf numFmtId="164" fontId="10" fillId="3" borderId="0" xfId="23" applyFont="true" applyBorder="true" applyAlignment="true" applyProtection="true">
      <alignment horizontal="center" vertical="top" textRotation="0" wrapText="false" indent="0" shrinkToFit="false"/>
      <protection locked="true" hidden="false"/>
    </xf>
    <xf numFmtId="164" fontId="10" fillId="3" borderId="0" xfId="23" applyFont="true" applyBorder="false" applyAlignment="true" applyProtection="true">
      <alignment horizontal="left" vertical="top" textRotation="0" wrapText="false" indent="0" shrinkToFit="false"/>
      <protection locked="true" hidden="false"/>
    </xf>
    <xf numFmtId="164" fontId="12" fillId="2" borderId="0" xfId="0" applyFont="true" applyBorder="false" applyAlignment="true" applyProtection="true">
      <alignment horizontal="left" vertical="center" textRotation="0" wrapText="true" indent="0" shrinkToFit="false"/>
      <protection locked="true" hidden="false"/>
    </xf>
    <xf numFmtId="164" fontId="13" fillId="2" borderId="0" xfId="24" applyFont="true" applyBorder="false" applyAlignment="true" applyProtection="true">
      <alignment horizontal="general" vertical="center" textRotation="0" wrapText="true" indent="0" shrinkToFit="false"/>
      <protection locked="true" hidden="false"/>
    </xf>
    <xf numFmtId="166" fontId="13" fillId="2" borderId="0" xfId="15" applyFont="true" applyBorder="true" applyAlignment="true" applyProtection="true">
      <alignment horizontal="general" vertical="center" textRotation="0" wrapText="true" indent="0" shrinkToFit="false"/>
      <protection locked="true" hidden="false"/>
    </xf>
    <xf numFmtId="168" fontId="13" fillId="2" borderId="0" xfId="19" applyFont="true" applyBorder="true" applyAlignment="true" applyProtection="true">
      <alignment horizontal="general" vertical="center" textRotation="0" wrapText="true" indent="0" shrinkToFit="false"/>
      <protection locked="true" hidden="false"/>
    </xf>
    <xf numFmtId="164" fontId="12" fillId="2" borderId="3" xfId="0" applyFont="true" applyBorder="true" applyAlignment="true" applyProtection="true">
      <alignment horizontal="left" vertical="bottom" textRotation="0" wrapText="true" indent="0" shrinkToFit="false"/>
      <protection locked="true" hidden="false"/>
    </xf>
    <xf numFmtId="164" fontId="14" fillId="2" borderId="0" xfId="24" applyFont="true" applyBorder="false" applyAlignment="true" applyProtection="true">
      <alignment horizontal="general" vertical="center" textRotation="0" wrapText="true" indent="0" shrinkToFit="false"/>
      <protection locked="true" hidden="false"/>
    </xf>
    <xf numFmtId="164" fontId="15" fillId="0" borderId="0" xfId="0" applyFont="true" applyBorder="true" applyAlignment="true" applyProtection="true">
      <alignment horizontal="center" vertical="bottom" textRotation="0" wrapText="false" indent="0" shrinkToFit="false"/>
      <protection locked="true" hidden="false"/>
    </xf>
    <xf numFmtId="164" fontId="16" fillId="4" borderId="4" xfId="0" applyFont="true" applyBorder="true" applyAlignment="true" applyProtection="true">
      <alignment horizontal="left" vertical="top" textRotation="0" wrapText="false" indent="0" shrinkToFit="false"/>
      <protection locked="true" hidden="false"/>
    </xf>
    <xf numFmtId="164" fontId="16" fillId="4" borderId="4" xfId="0" applyFont="true" applyBorder="true" applyAlignment="true" applyProtection="true">
      <alignment horizontal="left" vertical="bottom" textRotation="0" wrapText="false" indent="0" shrinkToFit="false"/>
      <protection locked="true" hidden="false"/>
    </xf>
    <xf numFmtId="166" fontId="16" fillId="4" borderId="4" xfId="15" applyFont="true" applyBorder="true" applyAlignment="true" applyProtection="true">
      <alignment horizontal="left" vertical="bottom" textRotation="0" wrapText="false" indent="0" shrinkToFit="false"/>
      <protection locked="true" hidden="false"/>
    </xf>
    <xf numFmtId="168" fontId="16" fillId="4" borderId="4" xfId="19" applyFont="true" applyBorder="true" applyAlignment="true" applyProtection="true">
      <alignment horizontal="left" vertical="bottom"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9" fontId="18" fillId="0" borderId="4" xfId="0" applyFont="true" applyBorder="true" applyAlignment="true" applyProtection="true">
      <alignment horizontal="general" vertical="bottom" textRotation="0" wrapText="false" indent="0" shrinkToFit="false"/>
      <protection locked="true" hidden="false"/>
    </xf>
    <xf numFmtId="170" fontId="18" fillId="0" borderId="4" xfId="0" applyFont="true" applyBorder="true" applyAlignment="true" applyProtection="true">
      <alignment horizontal="general" vertical="bottom" textRotation="0" wrapText="false" indent="0" shrinkToFit="false"/>
      <protection locked="true" hidden="false"/>
    </xf>
    <xf numFmtId="164" fontId="18" fillId="0" borderId="4" xfId="0" applyFont="true" applyBorder="true" applyAlignment="true" applyProtection="true">
      <alignment horizontal="left" vertical="bottom" textRotation="0" wrapText="false" indent="0" shrinkToFit="false"/>
      <protection locked="true" hidden="false"/>
    </xf>
    <xf numFmtId="166" fontId="18" fillId="0" borderId="4" xfId="15" applyFont="true" applyBorder="true" applyAlignment="true" applyProtection="true">
      <alignment horizontal="right" vertical="bottom" textRotation="0" wrapText="false" indent="0" shrinkToFit="false"/>
      <protection locked="true" hidden="false"/>
    </xf>
    <xf numFmtId="168" fontId="18" fillId="0" borderId="4" xfId="19" applyFont="true" applyBorder="true" applyAlignment="true" applyProtection="true">
      <alignment horizontal="right" vertical="bottom" textRotation="0" wrapText="false" indent="0" shrinkToFit="false"/>
      <protection locked="true" hidden="false"/>
    </xf>
    <xf numFmtId="169" fontId="17" fillId="0" borderId="4" xfId="0" applyFont="true" applyBorder="true" applyAlignment="true" applyProtection="true">
      <alignment horizontal="general" vertical="center" textRotation="0" wrapText="false" indent="0" shrinkToFit="false"/>
      <protection locked="true" hidden="false"/>
    </xf>
    <xf numFmtId="170" fontId="17" fillId="0" borderId="4" xfId="17" applyFont="true" applyBorder="true" applyAlignment="true" applyProtection="true">
      <alignment horizontal="general" vertical="center" textRotation="0" wrapText="false" indent="0" shrinkToFit="false"/>
      <protection locked="true" hidden="false"/>
    </xf>
    <xf numFmtId="164" fontId="19" fillId="3" borderId="4" xfId="0" applyFont="true" applyBorder="true" applyAlignment="true" applyProtection="true">
      <alignment horizontal="general" vertical="center" textRotation="0" wrapText="false" indent="0" shrinkToFit="false"/>
      <protection locked="true" hidden="false"/>
    </xf>
    <xf numFmtId="166" fontId="19" fillId="3" borderId="4" xfId="15" applyFont="true" applyBorder="true" applyAlignment="true" applyProtection="true">
      <alignment horizontal="general" vertical="center" textRotation="0" wrapText="false" indent="0" shrinkToFit="false"/>
      <protection locked="true" hidden="false"/>
    </xf>
    <xf numFmtId="168" fontId="19" fillId="3" borderId="4" xfId="19" applyFont="true" applyBorder="tru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9" fontId="19" fillId="3" borderId="4" xfId="0" applyFont="true" applyBorder="true" applyAlignment="true" applyProtection="true">
      <alignment horizontal="general" vertical="center" textRotation="0" wrapText="false" indent="0" shrinkToFit="false"/>
      <protection locked="true" hidden="false"/>
    </xf>
    <xf numFmtId="170" fontId="19" fillId="3" borderId="4" xfId="17" applyFont="true" applyBorder="true" applyAlignment="true" applyProtection="true">
      <alignment horizontal="general" vertical="center" textRotation="0" wrapText="false" indent="0" shrinkToFit="false"/>
      <protection locked="true" hidden="false"/>
    </xf>
    <xf numFmtId="164" fontId="21" fillId="2" borderId="5" xfId="0" applyFont="true" applyBorder="true" applyAlignment="true" applyProtection="true">
      <alignment horizontal="left" vertical="center" textRotation="0" wrapText="true" indent="0" shrinkToFit="false"/>
      <protection locked="true" hidden="false"/>
    </xf>
    <xf numFmtId="164" fontId="20" fillId="0" borderId="0" xfId="0" applyFont="true" applyBorder="true" applyAlignment="true" applyProtection="true">
      <alignment horizontal="left" vertical="bottom" textRotation="0" wrapText="false" indent="0" shrinkToFit="false"/>
      <protection locked="true" hidden="false"/>
    </xf>
    <xf numFmtId="164" fontId="21" fillId="2" borderId="0" xfId="0" applyFont="true" applyBorder="true" applyAlignment="true" applyProtection="true">
      <alignment horizontal="left" vertical="center" textRotation="0" wrapText="true" indent="0" shrinkToFit="false"/>
      <protection locked="true" hidden="false"/>
    </xf>
    <xf numFmtId="164" fontId="21" fillId="2" borderId="0" xfId="0" applyFont="true" applyBorder="fals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17" fillId="0" borderId="4" xfId="0" applyFont="true" applyBorder="true" applyAlignment="true" applyProtection="true">
      <alignment horizontal="general" vertical="center" textRotation="0" wrapText="false" indent="0" shrinkToFit="false"/>
      <protection locked="true" hidden="false"/>
    </xf>
    <xf numFmtId="172" fontId="18" fillId="0" borderId="4"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left" vertical="bottom" textRotation="0" wrapText="true" indent="0" shrinkToFit="false"/>
      <protection locked="true" hidden="false"/>
    </xf>
    <xf numFmtId="172" fontId="19" fillId="3" borderId="4" xfId="0" applyFont="true" applyBorder="true" applyAlignment="true" applyProtection="true">
      <alignment horizontal="general" vertical="center" textRotation="0" wrapText="false" indent="0" shrinkToFit="false"/>
      <protection locked="true" hidden="false"/>
    </xf>
    <xf numFmtId="166" fontId="16" fillId="4" borderId="4" xfId="15" applyFont="true" applyBorder="true" applyAlignment="true" applyProtection="true">
      <alignment horizontal="right" vertical="bottom" textRotation="0" wrapText="false" indent="0" shrinkToFit="false"/>
      <protection locked="true" hidden="false"/>
    </xf>
    <xf numFmtId="168" fontId="16" fillId="4" borderId="4" xfId="19" applyFont="true" applyBorder="true" applyAlignment="true" applyProtection="true">
      <alignment horizontal="right" vertical="bottom" textRotation="0" wrapText="false" indent="0" shrinkToFit="false"/>
      <protection locked="true" hidden="false"/>
    </xf>
    <xf numFmtId="169" fontId="13" fillId="2" borderId="0" xfId="24" applyFont="true" applyBorder="false" applyAlignment="true" applyProtection="true">
      <alignment horizontal="general" vertical="center" textRotation="0" wrapText="true" indent="0" shrinkToFit="false"/>
      <protection locked="true" hidden="false"/>
    </xf>
    <xf numFmtId="164" fontId="12" fillId="2" borderId="0" xfId="0" applyFont="true" applyBorder="true" applyAlignment="true" applyProtection="true">
      <alignment horizontal="left" vertical="top" textRotation="0" wrapText="true" indent="0" shrinkToFit="false"/>
      <protection locked="true" hidden="false"/>
    </xf>
    <xf numFmtId="164" fontId="12" fillId="2" borderId="0" xfId="0" applyFont="true" applyBorder="false" applyAlignment="true" applyProtection="true">
      <alignment horizontal="left" vertical="top" textRotation="0" wrapText="true" indent="0" shrinkToFit="false"/>
      <protection locked="true" hidden="false"/>
    </xf>
    <xf numFmtId="164" fontId="12" fillId="2" borderId="6" xfId="0" applyFont="true" applyBorder="true" applyAlignment="true" applyProtection="true">
      <alignment horizontal="general" vertical="center" textRotation="0" wrapText="true" indent="0" shrinkToFit="false"/>
      <protection locked="true" hidden="false"/>
    </xf>
    <xf numFmtId="166" fontId="12" fillId="2" borderId="0" xfId="15" applyFont="true" applyBorder="true" applyAlignment="true" applyProtection="true">
      <alignment horizontal="left" vertical="center" textRotation="0" wrapText="true" indent="0" shrinkToFit="false"/>
      <protection locked="true" hidden="false"/>
    </xf>
    <xf numFmtId="164" fontId="16" fillId="5" borderId="7" xfId="0" applyFont="true" applyBorder="true" applyAlignment="true" applyProtection="true">
      <alignment horizontal="center" vertical="center" textRotation="0" wrapText="true" indent="0" shrinkToFit="false"/>
      <protection locked="true" hidden="false"/>
    </xf>
    <xf numFmtId="164" fontId="15" fillId="6" borderId="7" xfId="0" applyFont="true" applyBorder="true" applyAlignment="true" applyProtection="true">
      <alignment horizontal="general" vertical="bottom" textRotation="0" wrapText="false" indent="0" shrinkToFit="false"/>
      <protection locked="true" hidden="false"/>
    </xf>
    <xf numFmtId="173" fontId="19" fillId="6" borderId="7" xfId="0" applyFont="true" applyBorder="true" applyAlignment="true" applyProtection="true">
      <alignment horizontal="center" vertical="bottom" textRotation="0" wrapText="false" indent="0" shrinkToFit="false"/>
      <protection locked="true" hidden="false"/>
    </xf>
    <xf numFmtId="174" fontId="19" fillId="6" borderId="7" xfId="0" applyFont="true" applyBorder="true" applyAlignment="true" applyProtection="true">
      <alignment horizontal="center" vertical="bottom" textRotation="0" wrapText="false" indent="0" shrinkToFit="false"/>
      <protection locked="true" hidden="false"/>
    </xf>
    <xf numFmtId="166" fontId="18" fillId="0" borderId="0" xfId="15" applyFont="true" applyBorder="true" applyAlignment="true" applyProtection="true">
      <alignment horizontal="general" vertical="bottom" textRotation="0" wrapText="false" indent="0" shrinkToFit="false"/>
      <protection locked="true" hidden="false"/>
    </xf>
    <xf numFmtId="168" fontId="18" fillId="0" borderId="0" xfId="19" applyFont="true" applyBorder="true" applyAlignment="true" applyProtection="true">
      <alignment horizontal="general" vertical="bottom" textRotation="0" wrapText="false" indent="0" shrinkToFit="false"/>
      <protection locked="true" hidden="false"/>
    </xf>
    <xf numFmtId="164" fontId="15" fillId="7" borderId="7" xfId="0" applyFont="true" applyBorder="true" applyAlignment="true" applyProtection="true">
      <alignment horizontal="general" vertical="center" textRotation="0" wrapText="false" indent="0" shrinkToFit="false"/>
      <protection locked="true" hidden="false"/>
    </xf>
    <xf numFmtId="169" fontId="15" fillId="7" borderId="7" xfId="0" applyFont="true" applyBorder="true" applyAlignment="true" applyProtection="true">
      <alignment horizontal="general" vertical="center" textRotation="0" wrapText="false" indent="0" shrinkToFit="false"/>
      <protection locked="true" hidden="false"/>
    </xf>
    <xf numFmtId="172" fontId="15" fillId="7" borderId="7" xfId="0" applyFont="true" applyBorder="true" applyAlignment="true" applyProtection="true">
      <alignment horizontal="general" vertical="center" textRotation="0" wrapText="false" indent="0" shrinkToFit="false"/>
      <protection locked="true" hidden="false"/>
    </xf>
    <xf numFmtId="164" fontId="18" fillId="0" borderId="7" xfId="0" applyFont="true" applyBorder="true" applyAlignment="true" applyProtection="true">
      <alignment horizontal="left" vertical="bottom" textRotation="0" wrapText="false" indent="1" shrinkToFit="false"/>
      <protection locked="true" hidden="false"/>
    </xf>
    <xf numFmtId="169" fontId="18" fillId="0" borderId="7" xfId="0" applyFont="true" applyBorder="true" applyAlignment="true" applyProtection="true">
      <alignment horizontal="general" vertical="bottom" textRotation="0" wrapText="false" indent="0" shrinkToFit="false"/>
      <protection locked="true" hidden="false"/>
    </xf>
    <xf numFmtId="172" fontId="18" fillId="0" borderId="7" xfId="0" applyFont="true" applyBorder="true" applyAlignment="true" applyProtection="true">
      <alignment horizontal="general" vertical="bottom" textRotation="0" wrapText="false" indent="0" shrinkToFit="false"/>
      <protection locked="true" hidden="false"/>
    </xf>
    <xf numFmtId="169" fontId="18" fillId="0" borderId="0" xfId="0" applyFont="true" applyBorder="false" applyAlignment="true" applyProtection="true">
      <alignment horizontal="general" vertical="bottom" textRotation="0" wrapText="false" indent="0" shrinkToFit="false"/>
      <protection locked="true" hidden="false"/>
    </xf>
    <xf numFmtId="169" fontId="15" fillId="7" borderId="7" xfId="0" applyFont="true" applyBorder="true" applyAlignment="true" applyProtection="true">
      <alignment horizontal="general" vertical="bottom" textRotation="0" wrapText="false" indent="0" shrinkToFit="false"/>
      <protection locked="true" hidden="false"/>
    </xf>
    <xf numFmtId="172" fontId="15" fillId="7" borderId="7" xfId="0" applyFont="true" applyBorder="true" applyAlignment="true" applyProtection="true">
      <alignment horizontal="general" vertical="bottom"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1" shrinkToFit="false"/>
      <protection locked="true" hidden="false"/>
    </xf>
    <xf numFmtId="169" fontId="18" fillId="0" borderId="7" xfId="0" applyFont="true" applyBorder="true" applyAlignment="true" applyProtection="true">
      <alignment horizontal="general" vertical="center" textRotation="0" wrapText="false" indent="0" shrinkToFit="false"/>
      <protection locked="true" hidden="false"/>
    </xf>
    <xf numFmtId="172" fontId="18" fillId="0" borderId="7" xfId="0" applyFont="true" applyBorder="true" applyAlignment="true" applyProtection="true">
      <alignment horizontal="general" vertical="center" textRotation="0" wrapText="false" indent="0" shrinkToFit="false"/>
      <protection locked="true" hidden="false"/>
    </xf>
    <xf numFmtId="164" fontId="15" fillId="7" borderId="7" xfId="0" applyFont="true" applyBorder="true" applyAlignment="true" applyProtection="true">
      <alignment horizontal="general" vertical="bottom" textRotation="0" wrapText="false" indent="0" shrinkToFit="false"/>
      <protection locked="true" hidden="false"/>
    </xf>
    <xf numFmtId="164" fontId="15" fillId="7" borderId="7" xfId="0" applyFont="true" applyBorder="true" applyAlignment="true" applyProtection="true">
      <alignment horizontal="left" vertical="bottom" textRotation="0" wrapText="false" indent="0" shrinkToFit="false"/>
      <protection locked="true" hidden="false"/>
    </xf>
    <xf numFmtId="164" fontId="18" fillId="0" borderId="7" xfId="0" applyFont="true" applyBorder="true" applyAlignment="true" applyProtection="true">
      <alignment horizontal="general" vertical="bottom" textRotation="0" wrapText="false" indent="0" shrinkToFit="false"/>
      <protection locked="true" hidden="false"/>
    </xf>
    <xf numFmtId="175" fontId="18" fillId="0" borderId="7" xfId="0" applyFont="true" applyBorder="true" applyAlignment="true" applyProtection="true">
      <alignment horizontal="general" vertical="bottom" textRotation="0" wrapText="false" indent="0" shrinkToFit="false"/>
      <protection locked="true" hidden="false"/>
    </xf>
    <xf numFmtId="164" fontId="10" fillId="0" borderId="0" xfId="23" applyFont="true" applyBorder="true" applyAlignment="true" applyProtection="true">
      <alignment horizontal="left" vertical="top" textRotation="0" wrapText="false" indent="0" shrinkToFit="false"/>
      <protection locked="true" hidden="false"/>
    </xf>
    <xf numFmtId="164" fontId="22" fillId="2" borderId="0" xfId="0" applyFont="true" applyBorder="false" applyAlignment="true" applyProtection="true">
      <alignment horizontal="general" vertical="bottom" textRotation="0" wrapText="false" indent="0" shrinkToFit="false"/>
      <protection locked="true" hidden="false"/>
    </xf>
    <xf numFmtId="164" fontId="9" fillId="2" borderId="0" xfId="24" applyFont="true" applyBorder="true" applyAlignment="true" applyProtection="true">
      <alignment horizontal="left" vertical="center" textRotation="0" wrapText="true" indent="0" shrinkToFit="false"/>
      <protection locked="true" hidden="false"/>
    </xf>
    <xf numFmtId="164" fontId="9" fillId="2" borderId="0" xfId="24" applyFont="true" applyBorder="fals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10" fillId="3" borderId="0" xfId="23" applyFont="true" applyBorder="true" applyAlignment="true" applyProtection="true">
      <alignment horizontal="left" vertical="top" textRotation="0" wrapText="false" indent="0" shrinkToFit="false"/>
      <protection locked="true" hidden="false"/>
    </xf>
    <xf numFmtId="164" fontId="11" fillId="3" borderId="0" xfId="24" applyFont="true" applyBorder="false" applyAlignment="true" applyProtection="true">
      <alignment horizontal="general" vertical="center" textRotation="0" wrapText="true" indent="0" shrinkToFit="false"/>
      <protection locked="true" hidden="false"/>
    </xf>
    <xf numFmtId="164" fontId="23" fillId="2" borderId="0" xfId="0" applyFont="true" applyBorder="true" applyAlignment="true" applyProtection="true">
      <alignment horizontal="left" vertical="center" textRotation="0" wrapText="false" indent="0" shrinkToFit="false"/>
      <protection locked="true" hidden="false"/>
    </xf>
    <xf numFmtId="164" fontId="24"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6" borderId="8" xfId="0" applyFont="true" applyBorder="true" applyAlignment="true" applyProtection="true">
      <alignment horizontal="center" vertical="center" textRotation="0" wrapText="false" indent="0" shrinkToFit="false"/>
      <protection locked="true" hidden="false"/>
    </xf>
    <xf numFmtId="164" fontId="26" fillId="2" borderId="9" xfId="0" applyFont="true" applyBorder="tru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center" textRotation="0" wrapText="true" indent="0" shrinkToFit="false"/>
      <protection locked="true" hidden="false"/>
    </xf>
    <xf numFmtId="164" fontId="26" fillId="2" borderId="10" xfId="0" applyFont="true" applyBorder="tru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bottom" textRotation="0" wrapText="false" indent="0" shrinkToFit="false"/>
      <protection locked="true" hidden="false"/>
    </xf>
    <xf numFmtId="164" fontId="26" fillId="0" borderId="9" xfId="0" applyFont="true" applyBorder="true" applyAlignment="true" applyProtection="true">
      <alignment horizontal="left" vertical="center" textRotation="0" wrapText="true" indent="0" shrinkToFit="false"/>
      <protection locked="true" hidden="false"/>
    </xf>
    <xf numFmtId="164" fontId="26" fillId="2" borderId="0" xfId="0" applyFont="true" applyBorder="false" applyAlignment="true" applyProtection="true">
      <alignment horizontal="left" vertical="center" textRotation="0" wrapText="true" indent="0" shrinkToFit="false"/>
      <protection locked="true" hidden="false"/>
    </xf>
    <xf numFmtId="164" fontId="26" fillId="0" borderId="0" xfId="0" applyFont="true" applyBorder="true" applyAlignment="true" applyProtection="true">
      <alignment horizontal="left" vertical="center" textRotation="0" wrapText="true" indent="0" shrinkToFit="false"/>
      <protection locked="true" hidden="false"/>
    </xf>
    <xf numFmtId="164" fontId="26" fillId="0" borderId="0" xfId="0" applyFont="true" applyBorder="false" applyAlignment="true" applyProtection="true">
      <alignment horizontal="left" vertical="center" textRotation="0" wrapText="true" indent="0" shrinkToFit="false"/>
      <protection locked="true" hidden="false"/>
    </xf>
    <xf numFmtId="164" fontId="22" fillId="2" borderId="0" xfId="0" applyFont="true" applyBorder="false" applyAlignment="true" applyProtection="true">
      <alignment horizontal="left" vertical="bottom" textRotation="0" wrapText="false" indent="0" shrinkToFit="false"/>
      <protection locked="true" hidden="false"/>
    </xf>
    <xf numFmtId="164" fontId="26" fillId="2" borderId="0" xfId="0" applyFont="true" applyBorder="false" applyAlignment="true" applyProtection="true">
      <alignment horizontal="left" vertical="center" textRotation="0" wrapText="false" indent="0" shrinkToFit="false"/>
      <protection locked="true" hidden="false"/>
    </xf>
    <xf numFmtId="164" fontId="26" fillId="2" borderId="10" xfId="0" applyFont="true" applyBorder="true" applyAlignment="true" applyProtection="true">
      <alignment horizontal="left" vertical="center" textRotation="0" wrapText="false" indent="0" shrinkToFit="false"/>
      <protection locked="true" hidden="false"/>
    </xf>
    <xf numFmtId="164" fontId="26" fillId="2" borderId="0" xfId="0" applyFont="true" applyBorder="false" applyAlignment="true" applyProtection="true">
      <alignment horizontal="left" vertical="bottom" textRotation="0" wrapText="false" indent="0" shrinkToFit="false"/>
      <protection locked="true" hidden="false"/>
    </xf>
    <xf numFmtId="169" fontId="22" fillId="2" borderId="0" xfId="0" applyFont="true" applyBorder="false" applyAlignment="true" applyProtection="true">
      <alignment horizontal="left" vertical="bottom" textRotation="0" wrapText="false" indent="0" shrinkToFit="false"/>
      <protection locked="true" hidden="false"/>
    </xf>
    <xf numFmtId="164" fontId="27" fillId="5" borderId="11" xfId="0" applyFont="true" applyBorder="true" applyAlignment="true" applyProtection="true">
      <alignment horizontal="center" vertical="center" textRotation="0" wrapText="true" indent="0" shrinkToFit="false"/>
      <protection locked="true" hidden="false"/>
    </xf>
    <xf numFmtId="164" fontId="27" fillId="5" borderId="4" xfId="0" applyFont="true" applyBorder="true" applyAlignment="true" applyProtection="true">
      <alignment horizontal="center" vertical="center" textRotation="0" wrapText="true" indent="0" shrinkToFit="false"/>
      <protection locked="true" hidden="false"/>
    </xf>
    <xf numFmtId="176" fontId="27" fillId="5" borderId="4" xfId="0" applyFont="true" applyBorder="true" applyAlignment="true" applyProtection="true">
      <alignment horizontal="center" vertical="center" textRotation="0" wrapText="true" indent="0" shrinkToFit="false"/>
      <protection locked="true" hidden="false"/>
    </xf>
    <xf numFmtId="176" fontId="27" fillId="0" borderId="0" xfId="0" applyFont="true" applyBorder="false" applyAlignment="true" applyProtection="true">
      <alignment horizontal="center" vertical="center" textRotation="0" wrapText="true" indent="0" shrinkToFit="false"/>
      <protection locked="true" hidden="false"/>
    </xf>
    <xf numFmtId="164" fontId="27" fillId="5" borderId="4" xfId="0" applyFont="true" applyBorder="true" applyAlignment="true" applyProtection="true">
      <alignment horizontal="general" vertical="center" textRotation="0" wrapText="true" indent="0" shrinkToFit="false"/>
      <protection locked="true" hidden="false"/>
    </xf>
    <xf numFmtId="169" fontId="22" fillId="2" borderId="0" xfId="0" applyFont="true" applyBorder="false" applyAlignment="true" applyProtection="true">
      <alignment horizontal="general" vertical="bottom" textRotation="0" wrapText="false" indent="0" shrinkToFit="false"/>
      <protection locked="true" hidden="false"/>
    </xf>
    <xf numFmtId="164" fontId="22" fillId="3" borderId="12" xfId="0" applyFont="true" applyBorder="true" applyAlignment="true" applyProtection="true">
      <alignment horizontal="general" vertical="bottom" textRotation="0" wrapText="false" indent="0" shrinkToFit="false"/>
      <protection locked="true" hidden="false"/>
    </xf>
    <xf numFmtId="166" fontId="22" fillId="3" borderId="13" xfId="15" applyFont="true" applyBorder="true" applyAlignment="true" applyProtection="true">
      <alignment horizontal="general" vertical="bottom" textRotation="0" wrapText="false" indent="0" shrinkToFit="false"/>
      <protection locked="true" hidden="false"/>
    </xf>
    <xf numFmtId="164" fontId="22" fillId="2" borderId="4" xfId="0" applyFont="true" applyBorder="true" applyAlignment="true" applyProtection="true">
      <alignment horizontal="general" vertical="bottom" textRotation="0" wrapText="false" indent="0" shrinkToFit="false"/>
      <protection locked="true" hidden="false"/>
    </xf>
    <xf numFmtId="177" fontId="22" fillId="0" borderId="4" xfId="15" applyFont="true" applyBorder="true" applyAlignment="true" applyProtection="true">
      <alignment horizontal="general" vertical="bottom" textRotation="0" wrapText="false" indent="0" shrinkToFit="false"/>
      <protection locked="true" hidden="false"/>
    </xf>
    <xf numFmtId="176" fontId="22" fillId="0" borderId="4" xfId="15" applyFont="true" applyBorder="true" applyAlignment="true" applyProtection="true">
      <alignment horizontal="general" vertical="bottom" textRotation="0" wrapText="false" indent="0" shrinkToFit="false"/>
      <protection locked="true" hidden="false"/>
    </xf>
    <xf numFmtId="176" fontId="22" fillId="0" borderId="0" xfId="15" applyFont="true" applyBorder="true" applyAlignment="true" applyProtection="true">
      <alignment horizontal="general" vertical="bottom" textRotation="0" wrapText="false" indent="0" shrinkToFit="false"/>
      <protection locked="true" hidden="false"/>
    </xf>
    <xf numFmtId="164" fontId="22" fillId="3" borderId="13" xfId="0" applyFont="true" applyBorder="true" applyAlignment="true" applyProtection="true">
      <alignment horizontal="left" vertical="bottom" textRotation="0" wrapText="false" indent="0" shrinkToFit="false"/>
      <protection locked="true" hidden="false"/>
    </xf>
    <xf numFmtId="173" fontId="22" fillId="3" borderId="14" xfId="0" applyFont="true" applyBorder="true" applyAlignment="true" applyProtection="true">
      <alignment horizontal="general" vertical="bottom" textRotation="0" wrapText="false" indent="0" shrinkToFit="false"/>
      <protection locked="true" hidden="false"/>
    </xf>
    <xf numFmtId="169" fontId="26" fillId="2" borderId="0" xfId="0" applyFont="true" applyBorder="false" applyAlignment="true" applyProtection="true">
      <alignment horizontal="center" vertical="bottom" textRotation="0" wrapText="false" indent="0" shrinkToFit="false"/>
      <protection locked="true" hidden="false"/>
    </xf>
    <xf numFmtId="166" fontId="22" fillId="2" borderId="15" xfId="15" applyFont="true" applyBorder="true" applyAlignment="true" applyProtection="true">
      <alignment horizontal="left" vertical="bottom" textRotation="0" wrapText="false" indent="0" shrinkToFit="false"/>
      <protection locked="true" hidden="false"/>
    </xf>
    <xf numFmtId="173" fontId="22" fillId="0" borderId="4" xfId="15" applyFont="true" applyBorder="true" applyAlignment="true" applyProtection="true">
      <alignment horizontal="right" vertical="bottom" textRotation="0" wrapText="false" indent="0" shrinkToFit="false"/>
      <protection locked="true" hidden="false"/>
    </xf>
    <xf numFmtId="173" fontId="22" fillId="2" borderId="4" xfId="15" applyFont="true" applyBorder="true" applyAlignment="true" applyProtection="true">
      <alignment horizontal="right" vertical="bottom" textRotation="0" wrapText="false" indent="0" shrinkToFit="false"/>
      <protection locked="true" hidden="false"/>
    </xf>
    <xf numFmtId="164" fontId="22" fillId="2" borderId="0" xfId="0" applyFont="true" applyBorder="true" applyAlignment="true" applyProtection="true">
      <alignment horizontal="general" vertical="bottom" textRotation="0" wrapText="false" indent="0" shrinkToFit="false"/>
      <protection locked="true" hidden="false"/>
    </xf>
    <xf numFmtId="176" fontId="22" fillId="2" borderId="0" xfId="15" applyFont="true" applyBorder="true" applyAlignment="true" applyProtection="true">
      <alignment horizontal="general" vertical="bottom" textRotation="0" wrapText="false" indent="0" shrinkToFit="false"/>
      <protection locked="true" hidden="false"/>
    </xf>
    <xf numFmtId="166" fontId="22" fillId="2" borderId="16" xfId="15" applyFont="true" applyBorder="true" applyAlignment="true" applyProtection="true">
      <alignment horizontal="left" vertical="bottom" textRotation="0" wrapText="false" indent="0" shrinkToFit="false"/>
      <protection locked="true" hidden="false"/>
    </xf>
    <xf numFmtId="166" fontId="22" fillId="0" borderId="17" xfId="15" applyFont="true" applyBorder="true" applyAlignment="true" applyProtection="true">
      <alignment horizontal="general" vertical="bottom" textRotation="0" wrapText="false" indent="0" shrinkToFit="false"/>
      <protection locked="true" hidden="false"/>
    </xf>
    <xf numFmtId="166" fontId="22" fillId="2" borderId="18" xfId="15" applyFont="true" applyBorder="true" applyAlignment="true" applyProtection="true">
      <alignment horizontal="left" vertical="bottom" textRotation="0" wrapText="false" indent="0" shrinkToFit="false"/>
      <protection locked="true" hidden="false"/>
    </xf>
    <xf numFmtId="166" fontId="22" fillId="2" borderId="0" xfId="15" applyFont="true" applyBorder="true" applyAlignment="true" applyProtection="true">
      <alignment horizontal="general" vertical="bottom" textRotation="0" wrapText="false" indent="0" shrinkToFit="false"/>
      <protection locked="true" hidden="false"/>
    </xf>
    <xf numFmtId="166" fontId="22" fillId="2" borderId="4" xfId="15" applyFont="true" applyBorder="true" applyAlignment="true" applyProtection="true">
      <alignment horizontal="left" vertical="bottom" textRotation="0" wrapText="false" indent="0" shrinkToFit="false"/>
      <protection locked="true" hidden="false"/>
    </xf>
    <xf numFmtId="166" fontId="22" fillId="0" borderId="19" xfId="15" applyFont="true" applyBorder="true" applyAlignment="true" applyProtection="true">
      <alignment horizontal="general" vertical="bottom" textRotation="0" wrapText="false" indent="0" shrinkToFit="false"/>
      <protection locked="true" hidden="false"/>
    </xf>
    <xf numFmtId="169" fontId="26" fillId="2" borderId="20" xfId="0" applyFont="true" applyBorder="true" applyAlignment="true" applyProtection="true">
      <alignment horizontal="center" vertical="bottom" textRotation="0" wrapText="false" indent="0" shrinkToFit="false"/>
      <protection locked="true" hidden="false"/>
    </xf>
    <xf numFmtId="164" fontId="26" fillId="2" borderId="20" xfId="0" applyFont="true" applyBorder="true" applyAlignment="true" applyProtection="true">
      <alignment horizontal="center" vertical="bottom" textRotation="0" wrapText="false" indent="0" shrinkToFit="false"/>
      <protection locked="true" hidden="false"/>
    </xf>
    <xf numFmtId="166" fontId="22" fillId="2" borderId="9" xfId="15" applyFont="true" applyBorder="true" applyAlignment="true" applyProtection="true">
      <alignment horizontal="left" vertical="bottom" textRotation="0" wrapText="false" indent="0" shrinkToFit="false"/>
      <protection locked="true" hidden="false"/>
    </xf>
    <xf numFmtId="166" fontId="22" fillId="2" borderId="0" xfId="15" applyFont="true" applyBorder="true" applyAlignment="true" applyProtection="true">
      <alignment horizontal="left" vertical="bottom" textRotation="0" wrapText="false" indent="0" shrinkToFit="false"/>
      <protection locked="true" hidden="false"/>
    </xf>
    <xf numFmtId="164" fontId="26" fillId="6" borderId="18" xfId="0" applyFont="true" applyBorder="true" applyAlignment="true" applyProtection="true">
      <alignment horizontal="center" vertical="center" textRotation="0" wrapText="false" indent="0" shrinkToFit="false"/>
      <protection locked="true" hidden="false"/>
    </xf>
    <xf numFmtId="164" fontId="22" fillId="2" borderId="0" xfId="0" applyFont="true" applyBorder="false" applyAlignment="true" applyProtection="true">
      <alignment horizontal="general" vertical="bottom" textRotation="0" wrapText="true" indent="0" shrinkToFit="false"/>
      <protection locked="true" hidden="false"/>
    </xf>
    <xf numFmtId="164" fontId="26" fillId="2" borderId="21" xfId="0" applyFont="true" applyBorder="true" applyAlignment="true" applyProtection="true">
      <alignment horizontal="left" vertical="center" textRotation="0" wrapText="false" indent="0" shrinkToFit="false"/>
      <protection locked="true" hidden="false"/>
    </xf>
    <xf numFmtId="164" fontId="26" fillId="2" borderId="0" xfId="0" applyFont="true" applyBorder="false" applyAlignment="true" applyProtection="true">
      <alignment horizontal="center" vertical="bottom" textRotation="0" wrapText="tru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78" fontId="26" fillId="0" borderId="0" xfId="0" applyFont="true" applyBorder="false" applyAlignment="true" applyProtection="true">
      <alignment horizontal="center" vertical="bottom" textRotation="0" wrapText="false" indent="0" shrinkToFit="false"/>
      <protection locked="true" hidden="false"/>
    </xf>
    <xf numFmtId="178" fontId="26" fillId="2" borderId="0" xfId="0" applyFont="true" applyBorder="false" applyAlignment="true" applyProtection="true">
      <alignment horizontal="center" vertical="bottom" textRotation="0" wrapText="true" indent="0" shrinkToFit="false"/>
      <protection locked="true" hidden="false"/>
    </xf>
    <xf numFmtId="178" fontId="22" fillId="2" borderId="0" xfId="0" applyFont="true" applyBorder="false" applyAlignment="true" applyProtection="true">
      <alignment horizontal="general" vertical="bottom" textRotation="0" wrapText="true" indent="0" shrinkToFit="false"/>
      <protection locked="true" hidden="false"/>
    </xf>
    <xf numFmtId="178" fontId="22" fillId="0" borderId="0" xfId="0" applyFont="true" applyBorder="false" applyAlignment="true" applyProtection="true">
      <alignment horizontal="general" vertical="bottom" textRotation="0" wrapText="false" indent="0" shrinkToFit="false"/>
      <protection locked="true" hidden="false"/>
    </xf>
    <xf numFmtId="169" fontId="22" fillId="0" borderId="0" xfId="0" applyFont="true" applyBorder="false" applyAlignment="true" applyProtection="true">
      <alignment horizontal="general" vertical="bottom" textRotation="0" wrapText="false" indent="0" shrinkToFit="false"/>
      <protection locked="true" hidden="false"/>
    </xf>
    <xf numFmtId="167" fontId="22" fillId="3" borderId="13" xfId="19" applyFont="true" applyBorder="true" applyAlignment="true" applyProtection="true">
      <alignment horizontal="general" vertical="bottom" textRotation="0" wrapText="false" indent="0" shrinkToFit="false"/>
      <protection locked="true" hidden="false"/>
    </xf>
    <xf numFmtId="164" fontId="22" fillId="3" borderId="13" xfId="0" applyFont="true" applyBorder="true" applyAlignment="true" applyProtection="true">
      <alignment horizontal="general" vertical="bottom" textRotation="0" wrapText="false" indent="0" shrinkToFit="false"/>
      <protection locked="true" hidden="false"/>
    </xf>
    <xf numFmtId="173" fontId="22" fillId="3" borderId="13" xfId="15" applyFont="true" applyBorder="true" applyAlignment="true" applyProtection="true">
      <alignment horizontal="general" vertical="bottom" textRotation="0" wrapText="false" indent="0" shrinkToFit="false"/>
      <protection locked="true" hidden="false"/>
    </xf>
    <xf numFmtId="173" fontId="22" fillId="3" borderId="13" xfId="0" applyFont="true" applyBorder="true" applyAlignment="true" applyProtection="true">
      <alignment horizontal="general" vertical="bottom" textRotation="0" wrapText="false" indent="0" shrinkToFit="false"/>
      <protection locked="true" hidden="false"/>
    </xf>
    <xf numFmtId="173" fontId="22" fillId="3" borderId="22" xfId="15" applyFont="true" applyBorder="true" applyAlignment="true" applyProtection="true">
      <alignment horizontal="general" vertical="bottom" textRotation="0" wrapText="false" indent="0" shrinkToFit="false"/>
      <protection locked="true" hidden="false"/>
    </xf>
    <xf numFmtId="166" fontId="22" fillId="0" borderId="16" xfId="15" applyFont="true" applyBorder="true" applyAlignment="true" applyProtection="true">
      <alignment horizontal="left" vertical="bottom" textRotation="0" wrapText="false" indent="0" shrinkToFit="false"/>
      <protection locked="true" hidden="false"/>
    </xf>
    <xf numFmtId="167" fontId="22" fillId="2" borderId="16" xfId="19" applyFont="true" applyBorder="true" applyAlignment="true" applyProtection="true">
      <alignment horizontal="right" vertical="bottom" textRotation="0" wrapText="false" indent="0" shrinkToFit="false"/>
      <protection locked="true" hidden="false"/>
    </xf>
    <xf numFmtId="173" fontId="22" fillId="0" borderId="16" xfId="15" applyFont="true" applyBorder="true" applyAlignment="true" applyProtection="true">
      <alignment horizontal="left" vertical="bottom" textRotation="0" wrapText="false" indent="0" shrinkToFit="false"/>
      <protection locked="true" hidden="false"/>
    </xf>
    <xf numFmtId="173" fontId="22" fillId="2" borderId="23" xfId="15" applyFont="true" applyBorder="true" applyAlignment="true" applyProtection="true">
      <alignment horizontal="left" vertical="bottom" textRotation="0" wrapText="false" indent="0" shrinkToFit="false"/>
      <protection locked="true" hidden="false"/>
    </xf>
    <xf numFmtId="169" fontId="26" fillId="0" borderId="0" xfId="0" applyFont="true" applyBorder="false" applyAlignment="true" applyProtection="true">
      <alignment horizontal="center" vertical="bottom" textRotation="0" wrapText="false" indent="0" shrinkToFit="false"/>
      <protection locked="true" hidden="false"/>
    </xf>
    <xf numFmtId="166" fontId="22" fillId="0" borderId="4" xfId="15" applyFont="true" applyBorder="true" applyAlignment="true" applyProtection="true">
      <alignment horizontal="left" vertical="bottom" textRotation="0" wrapText="false" indent="0" shrinkToFit="false"/>
      <protection locked="true" hidden="false"/>
    </xf>
    <xf numFmtId="167" fontId="22" fillId="2" borderId="4" xfId="19" applyFont="true" applyBorder="true" applyAlignment="true" applyProtection="true">
      <alignment horizontal="right" vertical="bottom" textRotation="0" wrapText="false" indent="0" shrinkToFit="false"/>
      <protection locked="true" hidden="false"/>
    </xf>
    <xf numFmtId="173" fontId="22" fillId="0" borderId="4" xfId="15" applyFont="true" applyBorder="true" applyAlignment="true" applyProtection="true">
      <alignment horizontal="left" vertical="bottom" textRotation="0" wrapText="false" indent="0" shrinkToFit="false"/>
      <protection locked="true" hidden="false"/>
    </xf>
    <xf numFmtId="173" fontId="22" fillId="2" borderId="24" xfId="15" applyFont="true" applyBorder="true" applyAlignment="true" applyProtection="true">
      <alignment horizontal="left" vertical="bottom" textRotation="0" wrapText="false" indent="0" shrinkToFit="false"/>
      <protection locked="true" hidden="false"/>
    </xf>
    <xf numFmtId="164" fontId="26" fillId="2" borderId="10" xfId="0" applyFont="true" applyBorder="true" applyAlignment="true" applyProtection="true">
      <alignment horizontal="center" vertical="bottom" textRotation="0" wrapText="false" indent="0" shrinkToFit="false"/>
      <protection locked="true" hidden="false"/>
    </xf>
    <xf numFmtId="164" fontId="22" fillId="0" borderId="9" xfId="0" applyFont="true" applyBorder="true" applyAlignment="true" applyProtection="true">
      <alignment horizontal="general" vertical="bottom" textRotation="0" wrapText="false" indent="0" shrinkToFit="false"/>
      <protection locked="true" hidden="false"/>
    </xf>
    <xf numFmtId="164" fontId="26" fillId="6" borderId="25" xfId="0" applyFont="true" applyBorder="true" applyAlignment="true" applyProtection="true">
      <alignment horizontal="center" vertical="center" textRotation="0" wrapText="false" indent="0" shrinkToFit="false"/>
      <protection locked="true" hidden="false"/>
    </xf>
    <xf numFmtId="164" fontId="26" fillId="0" borderId="9" xfId="0" applyFont="true" applyBorder="true" applyAlignment="true" applyProtection="true">
      <alignment horizontal="general" vertical="center" textRotation="0" wrapText="true" indent="0" shrinkToFit="false"/>
      <protection locked="true" hidden="false"/>
    </xf>
    <xf numFmtId="164" fontId="26" fillId="2" borderId="0" xfId="0" applyFont="true" applyBorder="false" applyAlignment="true" applyProtection="true">
      <alignment horizontal="general" vertical="center" textRotation="0" wrapText="true" indent="0" shrinkToFit="false"/>
      <protection locked="true" hidden="false"/>
    </xf>
    <xf numFmtId="164" fontId="26" fillId="0" borderId="0" xfId="0" applyFont="true" applyBorder="true" applyAlignment="true" applyProtection="true">
      <alignment horizontal="general" vertical="center" textRotation="0" wrapText="true" indent="0" shrinkToFit="false"/>
      <protection locked="true" hidden="false"/>
    </xf>
    <xf numFmtId="164" fontId="26" fillId="2" borderId="10" xfId="0" applyFont="true" applyBorder="true" applyAlignment="true" applyProtection="true">
      <alignment horizontal="general" vertical="bottom" textRotation="0" wrapText="false" indent="0" shrinkToFit="false"/>
      <protection locked="true" hidden="false"/>
    </xf>
    <xf numFmtId="164" fontId="26" fillId="2" borderId="0" xfId="0" applyFont="true" applyBorder="false" applyAlignment="true" applyProtection="true">
      <alignment horizontal="general" vertical="bottom" textRotation="0" wrapText="false" indent="0" shrinkToFit="false"/>
      <protection locked="true" hidden="false"/>
    </xf>
    <xf numFmtId="178" fontId="26" fillId="2" borderId="0" xfId="0" applyFont="true" applyBorder="false" applyAlignment="true" applyProtection="true">
      <alignment horizontal="general" vertical="bottom" textRotation="0" wrapText="false" indent="0" shrinkToFit="false"/>
      <protection locked="true" hidden="false"/>
    </xf>
    <xf numFmtId="178" fontId="22" fillId="2" borderId="0" xfId="0" applyFont="true" applyBorder="false" applyAlignment="true" applyProtection="true">
      <alignment horizontal="general" vertical="bottom" textRotation="0" wrapText="false" indent="0" shrinkToFit="false"/>
      <protection locked="true" hidden="false"/>
    </xf>
    <xf numFmtId="164" fontId="27" fillId="5" borderId="26" xfId="0" applyFont="true" applyBorder="true" applyAlignment="true" applyProtection="true">
      <alignment horizontal="center" vertical="center" textRotation="0" wrapText="true" indent="0" shrinkToFit="false"/>
      <protection locked="true" hidden="false"/>
    </xf>
    <xf numFmtId="164" fontId="27" fillId="5" borderId="27" xfId="0" applyFont="true" applyBorder="true" applyAlignment="true" applyProtection="true">
      <alignment horizontal="general" vertical="center" textRotation="0" wrapText="true" indent="0" shrinkToFit="false"/>
      <protection locked="true" hidden="false"/>
    </xf>
    <xf numFmtId="164" fontId="26" fillId="0" borderId="10" xfId="0" applyFont="true" applyBorder="true" applyAlignment="true" applyProtection="true">
      <alignment horizontal="center" vertical="bottom" textRotation="0" wrapText="false" indent="0" shrinkToFit="false"/>
      <protection locked="true" hidden="false"/>
    </xf>
    <xf numFmtId="166" fontId="22" fillId="6" borderId="14" xfId="15" applyFont="true" applyBorder="true" applyAlignment="true" applyProtection="true">
      <alignment horizontal="general" vertical="bottom" textRotation="0" wrapText="false" indent="0" shrinkToFit="false"/>
      <protection locked="true" hidden="false"/>
    </xf>
    <xf numFmtId="164" fontId="22" fillId="3" borderId="13" xfId="0" applyFont="true" applyBorder="true" applyAlignment="true" applyProtection="true">
      <alignment horizontal="center" vertical="bottom" textRotation="0" wrapText="false" indent="0" shrinkToFit="false"/>
      <protection locked="true" hidden="false"/>
    </xf>
    <xf numFmtId="166" fontId="22" fillId="0" borderId="14" xfId="15" applyFont="true" applyBorder="true" applyAlignment="true" applyProtection="true">
      <alignment horizontal="general" vertical="bottom" textRotation="0" wrapText="false" indent="0" shrinkToFit="false"/>
      <protection locked="true" hidden="false"/>
    </xf>
    <xf numFmtId="169" fontId="26" fillId="0" borderId="10" xfId="0" applyFont="true" applyBorder="true" applyAlignment="true" applyProtection="true">
      <alignment horizontal="center" vertical="bottom" textRotation="0" wrapText="false" indent="0" shrinkToFit="false"/>
      <protection locked="true" hidden="false"/>
    </xf>
    <xf numFmtId="166" fontId="22" fillId="2" borderId="28" xfId="15" applyFont="true" applyBorder="true" applyAlignment="true" applyProtection="true">
      <alignment horizontal="left" vertical="bottom" textRotation="0" wrapText="false" indent="0" shrinkToFit="false"/>
      <protection locked="true" hidden="false"/>
    </xf>
    <xf numFmtId="166" fontId="22" fillId="0" borderId="0" xfId="15" applyFont="true" applyBorder="true" applyAlignment="true" applyProtection="true">
      <alignment horizontal="general" vertical="bottom" textRotation="0" wrapText="false" indent="0" shrinkToFit="false"/>
      <protection locked="true" hidden="false"/>
    </xf>
    <xf numFmtId="164" fontId="26" fillId="2" borderId="29" xfId="0" applyFont="true" applyBorder="true" applyAlignment="true" applyProtection="true">
      <alignment horizontal="center" vertical="bottom" textRotation="0" wrapText="false" indent="0" shrinkToFit="false"/>
      <protection locked="true" hidden="false"/>
    </xf>
    <xf numFmtId="178" fontId="26" fillId="2" borderId="0" xfId="0" applyFont="true" applyBorder="false" applyAlignment="true" applyProtection="true">
      <alignment horizontal="center" vertical="bottom" textRotation="0" wrapText="false" indent="0" shrinkToFit="false"/>
      <protection locked="true" hidden="false"/>
    </xf>
    <xf numFmtId="164" fontId="26" fillId="2" borderId="9" xfId="0" applyFont="true" applyBorder="true" applyAlignment="true" applyProtection="true">
      <alignment horizontal="left" vertical="center" textRotation="0" wrapText="true" indent="0" shrinkToFit="false"/>
      <protection locked="true" hidden="false"/>
    </xf>
    <xf numFmtId="164" fontId="22" fillId="2" borderId="10" xfId="0" applyFont="true" applyBorder="true" applyAlignment="true" applyProtection="true">
      <alignment horizontal="general" vertical="bottom" textRotation="0" wrapText="false" indent="0" shrinkToFit="false"/>
      <protection locked="true" hidden="false"/>
    </xf>
    <xf numFmtId="164" fontId="27" fillId="5" borderId="18" xfId="0" applyFont="true" applyBorder="true" applyAlignment="true" applyProtection="true">
      <alignment horizontal="center" vertical="center" textRotation="0" wrapText="true" indent="0" shrinkToFit="false"/>
      <protection locked="true" hidden="false"/>
    </xf>
    <xf numFmtId="164" fontId="26" fillId="3" borderId="12" xfId="0" applyFont="true" applyBorder="true" applyAlignment="true" applyProtection="true">
      <alignment horizontal="general" vertical="bottom" textRotation="0" wrapText="false" indent="0" shrinkToFit="false"/>
      <protection locked="true" hidden="false"/>
    </xf>
    <xf numFmtId="173" fontId="22" fillId="3" borderId="13" xfId="0" applyFont="true" applyBorder="true" applyAlignment="true" applyProtection="true">
      <alignment horizontal="right" vertical="bottom" textRotation="0" wrapText="false" indent="0" shrinkToFit="false"/>
      <protection locked="true" hidden="false"/>
    </xf>
    <xf numFmtId="166" fontId="22" fillId="3" borderId="13" xfId="15" applyFont="true" applyBorder="true" applyAlignment="true" applyProtection="true">
      <alignment horizontal="right" vertical="bottom" textRotation="0" wrapText="false" indent="0" shrinkToFit="false"/>
      <protection locked="true" hidden="false"/>
    </xf>
    <xf numFmtId="169" fontId="22" fillId="2" borderId="10" xfId="0" applyFont="true" applyBorder="true" applyAlignment="true" applyProtection="true">
      <alignment horizontal="general" vertical="bottom" textRotation="0" wrapText="false" indent="0" shrinkToFit="false"/>
      <protection locked="true" hidden="false"/>
    </xf>
    <xf numFmtId="166" fontId="26" fillId="8" borderId="16" xfId="15" applyFont="true" applyBorder="true" applyAlignment="true" applyProtection="true">
      <alignment horizontal="left" vertical="bottom" textRotation="0" wrapText="false" indent="0" shrinkToFit="false"/>
      <protection locked="true" hidden="false"/>
    </xf>
    <xf numFmtId="166" fontId="22" fillId="8" borderId="16" xfId="15" applyFont="true" applyBorder="true" applyAlignment="true" applyProtection="true">
      <alignment horizontal="right" vertical="bottom" textRotation="0" wrapText="false" indent="0" shrinkToFit="false"/>
      <protection locked="true" hidden="false"/>
    </xf>
    <xf numFmtId="166" fontId="22" fillId="2" borderId="0" xfId="0" applyFont="true" applyBorder="false" applyAlignment="true" applyProtection="true">
      <alignment horizontal="general" vertical="bottom" textRotation="0" wrapText="false" indent="0" shrinkToFit="false"/>
      <protection locked="true" hidden="false"/>
    </xf>
    <xf numFmtId="166" fontId="22" fillId="0" borderId="16" xfId="15" applyFont="true" applyBorder="true" applyAlignment="true" applyProtection="true">
      <alignment horizontal="right" vertical="bottom" textRotation="0" wrapText="false" indent="0" shrinkToFit="false"/>
      <protection locked="true" hidden="false"/>
    </xf>
    <xf numFmtId="166" fontId="22" fillId="0" borderId="4" xfId="15" applyFont="true" applyBorder="true" applyAlignment="true" applyProtection="true">
      <alignment horizontal="right" vertical="bottom" textRotation="0" wrapText="false" indent="0" shrinkToFit="false"/>
      <protection locked="true" hidden="false"/>
    </xf>
    <xf numFmtId="166" fontId="22" fillId="2" borderId="16" xfId="15" applyFont="true" applyBorder="true" applyAlignment="true" applyProtection="true">
      <alignment horizontal="right" vertical="bottom" textRotation="0" wrapText="false" indent="0" shrinkToFit="false"/>
      <protection locked="true" hidden="false"/>
    </xf>
    <xf numFmtId="166" fontId="28" fillId="8" borderId="4" xfId="15" applyFont="true" applyBorder="true" applyAlignment="true" applyProtection="true">
      <alignment horizontal="right" vertical="bottom" textRotation="0" wrapText="false" indent="0" shrinkToFit="false"/>
      <protection locked="true" hidden="false"/>
    </xf>
    <xf numFmtId="166" fontId="26" fillId="8" borderId="4" xfId="15" applyFont="true" applyBorder="true" applyAlignment="true" applyProtection="true">
      <alignment horizontal="left" vertical="bottom" textRotation="0" wrapText="false" indent="0" shrinkToFit="false"/>
      <protection locked="true" hidden="false"/>
    </xf>
    <xf numFmtId="166" fontId="22" fillId="8" borderId="4" xfId="15" applyFont="true" applyBorder="true" applyAlignment="true" applyProtection="true">
      <alignment horizontal="right" vertical="bottom" textRotation="0" wrapText="false" indent="0" shrinkToFit="false"/>
      <protection locked="true" hidden="false"/>
    </xf>
    <xf numFmtId="166" fontId="29" fillId="2" borderId="4" xfId="15" applyFont="true" applyBorder="true" applyAlignment="true" applyProtection="true">
      <alignment horizontal="right" vertical="bottom" textRotation="0" wrapText="false" indent="0" shrinkToFit="false"/>
      <protection locked="true" hidden="false"/>
    </xf>
    <xf numFmtId="166" fontId="22" fillId="2" borderId="4" xfId="15" applyFont="true" applyBorder="true" applyAlignment="true" applyProtection="true">
      <alignment horizontal="right" vertical="bottom" textRotation="0" wrapText="false" indent="0" shrinkToFit="false"/>
      <protection locked="true" hidden="false"/>
    </xf>
    <xf numFmtId="164" fontId="26" fillId="2" borderId="21" xfId="0" applyFont="true" applyBorder="true" applyAlignment="true" applyProtection="true">
      <alignment horizontal="center" vertical="bottom" textRotation="0" wrapText="false" indent="0" shrinkToFit="false"/>
      <protection locked="true" hidden="false"/>
    </xf>
    <xf numFmtId="164" fontId="22" fillId="6" borderId="4" xfId="0" applyFont="true" applyBorder="true" applyAlignment="true" applyProtection="true">
      <alignment horizontal="center" vertical="center" textRotation="0" wrapText="false" indent="0" shrinkToFit="false"/>
      <protection locked="true" hidden="false"/>
    </xf>
    <xf numFmtId="164" fontId="26" fillId="0" borderId="30" xfId="0" applyFont="true" applyBorder="true" applyAlignment="true" applyProtection="true">
      <alignment horizontal="left" vertical="center" textRotation="0" wrapText="false" indent="0" shrinkToFit="false"/>
      <protection locked="true" hidden="false"/>
    </xf>
    <xf numFmtId="178" fontId="26" fillId="2" borderId="10" xfId="0" applyFont="true" applyBorder="true" applyAlignment="true" applyProtection="true">
      <alignment horizontal="center" vertical="bottom" textRotation="0" wrapText="false" indent="0" shrinkToFit="false"/>
      <protection locked="true" hidden="false"/>
    </xf>
    <xf numFmtId="164" fontId="22" fillId="3" borderId="18" xfId="0" applyFont="true" applyBorder="true" applyAlignment="true" applyProtection="true">
      <alignment horizontal="general" vertical="bottom" textRotation="0" wrapText="false" indent="0" shrinkToFit="false"/>
      <protection locked="true" hidden="false"/>
    </xf>
    <xf numFmtId="173" fontId="22" fillId="3" borderId="4" xfId="15" applyFont="true" applyBorder="true" applyAlignment="true" applyProtection="true">
      <alignment horizontal="general" vertical="bottom" textRotation="0" wrapText="false" indent="0" shrinkToFit="false"/>
      <protection locked="true" hidden="false"/>
    </xf>
    <xf numFmtId="173" fontId="22" fillId="3" borderId="4" xfId="0" applyFont="true" applyBorder="true" applyAlignment="true" applyProtection="true">
      <alignment horizontal="right" vertical="top" textRotation="0" wrapText="false" indent="0" shrinkToFit="false"/>
      <protection locked="true" hidden="false"/>
    </xf>
    <xf numFmtId="173" fontId="22" fillId="3" borderId="4" xfId="15" applyFont="true" applyBorder="true" applyAlignment="true" applyProtection="true">
      <alignment horizontal="right" vertical="top" textRotation="0" wrapText="false" indent="0" shrinkToFit="false"/>
      <protection locked="true" hidden="false"/>
    </xf>
    <xf numFmtId="173" fontId="26" fillId="2" borderId="0" xfId="0" applyFont="true" applyBorder="false" applyAlignment="true" applyProtection="true">
      <alignment horizontal="center" vertical="bottom" textRotation="0" wrapText="false" indent="0" shrinkToFit="false"/>
      <protection locked="true" hidden="false"/>
    </xf>
    <xf numFmtId="179" fontId="26" fillId="2" borderId="0" xfId="0" applyFont="true" applyBorder="false" applyAlignment="true" applyProtection="true">
      <alignment horizontal="center" vertical="bottom" textRotation="0" wrapText="false" indent="0" shrinkToFit="false"/>
      <protection locked="true" hidden="false"/>
    </xf>
    <xf numFmtId="179" fontId="26" fillId="2" borderId="10" xfId="0" applyFont="true" applyBorder="true" applyAlignment="true" applyProtection="true">
      <alignment horizontal="center" vertical="bottom" textRotation="0" wrapText="false" indent="0" shrinkToFit="false"/>
      <protection locked="true" hidden="false"/>
    </xf>
    <xf numFmtId="179" fontId="26" fillId="0" borderId="0" xfId="0" applyFont="true" applyBorder="false" applyAlignment="true" applyProtection="true">
      <alignment horizontal="center" vertical="bottom" textRotation="0" wrapText="false" indent="0" shrinkToFit="false"/>
      <protection locked="true" hidden="false"/>
    </xf>
    <xf numFmtId="179" fontId="22" fillId="0" borderId="0" xfId="0" applyFont="true" applyBorder="false" applyAlignment="true" applyProtection="true">
      <alignment horizontal="general" vertical="bottom" textRotation="0" wrapText="false" indent="0" shrinkToFit="false"/>
      <protection locked="true" hidden="false"/>
    </xf>
    <xf numFmtId="166" fontId="22" fillId="2" borderId="15" xfId="15" applyFont="true" applyBorder="true" applyAlignment="true" applyProtection="true">
      <alignment horizontal="right" vertical="bottom" textRotation="0" wrapText="false" indent="0" shrinkToFit="false"/>
      <protection locked="true" hidden="false"/>
    </xf>
    <xf numFmtId="173" fontId="22" fillId="0" borderId="4" xfId="15" applyFont="true" applyBorder="true" applyAlignment="true" applyProtection="true">
      <alignment horizontal="right" vertical="top" textRotation="0" wrapText="false" indent="0" shrinkToFit="false"/>
      <protection locked="true" hidden="false"/>
    </xf>
    <xf numFmtId="166" fontId="22" fillId="2" borderId="18" xfId="15" applyFont="true" applyBorder="true" applyAlignment="true" applyProtection="true">
      <alignment horizontal="right" vertical="bottom" textRotation="0" wrapText="false" indent="0" shrinkToFit="false"/>
      <protection locked="true" hidden="false"/>
    </xf>
    <xf numFmtId="179" fontId="26"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2" fillId="6" borderId="25" xfId="0" applyFont="true" applyBorder="true" applyAlignment="true" applyProtection="true">
      <alignment horizontal="center" vertical="center" textRotation="0" wrapText="false" indent="0" shrinkToFit="false"/>
      <protection locked="true" hidden="false"/>
    </xf>
    <xf numFmtId="174" fontId="22" fillId="3" borderId="4" xfId="15" applyFont="true" applyBorder="true" applyAlignment="true" applyProtection="true">
      <alignment horizontal="general" vertical="bottom" textRotation="0" wrapText="false" indent="0" shrinkToFit="false"/>
      <protection locked="true" hidden="false"/>
    </xf>
    <xf numFmtId="174" fontId="22" fillId="3" borderId="4" xfId="0" applyFont="true" applyBorder="true" applyAlignment="true" applyProtection="true">
      <alignment horizontal="right" vertical="top" textRotation="0" wrapText="false" indent="0" shrinkToFit="false"/>
      <protection locked="true" hidden="false"/>
    </xf>
    <xf numFmtId="174" fontId="22" fillId="3" borderId="4" xfId="15" applyFont="true" applyBorder="true" applyAlignment="true" applyProtection="true">
      <alignment horizontal="right" vertical="top" textRotation="0" wrapText="false" indent="0" shrinkToFit="false"/>
      <protection locked="true" hidden="false"/>
    </xf>
    <xf numFmtId="174" fontId="22" fillId="0" borderId="4" xfId="15" applyFont="true" applyBorder="true" applyAlignment="true" applyProtection="true">
      <alignment horizontal="left" vertical="bottom" textRotation="0" wrapText="false" indent="0" shrinkToFit="false"/>
      <protection locked="true" hidden="false"/>
    </xf>
    <xf numFmtId="174" fontId="22" fillId="0" borderId="4" xfId="15" applyFont="true" applyBorder="true" applyAlignment="true" applyProtection="true">
      <alignment horizontal="right" vertical="top" textRotation="0" wrapText="false" indent="0" shrinkToFit="false"/>
      <protection locked="true" hidden="false"/>
    </xf>
    <xf numFmtId="164" fontId="26" fillId="0" borderId="9" xfId="0" applyFont="true" applyBorder="true" applyAlignment="true" applyProtection="true">
      <alignment horizontal="left" vertical="center" textRotation="0" wrapText="false" indent="0" shrinkToFit="false"/>
      <protection locked="true" hidden="false"/>
    </xf>
    <xf numFmtId="179" fontId="22" fillId="0" borderId="0" xfId="0" applyFont="true" applyBorder="false" applyAlignment="true" applyProtection="true">
      <alignment horizontal="center" vertical="bottom" textRotation="0" wrapText="true" indent="0" shrinkToFit="false"/>
      <protection locked="true" hidden="false"/>
    </xf>
    <xf numFmtId="164" fontId="22" fillId="0" borderId="0" xfId="0" applyFont="true" applyBorder="false" applyAlignment="true" applyProtection="true">
      <alignment horizontal="center" vertical="bottom" textRotation="0" wrapText="true" indent="0" shrinkToFit="false"/>
      <protection locked="true" hidden="false"/>
    </xf>
    <xf numFmtId="179" fontId="22" fillId="2" borderId="10" xfId="0" applyFont="true" applyBorder="true" applyAlignment="true" applyProtection="true">
      <alignment horizontal="general" vertical="bottom" textRotation="0" wrapText="false" indent="0" shrinkToFit="false"/>
      <protection locked="true" hidden="false"/>
    </xf>
    <xf numFmtId="179" fontId="22" fillId="2" borderId="0" xfId="0" applyFont="true" applyBorder="false" applyAlignment="true" applyProtection="true">
      <alignment horizontal="general" vertical="bottom" textRotation="0" wrapText="false" indent="0" shrinkToFit="false"/>
      <protection locked="true" hidden="false"/>
    </xf>
    <xf numFmtId="178" fontId="22" fillId="0" borderId="10" xfId="0" applyFont="true" applyBorder="true" applyAlignment="true" applyProtection="true">
      <alignment horizontal="general" vertical="bottom" textRotation="0" wrapText="false" indent="0" shrinkToFit="false"/>
      <protection locked="true" hidden="false"/>
    </xf>
    <xf numFmtId="174" fontId="22" fillId="2" borderId="0" xfId="15" applyFont="true" applyBorder="true" applyAlignment="true" applyProtection="true">
      <alignment horizontal="left" vertical="bottom" textRotation="0" wrapText="false" indent="0" shrinkToFit="false"/>
      <protection locked="true" hidden="false"/>
    </xf>
    <xf numFmtId="164" fontId="22" fillId="0" borderId="10" xfId="0" applyFont="true" applyBorder="tru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3" fontId="22" fillId="2" borderId="0" xfId="15" applyFont="true" applyBorder="true" applyAlignment="true" applyProtection="true">
      <alignment horizontal="right" vertical="bottom" textRotation="0" wrapText="false" indent="0" shrinkToFit="false"/>
      <protection locked="true" hidden="false"/>
    </xf>
    <xf numFmtId="177" fontId="22" fillId="2" borderId="0" xfId="15" applyFont="true" applyBorder="true" applyAlignment="true" applyProtection="true">
      <alignment horizontal="left" vertical="bottom" textRotation="0" wrapText="false" indent="0" shrinkToFit="false"/>
      <protection locked="true" hidden="false"/>
    </xf>
    <xf numFmtId="166" fontId="26" fillId="0" borderId="0" xfId="15" applyFont="true" applyBorder="true" applyAlignment="true" applyProtection="true">
      <alignment horizontal="left" vertical="bottom" textRotation="0" wrapText="false" indent="0" shrinkToFit="false"/>
      <protection locked="true" hidden="false"/>
    </xf>
    <xf numFmtId="164" fontId="27" fillId="5" borderId="1" xfId="0" applyFont="true" applyBorder="true" applyAlignment="true" applyProtection="true">
      <alignment horizontal="center" vertical="center" textRotation="0" wrapText="true" indent="0" shrinkToFit="false"/>
      <protection locked="true" hidden="false"/>
    </xf>
    <xf numFmtId="166" fontId="22" fillId="2" borderId="1" xfId="15" applyFont="true" applyBorder="true" applyAlignment="true" applyProtection="true">
      <alignment horizontal="general" vertical="center" textRotation="0" wrapText="false" indent="0" shrinkToFit="false"/>
      <protection locked="true" hidden="false"/>
    </xf>
    <xf numFmtId="166" fontId="22" fillId="2" borderId="4" xfId="15" applyFont="true" applyBorder="true" applyAlignment="true" applyProtection="true">
      <alignment horizontal="general" vertical="center" textRotation="0" wrapText="false" indent="0" shrinkToFit="false"/>
      <protection locked="true" hidden="false"/>
    </xf>
    <xf numFmtId="166" fontId="22" fillId="2" borderId="0" xfId="15" applyFont="true" applyBorder="true" applyAlignment="true" applyProtection="true">
      <alignment horizontal="center" vertical="center" textRotation="0" wrapText="false" indent="0" shrinkToFit="false"/>
      <protection locked="true" hidden="false"/>
    </xf>
    <xf numFmtId="173" fontId="22" fillId="2" borderId="0" xfId="15" applyFont="true" applyBorder="true" applyAlignment="true" applyProtection="true">
      <alignment horizontal="left" vertical="bottom" textRotation="0" wrapText="false" indent="0" shrinkToFit="false"/>
      <protection locked="true" hidden="false"/>
    </xf>
    <xf numFmtId="166" fontId="22" fillId="2" borderId="4" xfId="15" applyFont="true" applyBorder="true" applyAlignment="true" applyProtection="true">
      <alignment horizontal="left" vertical="center" textRotation="0" wrapText="false" indent="0" shrinkToFit="false"/>
      <protection locked="true" hidden="false"/>
    </xf>
    <xf numFmtId="173" fontId="22" fillId="3" borderId="4" xfId="15" applyFont="true" applyBorder="true" applyAlignment="true" applyProtection="true">
      <alignment horizontal="left" vertical="bottom" textRotation="0" wrapText="false" indent="0" shrinkToFit="false"/>
      <protection locked="true" hidden="false"/>
    </xf>
    <xf numFmtId="164" fontId="22" fillId="6" borderId="31" xfId="0" applyFont="true" applyBorder="true" applyAlignment="true" applyProtection="true">
      <alignment horizontal="center" vertical="center" textRotation="0" wrapText="false" indent="0" shrinkToFit="false"/>
      <protection locked="true" hidden="false"/>
    </xf>
    <xf numFmtId="164" fontId="22" fillId="6" borderId="32" xfId="0" applyFont="true" applyBorder="true" applyAlignment="true" applyProtection="true">
      <alignment horizontal="center" vertical="center"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64" fontId="26" fillId="0" borderId="0" xfId="0" applyFont="true" applyBorder="true" applyAlignment="true" applyProtection="true">
      <alignment horizontal="left" vertical="center" textRotation="0" wrapText="false" indent="0" shrinkToFit="false"/>
      <protection locked="true" hidden="false"/>
    </xf>
    <xf numFmtId="164" fontId="27" fillId="5" borderId="33" xfId="0" applyFont="true" applyBorder="true" applyAlignment="true" applyProtection="true">
      <alignment horizontal="center" vertical="center" textRotation="0" wrapText="true" indent="0" shrinkToFit="false"/>
      <protection locked="true" hidden="false"/>
    </xf>
    <xf numFmtId="164" fontId="27" fillId="5" borderId="34" xfId="0" applyFont="true" applyBorder="true" applyAlignment="true" applyProtection="true">
      <alignment horizontal="center" vertical="center" textRotation="0" wrapText="true" indent="0" shrinkToFit="false"/>
      <protection locked="true" hidden="false"/>
    </xf>
    <xf numFmtId="178" fontId="27" fillId="5" borderId="35" xfId="0" applyFont="true" applyBorder="true" applyAlignment="true" applyProtection="true">
      <alignment horizontal="center" vertical="center" textRotation="0" wrapText="true" indent="0" shrinkToFit="false"/>
      <protection locked="true" hidden="false"/>
    </xf>
    <xf numFmtId="166" fontId="26" fillId="6" borderId="12" xfId="15" applyFont="true" applyBorder="true" applyAlignment="true" applyProtection="true">
      <alignment horizontal="left" vertical="bottom" textRotation="0" wrapText="false" indent="0" shrinkToFit="false"/>
      <protection locked="true" hidden="false"/>
    </xf>
    <xf numFmtId="166" fontId="26" fillId="6" borderId="13" xfId="15" applyFont="true" applyBorder="true" applyAlignment="true" applyProtection="true">
      <alignment horizontal="left" vertical="bottom" textRotation="0" wrapText="false" indent="0" shrinkToFit="false"/>
      <protection locked="true" hidden="false"/>
    </xf>
    <xf numFmtId="166" fontId="26" fillId="6" borderId="22" xfId="15" applyFont="true" applyBorder="true" applyAlignment="true" applyProtection="true">
      <alignment horizontal="left" vertical="bottom" textRotation="0" wrapText="false" indent="0" shrinkToFit="false"/>
      <protection locked="true" hidden="false"/>
    </xf>
    <xf numFmtId="166" fontId="22" fillId="0" borderId="15" xfId="15" applyFont="true" applyBorder="true" applyAlignment="true" applyProtection="true">
      <alignment horizontal="left" vertical="bottom" textRotation="0" wrapText="false" indent="0" shrinkToFit="false"/>
      <protection locked="true" hidden="false"/>
    </xf>
    <xf numFmtId="166" fontId="22" fillId="0" borderId="36" xfId="15" applyFont="true" applyBorder="true" applyAlignment="true" applyProtection="true">
      <alignment horizontal="left" vertical="bottom" textRotation="0" wrapText="false" indent="0" shrinkToFit="false"/>
      <protection locked="true" hidden="false"/>
    </xf>
    <xf numFmtId="166" fontId="22" fillId="0" borderId="18" xfId="15" applyFont="true" applyBorder="true" applyAlignment="true" applyProtection="true">
      <alignment horizontal="left" vertical="bottom" textRotation="0" wrapText="false" indent="0" shrinkToFit="false"/>
      <protection locked="true" hidden="false"/>
    </xf>
    <xf numFmtId="166" fontId="22" fillId="0" borderId="24" xfId="15" applyFont="true" applyBorder="true" applyAlignment="true" applyProtection="true">
      <alignment horizontal="left" vertical="bottom" textRotation="0" wrapText="false" indent="0" shrinkToFit="false"/>
      <protection locked="true" hidden="false"/>
    </xf>
    <xf numFmtId="164" fontId="22" fillId="0" borderId="18" xfId="0" applyFont="true" applyBorder="true" applyAlignment="true" applyProtection="true">
      <alignment horizontal="left" vertical="bottom" textRotation="0" wrapText="false" indent="0" shrinkToFit="false"/>
      <protection locked="true" hidden="false"/>
    </xf>
    <xf numFmtId="164" fontId="22" fillId="0" borderId="4" xfId="0" applyFont="true" applyBorder="true" applyAlignment="true" applyProtection="true">
      <alignment horizontal="general" vertical="bottom" textRotation="0" wrapText="false" indent="0" shrinkToFit="false"/>
      <protection locked="true" hidden="false"/>
    </xf>
    <xf numFmtId="164" fontId="22" fillId="0" borderId="24" xfId="0" applyFont="true" applyBorder="true" applyAlignment="true" applyProtection="true">
      <alignment horizontal="general" vertical="bottom" textRotation="0" wrapText="false" indent="0" shrinkToFit="false"/>
      <protection locked="true" hidden="false"/>
    </xf>
    <xf numFmtId="164" fontId="22" fillId="0" borderId="37" xfId="0" applyFont="true" applyBorder="true" applyAlignment="true" applyProtection="true">
      <alignment horizontal="left" vertical="bottom" textRotation="0" wrapText="false" indent="0" shrinkToFit="false"/>
      <protection locked="true" hidden="false"/>
    </xf>
    <xf numFmtId="164" fontId="22" fillId="0" borderId="38" xfId="0" applyFont="true" applyBorder="true" applyAlignment="true" applyProtection="true">
      <alignment horizontal="general" vertical="bottom" textRotation="0" wrapText="false" indent="0" shrinkToFit="false"/>
      <protection locked="true" hidden="false"/>
    </xf>
    <xf numFmtId="164" fontId="22" fillId="0" borderId="39"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1" fillId="6" borderId="4" xfId="0" applyFont="true" applyBorder="true" applyAlignment="true" applyProtection="true">
      <alignment horizontal="center" vertical="center" textRotation="0" wrapText="false" indent="0" shrinkToFit="false"/>
      <protection locked="true" hidden="false"/>
    </xf>
    <xf numFmtId="164" fontId="32" fillId="9" borderId="40" xfId="0" applyFont="true" applyBorder="true" applyAlignment="true" applyProtection="true">
      <alignment horizontal="general" vertical="bottom" textRotation="0" wrapText="false" indent="0" shrinkToFit="false"/>
      <protection locked="true" hidden="false"/>
    </xf>
    <xf numFmtId="164" fontId="32" fillId="9" borderId="41" xfId="0" applyFont="true" applyBorder="true" applyAlignment="true" applyProtection="true">
      <alignment horizontal="general" vertical="bottom" textRotation="0" wrapText="false" indent="0" shrinkToFit="false"/>
      <protection locked="true" hidden="false"/>
    </xf>
    <xf numFmtId="164" fontId="32" fillId="9" borderId="19" xfId="0" applyFont="true" applyBorder="true" applyAlignment="true" applyProtection="true">
      <alignment horizontal="general" vertical="bottom" textRotation="0" wrapText="false" indent="0" shrinkToFit="false"/>
      <protection locked="true" hidden="false"/>
    </xf>
    <xf numFmtId="164" fontId="32" fillId="10" borderId="41" xfId="0" applyFont="true" applyBorder="true" applyAlignment="true" applyProtection="true">
      <alignment horizontal="general" vertical="bottom" textRotation="0" wrapText="false" indent="0" shrinkToFit="false"/>
      <protection locked="true" hidden="false"/>
    </xf>
    <xf numFmtId="164" fontId="32" fillId="10" borderId="19" xfId="0" applyFont="true" applyBorder="true" applyAlignment="true" applyProtection="true">
      <alignment horizontal="general" vertical="bottom" textRotation="0" wrapText="false" indent="0" shrinkToFit="false"/>
      <protection locked="true" hidden="false"/>
    </xf>
    <xf numFmtId="164" fontId="32" fillId="11" borderId="41" xfId="0" applyFont="true" applyBorder="true" applyAlignment="true" applyProtection="true">
      <alignment horizontal="general" vertical="bottom" textRotation="0" wrapText="false" indent="0" shrinkToFit="false"/>
      <protection locked="true" hidden="false"/>
    </xf>
    <xf numFmtId="164" fontId="32" fillId="11" borderId="19" xfId="0" applyFont="true" applyBorder="true" applyAlignment="true" applyProtection="true">
      <alignment horizontal="general" vertical="bottom" textRotation="0" wrapText="false" indent="0" shrinkToFit="false"/>
      <protection locked="true" hidden="false"/>
    </xf>
    <xf numFmtId="164" fontId="32" fillId="12" borderId="41" xfId="0" applyFont="true" applyBorder="true" applyAlignment="true" applyProtection="true">
      <alignment horizontal="general" vertical="bottom" textRotation="0" wrapText="false" indent="0" shrinkToFit="false"/>
      <protection locked="true" hidden="false"/>
    </xf>
    <xf numFmtId="164" fontId="32" fillId="12" borderId="19" xfId="0" applyFont="true" applyBorder="true" applyAlignment="true" applyProtection="true">
      <alignment horizontal="general" vertical="bottom" textRotation="0" wrapText="false" indent="0" shrinkToFit="false"/>
      <protection locked="true" hidden="false"/>
    </xf>
    <xf numFmtId="164" fontId="32" fillId="9" borderId="16" xfId="0" applyFont="true" applyBorder="true" applyAlignment="true" applyProtection="true">
      <alignment horizontal="center" vertical="bottom" textRotation="0" wrapText="false" indent="0" shrinkToFit="false"/>
      <protection locked="true" hidden="false"/>
    </xf>
    <xf numFmtId="164" fontId="32" fillId="10" borderId="16" xfId="0" applyFont="true" applyBorder="true" applyAlignment="true" applyProtection="true">
      <alignment horizontal="center" vertical="bottom" textRotation="0" wrapText="false" indent="0" shrinkToFit="false"/>
      <protection locked="true" hidden="false"/>
    </xf>
    <xf numFmtId="164" fontId="32" fillId="11" borderId="16" xfId="0" applyFont="true" applyBorder="true" applyAlignment="true" applyProtection="true">
      <alignment horizontal="center" vertical="bottom" textRotation="0" wrapText="false" indent="0" shrinkToFit="false"/>
      <protection locked="true" hidden="false"/>
    </xf>
    <xf numFmtId="164" fontId="32" fillId="12" borderId="16" xfId="0" applyFont="true" applyBorder="true" applyAlignment="true" applyProtection="true">
      <alignment horizontal="center" vertical="bottom" textRotation="0" wrapText="false" indent="0" shrinkToFit="false"/>
      <protection locked="true" hidden="false"/>
    </xf>
    <xf numFmtId="164" fontId="32" fillId="9" borderId="4" xfId="0" applyFont="true" applyBorder="true" applyAlignment="true" applyProtection="true">
      <alignment horizontal="center" vertical="bottom" textRotation="0" wrapText="false" indent="0" shrinkToFit="false"/>
      <protection locked="true" hidden="false"/>
    </xf>
    <xf numFmtId="164" fontId="32" fillId="10" borderId="4" xfId="0" applyFont="true" applyBorder="true" applyAlignment="true" applyProtection="true">
      <alignment horizontal="center" vertical="bottom" textRotation="0" wrapText="false" indent="0" shrinkToFit="false"/>
      <protection locked="true" hidden="false"/>
    </xf>
    <xf numFmtId="164" fontId="32" fillId="11" borderId="4" xfId="0" applyFont="true" applyBorder="true" applyAlignment="true" applyProtection="true">
      <alignment horizontal="center" vertical="bottom" textRotation="0" wrapText="false" indent="0" shrinkToFit="false"/>
      <protection locked="true" hidden="false"/>
    </xf>
    <xf numFmtId="164" fontId="32" fillId="12" borderId="4" xfId="0" applyFont="true" applyBorder="true" applyAlignment="true" applyProtection="true">
      <alignment horizontal="center" vertical="bottom" textRotation="0" wrapText="false" indent="0" shrinkToFit="false"/>
      <protection locked="true" hidden="false"/>
    </xf>
    <xf numFmtId="164" fontId="32" fillId="0" borderId="4" xfId="0" applyFont="true" applyBorder="true" applyAlignment="true" applyProtection="true">
      <alignment horizontal="general" vertical="bottom" textRotation="0" wrapText="false" indent="0" shrinkToFit="false"/>
      <protection locked="true" hidden="false"/>
    </xf>
    <xf numFmtId="177" fontId="33" fillId="2" borderId="4" xfId="15" applyFont="true" applyBorder="true" applyAlignment="true" applyProtection="true">
      <alignment horizontal="left" vertical="bottom" textRotation="0" wrapText="false" indent="0" shrinkToFit="false"/>
      <protection locked="true" hidden="false"/>
    </xf>
    <xf numFmtId="164" fontId="32" fillId="0" borderId="16" xfId="0" applyFont="true" applyBorder="true" applyAlignment="true" applyProtection="true">
      <alignment horizontal="general" vertical="bottom" textRotation="0" wrapText="false" indent="0" shrinkToFit="false"/>
      <protection locked="true" hidden="false"/>
    </xf>
    <xf numFmtId="177" fontId="33" fillId="2" borderId="16" xfId="15" applyFont="true" applyBorder="true" applyAlignment="true" applyProtection="true">
      <alignment horizontal="left" vertical="bottom" textRotation="0" wrapText="false" indent="0" shrinkToFit="false"/>
      <protection locked="true" hidden="false"/>
    </xf>
    <xf numFmtId="164" fontId="31" fillId="3" borderId="16" xfId="0" applyFont="true" applyBorder="tru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1" fillId="3" borderId="4" xfId="0" applyFont="true" applyBorder="true" applyAlignment="true" applyProtection="true">
      <alignment horizontal="center" vertical="center" textRotation="0" wrapText="false" indent="0" shrinkToFit="false"/>
      <protection locked="true" hidden="false"/>
    </xf>
    <xf numFmtId="164" fontId="31" fillId="3" borderId="0" xfId="0" applyFont="true" applyBorder="false" applyAlignment="true" applyProtection="true">
      <alignment horizontal="general" vertical="bottom" textRotation="0" wrapText="false" indent="0" shrinkToFit="false"/>
      <protection locked="true" hidden="false"/>
    </xf>
    <xf numFmtId="164" fontId="32" fillId="3" borderId="0" xfId="0" applyFont="true" applyBorder="false" applyAlignment="true" applyProtection="true">
      <alignment horizontal="general" vertical="bottom" textRotation="0" wrapText="false" indent="0" shrinkToFit="false"/>
      <protection locked="true" hidden="false"/>
    </xf>
    <xf numFmtId="166" fontId="33" fillId="2" borderId="4" xfId="15" applyFont="true" applyBorder="true" applyAlignment="true" applyProtection="true">
      <alignment horizontal="left" vertical="bottom" textRotation="0" wrapText="false" indent="0" shrinkToFit="false"/>
      <protection locked="true" hidden="false"/>
    </xf>
    <xf numFmtId="166" fontId="33" fillId="2" borderId="38" xfId="15" applyFont="true" applyBorder="true" applyAlignment="true" applyProtection="true">
      <alignment horizontal="left" vertical="bottom" textRotation="0" wrapText="false" indent="0" shrinkToFit="false"/>
      <protection locked="true" hidden="false"/>
    </xf>
    <xf numFmtId="166" fontId="33" fillId="2" borderId="16" xfId="15" applyFont="true" applyBorder="true" applyAlignment="true" applyProtection="true">
      <alignment horizontal="left" vertical="bottom" textRotation="0" wrapText="false" indent="0" shrinkToFit="false"/>
      <protection locked="true" hidden="false"/>
    </xf>
    <xf numFmtId="164" fontId="35" fillId="0" borderId="0" xfId="0" applyFont="true" applyBorder="true" applyAlignment="true" applyProtection="true">
      <alignment horizontal="general" vertical="bottom" textRotation="0" wrapText="true" indent="0" shrinkToFit="false"/>
      <protection locked="true" hidden="false"/>
    </xf>
    <xf numFmtId="164" fontId="36" fillId="5" borderId="33" xfId="0" applyFont="true" applyBorder="true" applyAlignment="true" applyProtection="true">
      <alignment horizontal="center" vertical="center" textRotation="0" wrapText="true" indent="0" shrinkToFit="false"/>
      <protection locked="true" hidden="false"/>
    </xf>
    <xf numFmtId="180" fontId="36" fillId="5" borderId="35" xfId="0" applyFont="true" applyBorder="true" applyAlignment="true" applyProtection="true">
      <alignment horizontal="center" vertical="center" textRotation="0" wrapText="true" indent="0" shrinkToFit="false"/>
      <protection locked="true" hidden="false"/>
    </xf>
    <xf numFmtId="166" fontId="30" fillId="8" borderId="18" xfId="15" applyFont="true" applyBorder="true" applyAlignment="true" applyProtection="true">
      <alignment horizontal="left" vertical="bottom" textRotation="0" wrapText="false" indent="0" shrinkToFit="false"/>
      <protection locked="true" hidden="false"/>
    </xf>
    <xf numFmtId="169" fontId="6" fillId="2" borderId="24" xfId="15" applyFont="true" applyBorder="true" applyAlignment="true" applyProtection="true">
      <alignment horizontal="right" vertical="bottom" textRotation="0" wrapText="false" indent="0" shrinkToFit="false"/>
      <protection locked="true" hidden="false"/>
    </xf>
    <xf numFmtId="166" fontId="30" fillId="8" borderId="37" xfId="15" applyFont="true" applyBorder="true" applyAlignment="true" applyProtection="true">
      <alignment horizontal="left" vertical="bottom" textRotation="0" wrapText="false" indent="0" shrinkToFit="false"/>
      <protection locked="true" hidden="false"/>
    </xf>
    <xf numFmtId="173" fontId="6" fillId="2" borderId="39" xfId="15" applyFont="true" applyBorder="true" applyAlignment="true" applyProtection="true">
      <alignment horizontal="right" vertical="bottom" textRotation="0" wrapText="false" indent="0" shrinkToFit="false"/>
      <protection locked="true" hidden="false"/>
    </xf>
    <xf numFmtId="164" fontId="37" fillId="5" borderId="33" xfId="0" applyFont="true" applyBorder="true" applyAlignment="true" applyProtection="true">
      <alignment horizontal="center" vertical="center" textRotation="0" wrapText="true" indent="0" shrinkToFit="false"/>
      <protection locked="true" hidden="false"/>
    </xf>
    <xf numFmtId="164" fontId="37" fillId="5" borderId="35" xfId="0" applyFont="true" applyBorder="true" applyAlignment="true" applyProtection="true">
      <alignment horizontal="center" vertical="center" textRotation="0" wrapText="true" indent="0" shrinkToFit="false"/>
      <protection locked="true" hidden="false"/>
    </xf>
    <xf numFmtId="164" fontId="38" fillId="8" borderId="18" xfId="0" applyFont="true" applyBorder="true" applyAlignment="true" applyProtection="true">
      <alignment horizontal="left" vertical="bottom" textRotation="0" wrapText="false" indent="0" shrinkToFit="false"/>
      <protection locked="true" hidden="false"/>
    </xf>
    <xf numFmtId="164" fontId="39" fillId="2" borderId="24" xfId="0" applyFont="true" applyBorder="true" applyAlignment="true" applyProtection="true">
      <alignment horizontal="right" vertical="bottom" textRotation="0" wrapText="false" indent="0" shrinkToFit="false"/>
      <protection locked="true" hidden="false"/>
    </xf>
    <xf numFmtId="164" fontId="38" fillId="8" borderId="37" xfId="0" applyFont="true" applyBorder="true" applyAlignment="true" applyProtection="true">
      <alignment horizontal="left" vertical="bottom" textRotation="0" wrapText="false" indent="0" shrinkToFit="false"/>
      <protection locked="true" hidden="false"/>
    </xf>
    <xf numFmtId="169" fontId="6" fillId="2" borderId="0" xfId="15" applyFont="true" applyBorder="true" applyAlignment="true" applyProtection="true">
      <alignment horizontal="right" vertical="bottom" textRotation="0" wrapText="false" indent="0" shrinkToFit="false"/>
      <protection locked="true" hidden="false"/>
    </xf>
    <xf numFmtId="173" fontId="6" fillId="2" borderId="24" xfId="15" applyFont="true" applyBorder="true" applyAlignment="true" applyProtection="true">
      <alignment horizontal="right" vertical="bottom" textRotation="0" wrapText="false" indent="0" shrinkToFit="false"/>
      <protection locked="true" hidden="false"/>
    </xf>
    <xf numFmtId="180" fontId="36" fillId="5" borderId="34" xfId="0" applyFont="true" applyBorder="true" applyAlignment="true" applyProtection="true">
      <alignment horizontal="center" vertical="center" textRotation="0" wrapText="true" indent="0" shrinkToFit="false"/>
      <protection locked="true" hidden="false"/>
    </xf>
    <xf numFmtId="173" fontId="6" fillId="13" borderId="4" xfId="15" applyFont="true" applyBorder="true" applyAlignment="true" applyProtection="true">
      <alignment horizontal="right" vertical="bottom" textRotation="0" wrapText="false" indent="0" shrinkToFit="false"/>
      <protection locked="true" hidden="false"/>
    </xf>
    <xf numFmtId="173" fontId="6" fillId="2" borderId="4" xfId="15" applyFont="true" applyBorder="true" applyAlignment="true" applyProtection="true">
      <alignment horizontal="right" vertical="bottom" textRotation="0" wrapText="false" indent="0" shrinkToFit="false"/>
      <protection locked="true" hidden="false"/>
    </xf>
    <xf numFmtId="173" fontId="6" fillId="0" borderId="24" xfId="15" applyFont="true" applyBorder="true" applyAlignment="true" applyProtection="true">
      <alignment horizontal="right" vertical="bottom" textRotation="0" wrapText="false" indent="0" shrinkToFit="false"/>
      <protection locked="true" hidden="false"/>
    </xf>
    <xf numFmtId="173" fontId="6" fillId="2" borderId="38" xfId="15" applyFont="true" applyBorder="true" applyAlignment="true" applyProtection="true">
      <alignment horizontal="right" vertical="bottom" textRotation="0" wrapText="false" indent="0" shrinkToFit="false"/>
      <protection locked="true" hidden="false"/>
    </xf>
    <xf numFmtId="166" fontId="30" fillId="0" borderId="0" xfId="15" applyFont="true" applyBorder="true" applyAlignment="true" applyProtection="true">
      <alignment horizontal="left" vertical="bottom" textRotation="0" wrapText="false" indent="0" shrinkToFit="false"/>
      <protection locked="true" hidden="false"/>
    </xf>
    <xf numFmtId="173" fontId="6" fillId="2" borderId="0" xfId="15" applyFont="true" applyBorder="true" applyAlignment="true" applyProtection="true">
      <alignment horizontal="right" vertical="bottom" textRotation="0" wrapText="false" indent="0" shrinkToFit="false"/>
      <protection locked="true" hidden="false"/>
    </xf>
    <xf numFmtId="180" fontId="36" fillId="14" borderId="42" xfId="0" applyFont="true" applyBorder="true" applyAlignment="true" applyProtection="true">
      <alignment horizontal="center" vertical="center" textRotation="0" wrapText="true" indent="0" shrinkToFit="false"/>
      <protection locked="true" hidden="false"/>
    </xf>
    <xf numFmtId="180" fontId="36" fillId="14" borderId="34" xfId="0" applyFont="true" applyBorder="true" applyAlignment="true" applyProtection="true">
      <alignment horizontal="center" vertical="center" textRotation="0" wrapText="true" indent="0" shrinkToFit="false"/>
      <protection locked="true" hidden="false"/>
    </xf>
    <xf numFmtId="180" fontId="36" fillId="14" borderId="35" xfId="0" applyFont="true" applyBorder="true" applyAlignment="true" applyProtection="true">
      <alignment horizontal="center" vertical="center" textRotation="0" wrapText="true" indent="0" shrinkToFit="false"/>
      <protection locked="true" hidden="false"/>
    </xf>
    <xf numFmtId="173" fontId="6" fillId="2" borderId="19" xfId="15" applyFont="true" applyBorder="true" applyAlignment="true" applyProtection="true">
      <alignment horizontal="right" vertical="bottom" textRotation="0" wrapText="false" indent="0" shrinkToFit="false"/>
      <protection locked="true" hidden="false"/>
    </xf>
    <xf numFmtId="168" fontId="6" fillId="2" borderId="4" xfId="15" applyFont="true" applyBorder="true" applyAlignment="true" applyProtection="true">
      <alignment horizontal="right" vertical="bottom" textRotation="0" wrapText="false" indent="0" shrinkToFit="false"/>
      <protection locked="true" hidden="false"/>
    </xf>
    <xf numFmtId="168" fontId="6" fillId="2" borderId="24" xfId="15" applyFont="true" applyBorder="true" applyAlignment="true" applyProtection="true">
      <alignment horizontal="right" vertical="bottom" textRotation="0" wrapText="false" indent="0" shrinkToFit="false"/>
      <protection locked="true" hidden="false"/>
    </xf>
    <xf numFmtId="168" fontId="6" fillId="2" borderId="19" xfId="15" applyFont="true" applyBorder="true" applyAlignment="true" applyProtection="true">
      <alignment horizontal="right" vertical="bottom" textRotation="0" wrapText="false" indent="0" shrinkToFit="false"/>
      <protection locked="true" hidden="false"/>
    </xf>
    <xf numFmtId="181" fontId="6" fillId="2" borderId="4" xfId="15" applyFont="true" applyBorder="true" applyAlignment="true" applyProtection="true">
      <alignment horizontal="right" vertical="bottom" textRotation="0" wrapText="false" indent="0" shrinkToFit="false"/>
      <protection locked="true" hidden="false"/>
    </xf>
    <xf numFmtId="181" fontId="6" fillId="2" borderId="24" xfId="15" applyFont="true" applyBorder="true" applyAlignment="true" applyProtection="true">
      <alignment horizontal="right" vertical="bottom" textRotation="0" wrapText="false" indent="0" shrinkToFit="false"/>
      <protection locked="true" hidden="false"/>
    </xf>
    <xf numFmtId="181" fontId="6" fillId="2" borderId="19" xfId="15" applyFont="true" applyBorder="true" applyAlignment="true" applyProtection="true">
      <alignment horizontal="right" vertical="bottom" textRotation="0" wrapText="false" indent="0" shrinkToFit="false"/>
      <protection locked="true" hidden="false"/>
    </xf>
    <xf numFmtId="177" fontId="6" fillId="2" borderId="38" xfId="15" applyFont="true" applyBorder="true" applyAlignment="true" applyProtection="true">
      <alignment horizontal="right" vertical="bottom" textRotation="0" wrapText="false" indent="0" shrinkToFit="false"/>
      <protection locked="true" hidden="false"/>
    </xf>
    <xf numFmtId="177" fontId="6" fillId="2" borderId="39" xfId="15" applyFont="true" applyBorder="true" applyAlignment="true" applyProtection="true">
      <alignment horizontal="right" vertical="bottom" textRotation="0" wrapText="false" indent="0" shrinkToFit="false"/>
      <protection locked="true" hidden="false"/>
    </xf>
    <xf numFmtId="177" fontId="6" fillId="2" borderId="43" xfId="15" applyFont="true" applyBorder="tru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37" fillId="5" borderId="0" xfId="0" applyFont="true" applyBorder="true" applyAlignment="true" applyProtection="true">
      <alignment horizontal="center" vertical="center" textRotation="0" wrapText="true" indent="0" shrinkToFit="false"/>
      <protection locked="true" hidden="false"/>
    </xf>
    <xf numFmtId="164" fontId="37" fillId="5" borderId="0" xfId="0" applyFont="true" applyBorder="false" applyAlignment="true" applyProtection="true">
      <alignment horizontal="center" vertical="center" textRotation="0" wrapText="true" indent="0" shrinkToFit="false"/>
      <protection locked="true" hidden="false"/>
    </xf>
    <xf numFmtId="164" fontId="38" fillId="3" borderId="4" xfId="0" applyFont="true" applyBorder="true" applyAlignment="true" applyProtection="true">
      <alignment horizontal="center" vertical="center" textRotation="0" wrapText="false" indent="0" shrinkToFit="false"/>
      <protection locked="true" hidden="false"/>
    </xf>
    <xf numFmtId="164" fontId="38" fillId="3" borderId="4" xfId="0" applyFont="true" applyBorder="true" applyAlignment="true" applyProtection="true">
      <alignment horizontal="center" vertical="center" textRotation="0" wrapText="true" indent="0" shrinkToFit="false"/>
      <protection locked="true" hidden="false"/>
    </xf>
    <xf numFmtId="164" fontId="38" fillId="3" borderId="4" xfId="0" applyFont="true" applyBorder="true" applyAlignment="true" applyProtection="true">
      <alignment horizontal="right" vertical="center" textRotation="0" wrapText="false" indent="0" shrinkToFit="false"/>
      <protection locked="true" hidden="false"/>
    </xf>
    <xf numFmtId="164" fontId="6" fillId="0" borderId="4" xfId="0" applyFont="true" applyBorder="true" applyAlignment="true" applyProtection="true">
      <alignment horizontal="left" vertical="center" textRotation="0" wrapText="false" indent="0" shrinkToFit="false"/>
      <protection locked="true" hidden="false"/>
    </xf>
    <xf numFmtId="169" fontId="6" fillId="0" borderId="4"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right" vertical="center" textRotation="0" wrapText="false" indent="0" shrinkToFit="false"/>
      <protection locked="true" hidden="false"/>
    </xf>
    <xf numFmtId="182" fontId="6" fillId="0" borderId="4" xfId="0" applyFont="true" applyBorder="true" applyAlignment="true" applyProtection="true">
      <alignment horizontal="right" vertical="bottom" textRotation="0" wrapText="false" indent="0" shrinkToFit="false"/>
      <protection locked="true" hidden="false"/>
    </xf>
    <xf numFmtId="182" fontId="6" fillId="0" borderId="4" xfId="0" applyFont="true" applyBorder="true" applyAlignment="true" applyProtection="true">
      <alignment horizontal="right" vertical="center"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40" fillId="0" borderId="6" xfId="23" applyFont="true" applyBorder="true" applyAlignment="true" applyProtection="true">
      <alignment horizontal="center" vertical="top" textRotation="0" wrapText="true" indent="0" shrinkToFit="false"/>
      <protection locked="true" hidden="false"/>
    </xf>
    <xf numFmtId="164" fontId="10" fillId="0" borderId="0" xfId="23" applyFont="true" applyBorder="false" applyAlignment="true" applyProtection="true">
      <alignment horizontal="general" vertical="top" textRotation="0" wrapText="false" indent="0" shrinkToFit="false"/>
      <protection locked="true" hidden="false"/>
    </xf>
    <xf numFmtId="183" fontId="42" fillId="2" borderId="44" xfId="0" applyFont="true" applyBorder="true" applyAlignment="true" applyProtection="true">
      <alignment horizontal="general" vertical="top" textRotation="0" wrapText="true" indent="0" shrinkToFit="false"/>
      <protection locked="true" hidden="false"/>
    </xf>
    <xf numFmtId="183" fontId="42" fillId="2" borderId="45" xfId="0" applyFont="true" applyBorder="true" applyAlignment="true" applyProtection="true">
      <alignment horizontal="general" vertical="top" textRotation="0" wrapText="true" indent="0" shrinkToFit="false"/>
      <protection locked="true" hidden="false"/>
    </xf>
    <xf numFmtId="164" fontId="43" fillId="15" borderId="4" xfId="0" applyFont="true" applyBorder="true" applyAlignment="true" applyProtection="true">
      <alignment horizontal="center" vertical="center" textRotation="0" wrapText="tru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0" fillId="3" borderId="4" xfId="0" applyFont="true" applyBorder="true" applyAlignment="true" applyProtection="true">
      <alignment horizontal="left" vertical="bottom" textRotation="0" wrapText="false" indent="0" shrinkToFit="false"/>
      <protection locked="true" hidden="false"/>
    </xf>
    <xf numFmtId="164" fontId="0" fillId="3" borderId="4"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83" fontId="42" fillId="2" borderId="8" xfId="0" applyFont="true" applyBorder="true" applyAlignment="true" applyProtection="true">
      <alignment horizontal="left" vertical="top" textRotation="0" wrapText="true" indent="0" shrinkToFit="false"/>
      <protection locked="true" hidden="false"/>
    </xf>
    <xf numFmtId="183" fontId="42" fillId="2" borderId="46" xfId="0" applyFont="true" applyBorder="true" applyAlignment="true" applyProtection="true">
      <alignment horizontal="left" vertical="top" textRotation="0" wrapText="true" indent="0" shrinkToFit="false"/>
      <protection locked="true" hidden="false"/>
    </xf>
    <xf numFmtId="164" fontId="0" fillId="0" borderId="4" xfId="0" applyFont="true" applyBorder="true" applyAlignment="true" applyProtection="true">
      <alignment horizontal="left" vertical="bottom" textRotation="0" wrapText="false" indent="0" shrinkToFit="false"/>
      <protection locked="true" hidden="false"/>
    </xf>
    <xf numFmtId="164" fontId="42" fillId="16" borderId="47" xfId="0" applyFont="true" applyBorder="true" applyAlignment="true" applyProtection="true">
      <alignment horizontal="center" vertical="center" textRotation="0" wrapText="false" indent="0" shrinkToFit="false"/>
      <protection locked="true" hidden="false"/>
    </xf>
    <xf numFmtId="164" fontId="42" fillId="16" borderId="48" xfId="0" applyFont="true" applyBorder="true" applyAlignment="true" applyProtection="true">
      <alignment horizontal="general" vertical="center" textRotation="0" wrapText="false" indent="0" shrinkToFit="false"/>
      <protection locked="true" hidden="false"/>
    </xf>
    <xf numFmtId="164" fontId="42" fillId="16" borderId="49" xfId="0" applyFont="true" applyBorder="true" applyAlignment="true" applyProtection="true">
      <alignment horizontal="general" vertical="center" textRotation="0" wrapText="false" indent="0" shrinkToFit="false"/>
      <protection locked="true" hidden="false"/>
    </xf>
    <xf numFmtId="164" fontId="0" fillId="0" borderId="7"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2" fillId="16" borderId="7" xfId="0" applyFont="true" applyBorder="true" applyAlignment="true" applyProtection="true">
      <alignment horizontal="center" vertical="center" textRotation="0" wrapText="false" indent="0" shrinkToFit="false"/>
      <protection locked="true" hidden="false"/>
    </xf>
    <xf numFmtId="164" fontId="42" fillId="16" borderId="7" xfId="0" applyFont="true" applyBorder="true" applyAlignment="true" applyProtection="true">
      <alignment horizontal="general" vertical="center" textRotation="0" wrapText="false" indent="0" shrinkToFit="false"/>
      <protection locked="true" hidden="false"/>
    </xf>
    <xf numFmtId="164" fontId="42" fillId="16" borderId="49" xfId="0" applyFont="true" applyBorder="true" applyAlignment="true" applyProtection="true">
      <alignment horizontal="general" vertical="center" textRotation="0" wrapText="true" indent="0" shrinkToFit="false"/>
      <protection locked="true" hidden="false"/>
    </xf>
    <xf numFmtId="164" fontId="42" fillId="16" borderId="0" xfId="0" applyFont="true" applyBorder="false" applyAlignment="true" applyProtection="true">
      <alignment horizontal="general" vertical="center" textRotation="0" wrapText="true" indent="0" shrinkToFit="false"/>
      <protection locked="true" hidden="false"/>
    </xf>
    <xf numFmtId="164" fontId="44" fillId="0" borderId="50" xfId="0" applyFont="true" applyBorder="true" applyAlignment="true" applyProtection="true">
      <alignment horizontal="general" vertical="center" textRotation="0" wrapText="false" indent="0" shrinkToFit="false"/>
      <protection locked="true" hidden="false"/>
    </xf>
    <xf numFmtId="164" fontId="44" fillId="0" borderId="51" xfId="0" applyFont="true" applyBorder="true" applyAlignment="true" applyProtection="true">
      <alignment horizontal="right" vertical="center" textRotation="0" wrapText="false" indent="0" shrinkToFit="false"/>
      <protection locked="true" hidden="false"/>
    </xf>
    <xf numFmtId="164" fontId="44" fillId="0" borderId="50" xfId="0" applyFont="true" applyBorder="true" applyAlignment="true" applyProtection="true">
      <alignment horizontal="general" vertical="center" textRotation="0" wrapText="true" indent="0" shrinkToFit="false"/>
      <protection locked="true" hidden="false"/>
    </xf>
    <xf numFmtId="164" fontId="42" fillId="16" borderId="50" xfId="0" applyFont="true" applyBorder="true" applyAlignment="true" applyProtection="true">
      <alignment horizontal="general" vertical="center" textRotation="0" wrapText="false" indent="0" shrinkToFit="false"/>
      <protection locked="true" hidden="false"/>
    </xf>
    <xf numFmtId="164" fontId="42" fillId="16" borderId="51" xfId="0" applyFont="true" applyBorder="true" applyAlignment="true" applyProtection="true">
      <alignment horizontal="right" vertical="center" textRotation="0" wrapText="false" indent="0" shrinkToFit="false"/>
      <protection locked="true" hidden="false"/>
    </xf>
    <xf numFmtId="164" fontId="45" fillId="0" borderId="0" xfId="0" applyFont="true" applyBorder="true" applyAlignment="true" applyProtection="true">
      <alignment horizontal="left" vertical="center" textRotation="0" wrapText="false" indent="0" shrinkToFit="false"/>
      <protection locked="true" hidden="false"/>
    </xf>
    <xf numFmtId="164" fontId="45" fillId="0" borderId="0" xfId="0" applyFont="true" applyBorder="false" applyAlignment="true" applyProtection="true">
      <alignment horizontal="left" vertical="center" textRotation="0" wrapText="false" indent="0" shrinkToFit="false"/>
      <protection locked="true" hidden="false"/>
    </xf>
    <xf numFmtId="164" fontId="42" fillId="0" borderId="9" xfId="0" applyFont="true" applyBorder="true" applyAlignment="true" applyProtection="true">
      <alignment horizontal="left" vertical="center" textRotation="0" wrapText="false" indent="0" shrinkToFit="false"/>
      <protection locked="true" hidden="false"/>
    </xf>
    <xf numFmtId="164" fontId="42" fillId="0" borderId="0" xfId="0" applyFont="true" applyBorder="false" applyAlignment="true" applyProtection="true">
      <alignment horizontal="left" vertical="center" textRotation="0" wrapText="false" indent="0" shrinkToFit="false"/>
      <protection locked="true" hidden="false"/>
    </xf>
    <xf numFmtId="175" fontId="44" fillId="0" borderId="51" xfId="0" applyFont="true" applyBorder="true" applyAlignment="true" applyProtection="true">
      <alignment horizontal="right" vertical="center" textRotation="0" wrapText="false" indent="0" shrinkToFit="false"/>
      <protection locked="true" hidden="false"/>
    </xf>
    <xf numFmtId="164" fontId="0" fillId="0" borderId="9" xfId="0" applyFont="fals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46" fillId="0" borderId="0" xfId="0" applyFont="true" applyBorder="false" applyAlignment="true" applyProtection="true">
      <alignment horizontal="left" vertical="top"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75" fontId="42" fillId="16" borderId="51" xfId="0" applyFont="true" applyBorder="true" applyAlignment="true" applyProtection="true">
      <alignment horizontal="right" vertical="center"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2" fillId="16" borderId="7" xfId="22" applyFont="true" applyBorder="true" applyAlignment="true" applyProtection="true">
      <alignment horizontal="center" vertical="center" textRotation="0" wrapText="false" indent="0" shrinkToFit="false"/>
      <protection locked="true" hidden="false"/>
    </xf>
    <xf numFmtId="164" fontId="42" fillId="16" borderId="7" xfId="22" applyFont="true" applyBorder="true" applyAlignment="true" applyProtection="true">
      <alignment horizontal="general" vertical="center" textRotation="0" wrapText="false" indent="0" shrinkToFit="false"/>
      <protection locked="true" hidden="false"/>
    </xf>
    <xf numFmtId="164" fontId="42" fillId="16" borderId="49" xfId="22" applyFont="true" applyBorder="true" applyAlignment="true" applyProtection="true">
      <alignment horizontal="general" vertical="center" textRotation="0" wrapText="true" indent="0" shrinkToFit="false"/>
      <protection locked="true" hidden="false"/>
    </xf>
    <xf numFmtId="164" fontId="44" fillId="0" borderId="50" xfId="22" applyFont="true" applyBorder="true" applyAlignment="true" applyProtection="true">
      <alignment horizontal="general" vertical="center" textRotation="0" wrapText="false" indent="0" shrinkToFit="false"/>
      <protection locked="true" hidden="false"/>
    </xf>
    <xf numFmtId="164" fontId="44" fillId="0" borderId="51" xfId="22" applyFont="true" applyBorder="true" applyAlignment="true" applyProtection="true">
      <alignment horizontal="right" vertical="center" textRotation="0" wrapText="false" indent="0" shrinkToFit="false"/>
      <protection locked="true" hidden="false"/>
    </xf>
    <xf numFmtId="175" fontId="44" fillId="0" borderId="51" xfId="22" applyFont="true" applyBorder="true" applyAlignment="true" applyProtection="true">
      <alignment horizontal="right" vertical="center" textRotation="0" wrapText="false" indent="0" shrinkToFit="false"/>
      <protection locked="true" hidden="false"/>
    </xf>
    <xf numFmtId="164" fontId="44" fillId="0" borderId="50" xfId="22" applyFont="true" applyBorder="true" applyAlignment="true" applyProtection="true">
      <alignment horizontal="general" vertical="center" textRotation="0" wrapText="true" indent="0" shrinkToFit="false"/>
      <protection locked="true" hidden="false"/>
    </xf>
    <xf numFmtId="164" fontId="42" fillId="16" borderId="50" xfId="22" applyFont="true" applyBorder="true" applyAlignment="true" applyProtection="true">
      <alignment horizontal="general" vertical="center" textRotation="0" wrapText="false" indent="0" shrinkToFit="false"/>
      <protection locked="true" hidden="false"/>
    </xf>
    <xf numFmtId="164" fontId="42" fillId="16" borderId="51" xfId="22" applyFont="true" applyBorder="true" applyAlignment="true" applyProtection="true">
      <alignment horizontal="right" vertical="center" textRotation="0" wrapText="false" indent="0" shrinkToFit="false"/>
      <protection locked="true" hidden="false"/>
    </xf>
    <xf numFmtId="175" fontId="42" fillId="16" borderId="51" xfId="22" applyFont="true" applyBorder="true" applyAlignment="true" applyProtection="true">
      <alignment horizontal="right" vertical="center" textRotation="0" wrapText="false" indent="0" shrinkToFit="false"/>
      <protection locked="true" hidden="false"/>
    </xf>
    <xf numFmtId="164" fontId="45" fillId="0" borderId="0" xfId="22" applyFont="true" applyBorder="false" applyAlignment="true" applyProtection="true">
      <alignment horizontal="general" vertical="bottom" textRotation="0" wrapText="false" indent="0" shrinkToFit="false"/>
      <protection locked="true" hidden="false"/>
    </xf>
    <xf numFmtId="164" fontId="0" fillId="0" borderId="0" xfId="22" applyFont="true" applyBorder="false" applyAlignment="true" applyProtection="true">
      <alignment horizontal="general" vertical="bottom" textRotation="0" wrapText="false" indent="0" shrinkToFit="false"/>
      <protection locked="true" hidden="false"/>
    </xf>
    <xf numFmtId="164" fontId="42" fillId="16" borderId="9" xfId="0" applyFont="true" applyBorder="true" applyAlignment="true" applyProtection="true">
      <alignment horizontal="center" vertical="center" textRotation="0" wrapText="false" indent="0" shrinkToFit="false"/>
      <protection locked="true" hidden="false"/>
    </xf>
    <xf numFmtId="164" fontId="0" fillId="0" borderId="9" xfId="0" applyFont="true" applyBorder="true" applyAlignment="true" applyProtection="true">
      <alignment horizontal="left" vertical="top" textRotation="0" wrapText="true" indent="0" shrinkToFit="false"/>
      <protection locked="true" hidden="false"/>
    </xf>
    <xf numFmtId="164" fontId="46" fillId="0" borderId="9" xfId="0" applyFont="true" applyBorder="true" applyAlignment="true" applyProtection="true">
      <alignment horizontal="left" vertical="top" textRotation="0" wrapText="true" indent="0" shrinkToFit="false"/>
      <protection locked="true" hidden="false"/>
    </xf>
    <xf numFmtId="164" fontId="11" fillId="0" borderId="0" xfId="24"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7" fillId="0" borderId="0" xfId="20" applyFont="true" applyBorder="false" applyAlignment="true" applyProtection="true">
      <alignment horizontal="left" vertical="center" textRotation="0" wrapText="false" indent="0" shrinkToFit="false"/>
      <protection locked="true" hidden="false"/>
    </xf>
    <xf numFmtId="164" fontId="10" fillId="3" borderId="0" xfId="23" applyFont="true" applyBorder="false" applyAlignment="true" applyProtection="true">
      <alignment horizontal="general" vertical="top" textRotation="0" wrapText="false" indent="0" shrinkToFit="false"/>
      <protection locked="true" hidden="false"/>
    </xf>
    <xf numFmtId="164" fontId="10" fillId="3" borderId="0" xfId="23" applyFont="true" applyBorder="false" applyAlignment="true" applyProtection="true">
      <alignment horizontal="center" vertical="top" textRotation="0" wrapText="false" indent="0" shrinkToFit="false"/>
      <protection locked="true" hidden="false"/>
    </xf>
    <xf numFmtId="164" fontId="47" fillId="5" borderId="33" xfId="0" applyFont="true" applyBorder="true" applyAlignment="true" applyProtection="true">
      <alignment horizontal="left" vertical="top" textRotation="0" wrapText="true" indent="0" shrinkToFit="false"/>
      <protection locked="true" hidden="false"/>
    </xf>
    <xf numFmtId="164" fontId="47" fillId="5" borderId="35" xfId="0" applyFont="true" applyBorder="true" applyAlignment="true" applyProtection="true">
      <alignment horizontal="left" vertical="top" textRotation="0" wrapText="true" indent="0" shrinkToFit="false"/>
      <protection locked="true" hidden="false"/>
    </xf>
    <xf numFmtId="164" fontId="6" fillId="0" borderId="18" xfId="0" applyFont="true" applyBorder="true" applyAlignment="true" applyProtection="true">
      <alignment horizontal="left" vertical="top" textRotation="0" wrapText="true" indent="0" shrinkToFit="false"/>
      <protection locked="true" hidden="false"/>
    </xf>
    <xf numFmtId="164" fontId="6" fillId="0" borderId="24" xfId="0" applyFont="true" applyBorder="true" applyAlignment="true" applyProtection="true">
      <alignment horizontal="left" vertical="top" textRotation="0" wrapText="true" indent="0" shrinkToFit="false"/>
      <protection locked="true" hidden="false"/>
    </xf>
    <xf numFmtId="164" fontId="6" fillId="0" borderId="24" xfId="0" applyFont="true" applyBorder="true" applyAlignment="true" applyProtection="true">
      <alignment horizontal="general" vertical="center" textRotation="0" wrapText="false" indent="0" shrinkToFit="false"/>
      <protection locked="true" hidden="false"/>
    </xf>
    <xf numFmtId="164" fontId="6" fillId="0" borderId="18" xfId="0" applyFont="true" applyBorder="true" applyAlignment="true" applyProtection="true">
      <alignment horizontal="center" vertical="top" textRotation="0" wrapText="true" indent="0" shrinkToFit="false"/>
      <protection locked="true" hidden="false"/>
    </xf>
    <xf numFmtId="164" fontId="6" fillId="0" borderId="24" xfId="0" applyFont="true" applyBorder="true" applyAlignment="true" applyProtection="true">
      <alignment horizontal="general" vertical="center" textRotation="0" wrapText="true" indent="0" shrinkToFit="false"/>
      <protection locked="true" hidden="false"/>
    </xf>
    <xf numFmtId="164" fontId="6" fillId="0" borderId="24" xfId="0" applyFont="true" applyBorder="true" applyAlignment="true" applyProtection="true">
      <alignment horizontal="general" vertical="bottom" textRotation="0" wrapText="false" indent="0" shrinkToFit="false"/>
      <protection locked="true" hidden="false"/>
    </xf>
    <xf numFmtId="164" fontId="6" fillId="0" borderId="24" xfId="0" applyFont="true" applyBorder="true" applyAlignment="true" applyProtection="true">
      <alignment horizontal="general" vertical="bottom" textRotation="0" wrapText="true" indent="0" shrinkToFit="false"/>
      <protection locked="true" hidden="false"/>
    </xf>
    <xf numFmtId="164" fontId="6" fillId="2" borderId="24" xfId="0" applyFont="true" applyBorder="true" applyAlignment="true" applyProtection="true">
      <alignment horizontal="left" vertical="top" textRotation="0" wrapText="true" indent="0" shrinkToFit="false"/>
      <protection locked="true" hidden="false"/>
    </xf>
    <xf numFmtId="164" fontId="6" fillId="0" borderId="18" xfId="0" applyFont="true" applyBorder="true" applyAlignment="true" applyProtection="true">
      <alignment horizontal="center" vertical="top" textRotation="0" wrapText="false" indent="0" shrinkToFit="false"/>
      <protection locked="true" hidden="false"/>
    </xf>
    <xf numFmtId="164" fontId="6" fillId="2" borderId="18" xfId="0" applyFont="true" applyBorder="true" applyAlignment="true" applyProtection="true">
      <alignment horizontal="center" vertical="top" textRotation="0" wrapText="true" indent="0" shrinkToFit="false"/>
      <protection locked="true" hidden="false"/>
    </xf>
    <xf numFmtId="183" fontId="48" fillId="0" borderId="24" xfId="0" applyFont="true" applyBorder="true" applyAlignment="true" applyProtection="true">
      <alignment horizontal="general" vertical="top" textRotation="0" wrapText="true" indent="0" shrinkToFit="false"/>
      <protection locked="true" hidden="false"/>
    </xf>
    <xf numFmtId="183" fontId="48" fillId="2" borderId="24" xfId="0" applyFont="true" applyBorder="true" applyAlignment="true" applyProtection="true">
      <alignment horizontal="general" vertical="top" textRotation="0" wrapText="true" indent="0" shrinkToFit="false"/>
      <protection locked="true" hidden="false"/>
    </xf>
    <xf numFmtId="183" fontId="48" fillId="0" borderId="24" xfId="0" applyFont="true" applyBorder="true" applyAlignment="true" applyProtection="true">
      <alignment horizontal="left" vertical="top" textRotation="0" wrapText="true" indent="0" shrinkToFit="false"/>
      <protection locked="true" hidden="false"/>
    </xf>
    <xf numFmtId="164" fontId="32" fillId="0" borderId="18" xfId="0" applyFont="true" applyBorder="true" applyAlignment="true" applyProtection="true">
      <alignment horizontal="center" vertical="top" textRotation="0" wrapText="true" indent="0" shrinkToFit="false"/>
      <protection locked="true" hidden="false"/>
    </xf>
    <xf numFmtId="164" fontId="32" fillId="0" borderId="37" xfId="0" applyFont="true" applyBorder="true" applyAlignment="true" applyProtection="true">
      <alignment horizontal="general" vertical="top" textRotation="0" wrapText="true" indent="0" shrinkToFit="false"/>
      <protection locked="true" hidden="false"/>
    </xf>
    <xf numFmtId="164" fontId="6" fillId="2" borderId="39" xfId="0" applyFont="true" applyBorder="true" applyAlignment="true" applyProtection="tru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 name="Normal 5" xfId="23"/>
    <cellStyle name="Normal_FLQuickRefGuide_4.27.09" xfId="24"/>
  </cellStyles>
  <dxfs count="3">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FAADC"/>
      <rgbColor rgb="FF993366"/>
      <rgbColor rgb="FFFFF2CC"/>
      <rgbColor rgb="FFDEEBF7"/>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DAE3F3"/>
      <rgbColor rgb="FFE2F0D9"/>
      <rgbColor rgb="FFE7E6E6"/>
      <rgbColor rgb="FFD9D9D9"/>
      <rgbColor rgb="FFFF99CC"/>
      <rgbColor rgb="FFD9E1F2"/>
      <rgbColor rgb="FFFBE5D6"/>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203864"/>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4608720</xdr:colOff>
      <xdr:row>0</xdr:row>
      <xdr:rowOff>83520</xdr:rowOff>
    </xdr:from>
    <xdr:to>
      <xdr:col>0</xdr:col>
      <xdr:colOff>6892920</xdr:colOff>
      <xdr:row>0</xdr:row>
      <xdr:rowOff>1358280</xdr:rowOff>
    </xdr:to>
    <xdr:pic>
      <xdr:nvPicPr>
        <xdr:cNvPr id="1" name="Picture 2"/>
        <xdr:cNvPicPr/>
      </xdr:nvPicPr>
      <xdr:blipFill>
        <a:blip r:embed="rId1"/>
        <a:stretch/>
      </xdr:blipFill>
      <xdr:spPr>
        <a:xfrm>
          <a:off x="4608720" y="83520"/>
          <a:ext cx="2284200" cy="1274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7578125" defaultRowHeight="14.25" customHeight="false" zeroHeight="true" outlineLevelRow="0" outlineLevelCol="0"/>
  <cols>
    <col collapsed="false" customWidth="true" hidden="false" outlineLevel="0" max="1" min="1" style="1" width="110.44"/>
    <col collapsed="false" customWidth="false" hidden="true" outlineLevel="0" max="16384" min="2" style="1" width="8.76"/>
  </cols>
  <sheetData>
    <row r="1" customFormat="false" ht="118.5" hidden="false" customHeight="true" outlineLevel="0" collapsed="false">
      <c r="A1" s="2" t="s">
        <v>0</v>
      </c>
    </row>
    <row r="2" customFormat="false" ht="51.75" hidden="false" customHeight="true" outlineLevel="0" collapsed="false">
      <c r="A2" s="3" t="s">
        <v>1</v>
      </c>
    </row>
    <row r="3" customFormat="false" ht="75.75" hidden="false" customHeight="true" outlineLevel="0" collapsed="false">
      <c r="A3" s="3" t="s">
        <v>2</v>
      </c>
    </row>
    <row r="4" customFormat="false" ht="22.5" hidden="false" customHeight="true" outlineLevel="0" collapsed="false">
      <c r="A4" s="3" t="s">
        <v>3</v>
      </c>
    </row>
    <row r="5" customFormat="false" ht="36.75" hidden="false" customHeight="true" outlineLevel="0" collapsed="false">
      <c r="A5" s="3" t="s">
        <v>4</v>
      </c>
    </row>
    <row r="6" customFormat="false" ht="14.2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AV167"/>
  <sheetViews>
    <sheetView showFormulas="false" showGridLines="false" showRowColHeaders="true" showZeros="true" rightToLeft="false" tabSelected="false" showOutlineSymbols="true" defaultGridColor="true" view="normal" topLeftCell="A1" colorId="64" zoomScale="106" zoomScaleNormal="106" zoomScalePageLayoutView="100" workbookViewId="0">
      <selection pane="topLeft" activeCell="A1" activeCellId="0" sqref="A1"/>
    </sheetView>
  </sheetViews>
  <sheetFormatPr defaultColWidth="9.00390625" defaultRowHeight="14.25" customHeight="false" zeroHeight="false" outlineLevelRow="0" outlineLevelCol="0"/>
  <cols>
    <col collapsed="false" customWidth="true" hidden="false" outlineLevel="0" max="1" min="1" style="1" width="17.56"/>
    <col collapsed="false" customWidth="true" hidden="false" outlineLevel="0" max="2" min="2" style="1" width="9.79"/>
    <col collapsed="false" customWidth="true" hidden="false" outlineLevel="0" max="3" min="3" style="1" width="16.56"/>
    <col collapsed="false" customWidth="true" hidden="false" outlineLevel="0" max="4" min="4" style="1" width="11.67"/>
    <col collapsed="false" customWidth="true" hidden="false" outlineLevel="0" max="5" min="5" style="1" width="20.56"/>
    <col collapsed="false" customWidth="true" hidden="false" outlineLevel="0" max="6" min="6" style="4" width="13.44"/>
    <col collapsed="false" customWidth="true" hidden="false" outlineLevel="0" max="7" min="7" style="5" width="22"/>
    <col collapsed="false" customWidth="true" hidden="false" outlineLevel="0" max="8" min="8" style="1" width="19.56"/>
  </cols>
  <sheetData>
    <row r="1" customFormat="false" ht="38.25" hidden="false" customHeight="true" outlineLevel="0" collapsed="false">
      <c r="A1" s="6" t="s">
        <v>5</v>
      </c>
      <c r="B1" s="6"/>
      <c r="C1" s="6"/>
      <c r="D1" s="6"/>
      <c r="E1" s="6"/>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customFormat="false" ht="15" hidden="false" customHeight="true" outlineLevel="0" collapsed="false">
      <c r="A2" s="8" t="s">
        <v>1</v>
      </c>
      <c r="B2" s="8"/>
      <c r="C2" s="8"/>
      <c r="D2" s="8"/>
      <c r="E2" s="8"/>
      <c r="F2" s="8"/>
      <c r="G2" s="8"/>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customFormat="false" ht="15" hidden="false" customHeight="true" outlineLevel="0" collapsed="false">
      <c r="A3" s="8"/>
      <c r="B3" s="8"/>
      <c r="C3" s="8"/>
      <c r="D3" s="8"/>
      <c r="E3" s="8"/>
      <c r="F3" s="8"/>
      <c r="G3" s="8"/>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customFormat="false" ht="24.45" hidden="false" customHeight="false" outlineLevel="0" collapsed="false">
      <c r="A4" s="9" t="s">
        <v>6</v>
      </c>
      <c r="B4" s="9"/>
      <c r="C4" s="9"/>
      <c r="D4" s="9"/>
      <c r="E4" s="9"/>
      <c r="F4" s="9"/>
      <c r="G4" s="9"/>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customFormat="false" ht="24.45" hidden="false" customHeight="false" outlineLevel="0" collapsed="false">
      <c r="A5" s="10"/>
      <c r="B5" s="10"/>
      <c r="C5" s="10"/>
      <c r="D5" s="10"/>
      <c r="E5" s="10"/>
      <c r="F5" s="10"/>
      <c r="G5" s="10"/>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row>
    <row r="6" customFormat="false" ht="15" hidden="false" customHeight="false" outlineLevel="0" collapsed="false">
      <c r="A6" s="11"/>
      <c r="B6" s="11"/>
      <c r="C6" s="11"/>
      <c r="D6" s="12"/>
      <c r="E6" s="12"/>
      <c r="F6" s="13"/>
      <c r="G6" s="14"/>
      <c r="H6" s="12"/>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customFormat="false" ht="28.5" hidden="false" customHeight="true" outlineLevel="0" collapsed="false">
      <c r="A7" s="15" t="s">
        <v>7</v>
      </c>
      <c r="B7" s="15"/>
      <c r="C7" s="15"/>
      <c r="D7" s="16"/>
      <c r="E7" s="17" t="s">
        <v>8</v>
      </c>
      <c r="F7" s="17"/>
      <c r="G7" s="17"/>
      <c r="H7" s="12"/>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row>
    <row r="8" customFormat="false" ht="15" hidden="false" customHeight="false" outlineLevel="0" collapsed="false">
      <c r="A8" s="18" t="s">
        <v>9</v>
      </c>
      <c r="B8" s="18" t="s">
        <v>10</v>
      </c>
      <c r="C8" s="18" t="s">
        <v>11</v>
      </c>
      <c r="D8" s="12"/>
      <c r="E8" s="19" t="s">
        <v>12</v>
      </c>
      <c r="F8" s="20" t="s">
        <v>10</v>
      </c>
      <c r="G8" s="21" t="s">
        <v>13</v>
      </c>
      <c r="H8" s="12"/>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row>
    <row r="9" customFormat="false" ht="15" hidden="false" customHeight="false" outlineLevel="0" collapsed="false">
      <c r="A9" s="22" t="s">
        <v>14</v>
      </c>
      <c r="B9" s="23" t="n">
        <v>131643</v>
      </c>
      <c r="C9" s="24" t="n">
        <v>126377.280000354</v>
      </c>
      <c r="D9" s="12"/>
      <c r="E9" s="25" t="s">
        <v>15</v>
      </c>
      <c r="F9" s="26" t="n">
        <v>36159</v>
      </c>
      <c r="G9" s="27" t="n">
        <v>0.976979816811218</v>
      </c>
      <c r="H9" s="12"/>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row>
    <row r="10" customFormat="false" ht="15" hidden="false" customHeight="false" outlineLevel="0" collapsed="false">
      <c r="A10" s="22" t="s">
        <v>16</v>
      </c>
      <c r="B10" s="28" t="n">
        <v>46302</v>
      </c>
      <c r="C10" s="29" t="n">
        <v>126867.480000101</v>
      </c>
      <c r="D10" s="12"/>
      <c r="E10" s="25" t="s">
        <v>17</v>
      </c>
      <c r="F10" s="26" t="n">
        <v>852</v>
      </c>
      <c r="G10" s="27" t="n">
        <v>0.0230201831887817</v>
      </c>
      <c r="H10" s="12"/>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row>
    <row r="11" customFormat="false" ht="15" hidden="false" customHeight="false" outlineLevel="0" collapsed="false">
      <c r="A11" s="22" t="s">
        <v>18</v>
      </c>
      <c r="B11" s="28" t="n">
        <v>2707</v>
      </c>
      <c r="C11" s="29" t="n">
        <v>12181.5</v>
      </c>
      <c r="D11" s="12"/>
      <c r="E11" s="30" t="s">
        <v>19</v>
      </c>
      <c r="F11" s="31" t="n">
        <v>37011</v>
      </c>
      <c r="G11" s="32" t="n">
        <v>1</v>
      </c>
      <c r="H11" s="12"/>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row>
    <row r="12" customFormat="false" ht="15" hidden="false" customHeight="false" outlineLevel="0" collapsed="false">
      <c r="A12" s="22" t="s">
        <v>20</v>
      </c>
      <c r="B12" s="23" t="n">
        <v>49</v>
      </c>
      <c r="C12" s="24" t="n">
        <v>181.3</v>
      </c>
      <c r="D12" s="12"/>
      <c r="E12" s="33" t="s">
        <v>21</v>
      </c>
      <c r="F12" s="33"/>
      <c r="G12" s="33"/>
      <c r="H12" s="12"/>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row>
    <row r="13" customFormat="false" ht="15" hidden="false" customHeight="false" outlineLevel="0" collapsed="false">
      <c r="A13" s="30" t="s">
        <v>19</v>
      </c>
      <c r="B13" s="34" t="n">
        <v>180701</v>
      </c>
      <c r="C13" s="35" t="n">
        <v>265607.559999089</v>
      </c>
      <c r="D13" s="12"/>
      <c r="E13" s="33"/>
      <c r="F13" s="33"/>
      <c r="G13" s="33"/>
      <c r="H13" s="12"/>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row>
    <row r="14" customFormat="false" ht="15" hidden="false" customHeight="true" outlineLevel="0" collapsed="false">
      <c r="A14" s="36" t="s">
        <v>22</v>
      </c>
      <c r="B14" s="36"/>
      <c r="C14" s="36"/>
      <c r="D14" s="12"/>
      <c r="E14" s="37" t="s">
        <v>23</v>
      </c>
      <c r="F14" s="37"/>
      <c r="G14" s="37"/>
      <c r="H14" s="12"/>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row>
    <row r="15" customFormat="false" ht="39" hidden="false" customHeight="true" outlineLevel="0" collapsed="false">
      <c r="A15" s="38" t="s">
        <v>24</v>
      </c>
      <c r="B15" s="38"/>
      <c r="C15" s="38"/>
      <c r="D15" s="12"/>
      <c r="E15" s="37"/>
      <c r="F15" s="37"/>
      <c r="G15" s="37"/>
      <c r="H15" s="12"/>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customFormat="false" ht="13.5" hidden="false" customHeight="true" outlineLevel="0" collapsed="false">
      <c r="A16" s="39"/>
      <c r="B16" s="39"/>
      <c r="C16" s="39"/>
      <c r="D16" s="16"/>
      <c r="E16" s="37"/>
      <c r="F16" s="37"/>
      <c r="G16" s="37"/>
      <c r="H16" s="12"/>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customFormat="false" ht="33" hidden="false" customHeight="true" outlineLevel="0" collapsed="false">
      <c r="A17" s="15" t="s">
        <v>25</v>
      </c>
      <c r="B17" s="15"/>
      <c r="C17" s="15"/>
      <c r="D17" s="12"/>
      <c r="E17" s="33"/>
      <c r="F17" s="33"/>
      <c r="G17" s="33"/>
      <c r="H17" s="12"/>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row>
    <row r="18" customFormat="false" ht="18" hidden="false" customHeight="true" outlineLevel="0" collapsed="false">
      <c r="A18" s="18" t="s">
        <v>26</v>
      </c>
      <c r="B18" s="18" t="s">
        <v>10</v>
      </c>
      <c r="C18" s="18" t="s">
        <v>27</v>
      </c>
      <c r="D18" s="40"/>
      <c r="E18" s="33"/>
      <c r="F18" s="33"/>
      <c r="G18" s="33"/>
      <c r="H18" s="12"/>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row>
    <row r="19" customFormat="false" ht="16.5" hidden="false" customHeight="true" outlineLevel="0" collapsed="false">
      <c r="A19" s="22" t="s">
        <v>28</v>
      </c>
      <c r="B19" s="28" t="n">
        <v>67299</v>
      </c>
      <c r="C19" s="41" t="n">
        <v>928.972481017549</v>
      </c>
      <c r="D19" s="40"/>
      <c r="E19" s="33"/>
      <c r="F19" s="33"/>
      <c r="G19" s="33"/>
      <c r="H19" s="12"/>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row>
    <row r="20" customFormat="false" ht="15" hidden="false" customHeight="true" outlineLevel="0" collapsed="false">
      <c r="A20" s="22" t="s">
        <v>29</v>
      </c>
      <c r="B20" s="23" t="n">
        <v>113402</v>
      </c>
      <c r="C20" s="42" t="n">
        <v>670.969004074002</v>
      </c>
      <c r="D20" s="12"/>
      <c r="E20" s="43" t="s">
        <v>30</v>
      </c>
      <c r="F20" s="43"/>
      <c r="G20" s="43"/>
      <c r="H20" s="12"/>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row>
    <row r="21" customFormat="false" ht="16.5" hidden="false" customHeight="true" outlineLevel="0" collapsed="false">
      <c r="A21" s="30" t="s">
        <v>19</v>
      </c>
      <c r="B21" s="34" t="n">
        <v>180701</v>
      </c>
      <c r="C21" s="44" t="n">
        <v>767.057990824622</v>
      </c>
      <c r="D21" s="12"/>
      <c r="E21" s="19" t="s">
        <v>12</v>
      </c>
      <c r="F21" s="45" t="s">
        <v>10</v>
      </c>
      <c r="G21" s="46" t="s">
        <v>13</v>
      </c>
      <c r="H21" s="4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row>
    <row r="22" customFormat="false" ht="15" hidden="false" customHeight="true" outlineLevel="0" collapsed="false">
      <c r="A22" s="36" t="str">
        <f aca="false">A14</f>
        <v>Data from BI Inc. Participants Report, 04.04.2026</v>
      </c>
      <c r="B22" s="36"/>
      <c r="C22" s="36"/>
      <c r="D22" s="12"/>
      <c r="E22" s="25" t="s">
        <v>15</v>
      </c>
      <c r="F22" s="26" t="n">
        <v>7090</v>
      </c>
      <c r="G22" s="27" t="n">
        <v>0.892722236212541</v>
      </c>
      <c r="H22" s="12"/>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row>
    <row r="23" customFormat="false" ht="15" hidden="false" customHeight="true" outlineLevel="0" collapsed="false">
      <c r="A23" s="38" t="s">
        <v>31</v>
      </c>
      <c r="B23" s="38"/>
      <c r="C23" s="38"/>
      <c r="D23" s="12"/>
      <c r="E23" s="25" t="s">
        <v>17</v>
      </c>
      <c r="F23" s="26" t="n">
        <v>852</v>
      </c>
      <c r="G23" s="27" t="n">
        <v>0.107277763787459</v>
      </c>
      <c r="H23" s="12"/>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row>
    <row r="24" customFormat="false" ht="15" hidden="false" customHeight="false" outlineLevel="0" collapsed="false">
      <c r="A24" s="39"/>
      <c r="B24" s="39"/>
      <c r="C24" s="39"/>
      <c r="D24" s="12"/>
      <c r="E24" s="30" t="s">
        <v>19</v>
      </c>
      <c r="F24" s="31" t="n">
        <v>7942</v>
      </c>
      <c r="G24" s="32" t="n">
        <v>1</v>
      </c>
      <c r="H24" s="12"/>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row>
    <row r="25" customFormat="false" ht="37.5" hidden="false" customHeight="true" outlineLevel="0" collapsed="false">
      <c r="A25" s="48" t="s">
        <v>32</v>
      </c>
      <c r="B25" s="48"/>
      <c r="C25" s="48"/>
      <c r="D25" s="12"/>
      <c r="E25" s="37" t="s">
        <v>33</v>
      </c>
      <c r="F25" s="37"/>
      <c r="G25" s="37"/>
      <c r="H25" s="12"/>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row>
    <row r="26" customFormat="false" ht="0.75" hidden="true" customHeight="true" outlineLevel="0" collapsed="false">
      <c r="A26" s="49"/>
      <c r="B26" s="49"/>
      <c r="C26" s="49"/>
      <c r="D26" s="12"/>
      <c r="E26" s="37" t="s">
        <v>23</v>
      </c>
      <c r="F26" s="37"/>
      <c r="G26" s="37"/>
      <c r="H26" s="12"/>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row>
    <row r="27" customFormat="false" ht="43.5" hidden="false" customHeight="true" outlineLevel="0" collapsed="false">
      <c r="A27" s="50" t="s">
        <v>34</v>
      </c>
      <c r="B27" s="50"/>
      <c r="C27" s="50"/>
      <c r="D27" s="12"/>
      <c r="E27" s="11"/>
      <c r="F27" s="51"/>
      <c r="G27" s="14"/>
      <c r="H27" s="12"/>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row>
    <row r="28" customFormat="false" ht="42.75" hidden="false" customHeight="true" outlineLevel="0" collapsed="false">
      <c r="A28" s="52" t="s">
        <v>35</v>
      </c>
      <c r="B28" s="52" t="s">
        <v>10</v>
      </c>
      <c r="C28" s="52" t="s">
        <v>36</v>
      </c>
      <c r="D28" s="47"/>
      <c r="E28" s="11"/>
      <c r="F28" s="51"/>
      <c r="G28" s="14"/>
      <c r="H28" s="40"/>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row>
    <row r="29" customFormat="false" ht="15" hidden="false" customHeight="true" outlineLevel="0" collapsed="false">
      <c r="A29" s="53" t="s">
        <v>19</v>
      </c>
      <c r="B29" s="54" t="n">
        <v>180701</v>
      </c>
      <c r="C29" s="55" t="n">
        <v>767.057990824622</v>
      </c>
      <c r="D29" s="47"/>
      <c r="E29" s="40"/>
      <c r="F29" s="56"/>
      <c r="G29" s="57"/>
      <c r="H29" s="40"/>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row>
    <row r="30" customFormat="false" ht="15" hidden="false" customHeight="false" outlineLevel="0" collapsed="false">
      <c r="A30" s="58" t="s">
        <v>37</v>
      </c>
      <c r="B30" s="59" t="n">
        <v>6344</v>
      </c>
      <c r="C30" s="60" t="n">
        <v>723.52711223203</v>
      </c>
      <c r="D30" s="47"/>
      <c r="H30" s="40"/>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row>
    <row r="31" customFormat="false" ht="18" hidden="false" customHeight="true" outlineLevel="0" collapsed="false">
      <c r="A31" s="61" t="s">
        <v>14</v>
      </c>
      <c r="B31" s="62" t="n">
        <v>2481</v>
      </c>
      <c r="C31" s="63" t="n">
        <v>861.092704554615</v>
      </c>
      <c r="D31" s="12"/>
      <c r="H31" s="12"/>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row>
    <row r="32" customFormat="false" ht="15" hidden="false" customHeight="true" outlineLevel="0" collapsed="false">
      <c r="A32" s="61" t="s">
        <v>20</v>
      </c>
      <c r="B32" s="62" t="n">
        <v>5</v>
      </c>
      <c r="C32" s="63" t="n">
        <v>77.4</v>
      </c>
      <c r="D32" s="12"/>
      <c r="H32" s="12"/>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row>
    <row r="33" customFormat="false" ht="17.25" hidden="false" customHeight="true" outlineLevel="0" collapsed="false">
      <c r="A33" s="61" t="s">
        <v>16</v>
      </c>
      <c r="B33" s="62" t="n">
        <v>3676</v>
      </c>
      <c r="C33" s="63" t="n">
        <v>635.35119695321</v>
      </c>
      <c r="D33" s="12"/>
      <c r="H33" s="12"/>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row>
    <row r="34" customFormat="false" ht="15" hidden="false" customHeight="false" outlineLevel="0" collapsed="false">
      <c r="A34" s="61" t="s">
        <v>18</v>
      </c>
      <c r="B34" s="62" t="n">
        <v>182</v>
      </c>
      <c r="C34" s="63" t="n">
        <v>646.961538461538</v>
      </c>
      <c r="D34" s="64"/>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customFormat="false" ht="15" hidden="false" customHeight="false" outlineLevel="0" collapsed="false">
      <c r="A35" s="58" t="s">
        <v>38</v>
      </c>
      <c r="B35" s="59" t="n">
        <v>3054</v>
      </c>
      <c r="C35" s="60" t="n">
        <v>608.306483300589</v>
      </c>
      <c r="D35" s="40"/>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customFormat="false" ht="15" hidden="false" customHeight="false" outlineLevel="0" collapsed="false">
      <c r="A36" s="61" t="s">
        <v>14</v>
      </c>
      <c r="B36" s="62" t="n">
        <v>1592</v>
      </c>
      <c r="C36" s="63" t="n">
        <v>849.988065326633</v>
      </c>
      <c r="D36" s="40"/>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customFormat="false" ht="15" hidden="false" customHeight="false" outlineLevel="0" collapsed="false">
      <c r="A37" s="61" t="s">
        <v>20</v>
      </c>
      <c r="B37" s="62" t="n">
        <v>1</v>
      </c>
      <c r="C37" s="63" t="n">
        <v>1076</v>
      </c>
      <c r="D37" s="40"/>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customFormat="false" ht="15" hidden="false" customHeight="false" outlineLevel="0" collapsed="false">
      <c r="A38" s="61" t="s">
        <v>16</v>
      </c>
      <c r="B38" s="62" t="n">
        <v>1434</v>
      </c>
      <c r="C38" s="63" t="n">
        <v>338.100418410042</v>
      </c>
      <c r="D38" s="40"/>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customFormat="false" ht="15" hidden="false" customHeight="false" outlineLevel="0" collapsed="false">
      <c r="A39" s="61" t="s">
        <v>18</v>
      </c>
      <c r="B39" s="62" t="n">
        <v>27</v>
      </c>
      <c r="C39" s="63" t="n">
        <v>691.666666666667</v>
      </c>
      <c r="D39" s="40"/>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customFormat="false" ht="15" hidden="false" customHeight="false" outlineLevel="0" collapsed="false">
      <c r="A40" s="58" t="s">
        <v>39</v>
      </c>
      <c r="B40" s="65" t="n">
        <v>8105</v>
      </c>
      <c r="C40" s="66" t="n">
        <v>840.320913016656</v>
      </c>
      <c r="D40" s="40"/>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customFormat="false" ht="15" hidden="false" customHeight="false" outlineLevel="0" collapsed="false">
      <c r="A41" s="61" t="s">
        <v>14</v>
      </c>
      <c r="B41" s="62" t="n">
        <v>6166</v>
      </c>
      <c r="C41" s="63" t="n">
        <v>954.846740188128</v>
      </c>
      <c r="D41" s="40"/>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customFormat="false" ht="15" hidden="false" customHeight="false" outlineLevel="0" collapsed="false">
      <c r="A42" s="61" t="s">
        <v>16</v>
      </c>
      <c r="B42" s="62" t="n">
        <v>1862</v>
      </c>
      <c r="C42" s="63" t="n">
        <v>467.073576799141</v>
      </c>
      <c r="D42" s="40"/>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customFormat="false" ht="15" hidden="false" customHeight="false" outlineLevel="0" collapsed="false">
      <c r="A43" s="61" t="s">
        <v>18</v>
      </c>
      <c r="B43" s="62" t="n">
        <v>77</v>
      </c>
      <c r="C43" s="63" t="n">
        <v>695.12987012987</v>
      </c>
      <c r="D43" s="64"/>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customFormat="false" ht="15" hidden="false" customHeight="false" outlineLevel="0" collapsed="false">
      <c r="A44" s="58" t="s">
        <v>40</v>
      </c>
      <c r="B44" s="59" t="n">
        <v>953</v>
      </c>
      <c r="C44" s="60" t="n">
        <v>772.0629590766</v>
      </c>
      <c r="D44" s="40"/>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customFormat="false" ht="15" hidden="false" customHeight="false" outlineLevel="0" collapsed="false">
      <c r="A45" s="61" t="s">
        <v>14</v>
      </c>
      <c r="B45" s="62" t="n">
        <v>662</v>
      </c>
      <c r="C45" s="63" t="n">
        <v>1044.61480362538</v>
      </c>
      <c r="D45" s="40"/>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customFormat="false" ht="15" hidden="false" customHeight="false" outlineLevel="0" collapsed="false">
      <c r="A46" s="61" t="s">
        <v>20</v>
      </c>
      <c r="B46" s="62" t="n">
        <v>4</v>
      </c>
      <c r="C46" s="63" t="n">
        <v>160.5</v>
      </c>
      <c r="D46" s="40"/>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customFormat="false" ht="15" hidden="false" customHeight="false" outlineLevel="0" collapsed="false">
      <c r="A47" s="61" t="s">
        <v>16</v>
      </c>
      <c r="B47" s="62" t="n">
        <v>287</v>
      </c>
      <c r="C47" s="63" t="n">
        <v>151.912891986063</v>
      </c>
      <c r="D47" s="40"/>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customFormat="false" ht="15" hidden="false" customHeight="false" outlineLevel="0" collapsed="false">
      <c r="A48" s="58" t="s">
        <v>41</v>
      </c>
      <c r="B48" s="65" t="n">
        <v>18136</v>
      </c>
      <c r="C48" s="66" t="n">
        <v>998.207763564182</v>
      </c>
      <c r="D48" s="40"/>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customFormat="false" ht="15" hidden="false" customHeight="false" outlineLevel="0" collapsed="false">
      <c r="A49" s="67" t="s">
        <v>14</v>
      </c>
      <c r="B49" s="68" t="n">
        <v>14158</v>
      </c>
      <c r="C49" s="69" t="n">
        <v>1119.24572679757</v>
      </c>
      <c r="D49" s="40"/>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customFormat="false" ht="15" hidden="false" customHeight="false" outlineLevel="0" collapsed="false">
      <c r="A50" s="67" t="s">
        <v>20</v>
      </c>
      <c r="B50" s="68" t="n">
        <v>4</v>
      </c>
      <c r="C50" s="69" t="n">
        <v>76.5</v>
      </c>
      <c r="D50" s="40"/>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customFormat="false" ht="15" hidden="false" customHeight="false" outlineLevel="0" collapsed="false">
      <c r="A51" s="61" t="s">
        <v>16</v>
      </c>
      <c r="B51" s="62" t="n">
        <v>3769</v>
      </c>
      <c r="C51" s="63" t="n">
        <v>567.840010612895</v>
      </c>
      <c r="D51" s="40"/>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customFormat="false" ht="15" hidden="false" customHeight="false" outlineLevel="0" collapsed="false">
      <c r="A52" s="61" t="s">
        <v>18</v>
      </c>
      <c r="B52" s="62" t="n">
        <v>205</v>
      </c>
      <c r="C52" s="63" t="n">
        <v>569.365853658537</v>
      </c>
      <c r="D52" s="40"/>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customFormat="false" ht="15" hidden="false" customHeight="false" outlineLevel="0" collapsed="false">
      <c r="A53" s="58" t="s">
        <v>42</v>
      </c>
      <c r="B53" s="59" t="n">
        <v>1736</v>
      </c>
      <c r="C53" s="60" t="n">
        <v>604.173963133641</v>
      </c>
      <c r="D53" s="40"/>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customFormat="false" ht="15" hidden="false" customHeight="false" outlineLevel="0" collapsed="false">
      <c r="A54" s="61" t="s">
        <v>14</v>
      </c>
      <c r="B54" s="62" t="n">
        <v>494</v>
      </c>
      <c r="C54" s="63" t="n">
        <v>758.410931174089</v>
      </c>
      <c r="D54" s="40"/>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customFormat="false" ht="15" hidden="false" customHeight="false" outlineLevel="0" collapsed="false">
      <c r="A55" s="61" t="s">
        <v>20</v>
      </c>
      <c r="B55" s="62" t="n">
        <v>2</v>
      </c>
      <c r="C55" s="63" t="n">
        <v>77</v>
      </c>
      <c r="D55" s="40"/>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customFormat="false" ht="15" hidden="false" customHeight="false" outlineLevel="0" collapsed="false">
      <c r="A56" s="61" t="s">
        <v>16</v>
      </c>
      <c r="B56" s="62" t="n">
        <v>1144</v>
      </c>
      <c r="C56" s="63" t="n">
        <v>536.246503496503</v>
      </c>
      <c r="D56" s="64"/>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customFormat="false" ht="15" hidden="false" customHeight="false" outlineLevel="0" collapsed="false">
      <c r="A57" s="61" t="s">
        <v>18</v>
      </c>
      <c r="B57" s="62" t="n">
        <v>96</v>
      </c>
      <c r="C57" s="63" t="n">
        <v>630.947916666667</v>
      </c>
      <c r="D57" s="40"/>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customFormat="false" ht="15" hidden="false" customHeight="false" outlineLevel="0" collapsed="false">
      <c r="A58" s="58" t="s">
        <v>43</v>
      </c>
      <c r="B58" s="59" t="n">
        <v>2792</v>
      </c>
      <c r="C58" s="60" t="n">
        <v>788.276146131805</v>
      </c>
      <c r="D58" s="40"/>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customFormat="false" ht="15" hidden="false" customHeight="false" outlineLevel="0" collapsed="false">
      <c r="A59" s="61" t="s">
        <v>14</v>
      </c>
      <c r="B59" s="62" t="n">
        <v>1951</v>
      </c>
      <c r="C59" s="63" t="n">
        <v>849.337775499744</v>
      </c>
      <c r="D59" s="40"/>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customFormat="false" ht="15" hidden="false" customHeight="false" outlineLevel="0" collapsed="false">
      <c r="A60" s="61" t="s">
        <v>20</v>
      </c>
      <c r="B60" s="62" t="n">
        <v>4</v>
      </c>
      <c r="C60" s="63" t="n">
        <v>139</v>
      </c>
      <c r="D60" s="40"/>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customFormat="false" ht="15" hidden="false" customHeight="false" outlineLevel="0" collapsed="false">
      <c r="A61" s="61" t="s">
        <v>16</v>
      </c>
      <c r="B61" s="62" t="n">
        <v>614</v>
      </c>
      <c r="C61" s="63" t="n">
        <v>659.938110749186</v>
      </c>
      <c r="D61" s="40"/>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customFormat="false" ht="15" hidden="false" customHeight="false" outlineLevel="0" collapsed="false">
      <c r="A62" s="61" t="s">
        <v>18</v>
      </c>
      <c r="B62" s="62" t="n">
        <v>223</v>
      </c>
      <c r="C62" s="63" t="n">
        <v>619.062780269058</v>
      </c>
      <c r="D62" s="40"/>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customFormat="false" ht="15" hidden="false" customHeight="false" outlineLevel="0" collapsed="false">
      <c r="A63" s="58" t="s">
        <v>44</v>
      </c>
      <c r="B63" s="65" t="n">
        <v>7563</v>
      </c>
      <c r="C63" s="66" t="n">
        <v>1034.01163559434</v>
      </c>
      <c r="D63" s="40"/>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customFormat="false" ht="15" hidden="false" customHeight="false" outlineLevel="0" collapsed="false">
      <c r="A64" s="61" t="s">
        <v>14</v>
      </c>
      <c r="B64" s="62" t="n">
        <v>6790</v>
      </c>
      <c r="C64" s="63" t="n">
        <v>1095.59955817378</v>
      </c>
      <c r="D64" s="40"/>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customFormat="false" ht="15" hidden="false" customHeight="false" outlineLevel="0" collapsed="false">
      <c r="A65" s="61" t="s">
        <v>16</v>
      </c>
      <c r="B65" s="62" t="n">
        <v>764</v>
      </c>
      <c r="C65" s="63" t="n">
        <v>493.075916230366</v>
      </c>
      <c r="D65" s="40"/>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customFormat="false" ht="15" hidden="false" customHeight="false" outlineLevel="0" collapsed="false">
      <c r="A66" s="61" t="s">
        <v>18</v>
      </c>
      <c r="B66" s="68" t="n">
        <v>9</v>
      </c>
      <c r="C66" s="69" t="n">
        <v>488.777777777778</v>
      </c>
      <c r="D66" s="40"/>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customFormat="false" ht="15" hidden="false" customHeight="false" outlineLevel="0" collapsed="false">
      <c r="A67" s="70" t="s">
        <v>45</v>
      </c>
      <c r="B67" s="59" t="n">
        <v>1096</v>
      </c>
      <c r="C67" s="60" t="n">
        <v>372.06295620438</v>
      </c>
      <c r="D67" s="40"/>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customFormat="false" ht="15" hidden="false" customHeight="false" outlineLevel="0" collapsed="false">
      <c r="A68" s="61" t="s">
        <v>14</v>
      </c>
      <c r="B68" s="62" t="n">
        <v>143</v>
      </c>
      <c r="C68" s="63" t="n">
        <v>766.188811188811</v>
      </c>
      <c r="D68" s="40"/>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customFormat="false" ht="15" hidden="false" customHeight="false" outlineLevel="0" collapsed="false">
      <c r="A69" s="61" t="s">
        <v>20</v>
      </c>
      <c r="B69" s="62" t="n">
        <v>8</v>
      </c>
      <c r="C69" s="63" t="n">
        <v>74.875</v>
      </c>
      <c r="D69" s="40"/>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customFormat="false" ht="17.25" hidden="false" customHeight="true" outlineLevel="0" collapsed="false">
      <c r="A70" s="61" t="s">
        <v>16</v>
      </c>
      <c r="B70" s="62" t="n">
        <v>795</v>
      </c>
      <c r="C70" s="63" t="n">
        <v>291.722012578616</v>
      </c>
      <c r="D70" s="40"/>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customFormat="false" ht="15" hidden="false" customHeight="false" outlineLevel="0" collapsed="false">
      <c r="A71" s="67" t="s">
        <v>18</v>
      </c>
      <c r="B71" s="68" t="n">
        <v>150</v>
      </c>
      <c r="C71" s="69" t="n">
        <v>437.986666666667</v>
      </c>
      <c r="D71" s="40"/>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customFormat="false" ht="15" hidden="false" customHeight="false" outlineLevel="0" collapsed="false">
      <c r="A72" s="71" t="s">
        <v>46</v>
      </c>
      <c r="B72" s="65" t="n">
        <v>467</v>
      </c>
      <c r="C72" s="66" t="n">
        <v>257.713062098501</v>
      </c>
      <c r="D72" s="40"/>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customFormat="false" ht="15" hidden="false" customHeight="false" outlineLevel="0" collapsed="false">
      <c r="A73" s="61" t="s">
        <v>14</v>
      </c>
      <c r="B73" s="62" t="n">
        <v>79</v>
      </c>
      <c r="C73" s="63" t="n">
        <v>421.392405063291</v>
      </c>
      <c r="D73" s="40"/>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customFormat="false" ht="15" hidden="false" customHeight="false" outlineLevel="0" collapsed="false">
      <c r="A74" s="61" t="s">
        <v>16</v>
      </c>
      <c r="B74" s="62" t="n">
        <v>373</v>
      </c>
      <c r="C74" s="63" t="n">
        <v>218.008042895442</v>
      </c>
      <c r="D74" s="40"/>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customFormat="false" ht="15" hidden="false" customHeight="false" outlineLevel="0" collapsed="false">
      <c r="A75" s="61" t="s">
        <v>18</v>
      </c>
      <c r="B75" s="62" t="n">
        <v>15</v>
      </c>
      <c r="C75" s="63" t="n">
        <v>383</v>
      </c>
      <c r="D75" s="40"/>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customFormat="false" ht="15" hidden="false" customHeight="false" outlineLevel="0" collapsed="false">
      <c r="A76" s="71" t="s">
        <v>47</v>
      </c>
      <c r="B76" s="65" t="n">
        <v>3127</v>
      </c>
      <c r="C76" s="66" t="n">
        <v>554.606651742885</v>
      </c>
      <c r="D76" s="40"/>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customFormat="false" ht="15" hidden="false" customHeight="false" outlineLevel="0" collapsed="false">
      <c r="A77" s="61" t="s">
        <v>14</v>
      </c>
      <c r="B77" s="62" t="n">
        <v>1300</v>
      </c>
      <c r="C77" s="63" t="n">
        <v>721.693846153846</v>
      </c>
      <c r="D77" s="40"/>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customFormat="false" ht="15" hidden="false" customHeight="false" outlineLevel="0" collapsed="false">
      <c r="A78" s="61" t="s">
        <v>16</v>
      </c>
      <c r="B78" s="62" t="n">
        <v>1761</v>
      </c>
      <c r="C78" s="63" t="n">
        <v>432.736513344691</v>
      </c>
      <c r="D78" s="40"/>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customFormat="false" ht="15" hidden="false" customHeight="false" outlineLevel="0" collapsed="false">
      <c r="A79" s="67" t="s">
        <v>18</v>
      </c>
      <c r="B79" s="68" t="n">
        <v>66</v>
      </c>
      <c r="C79" s="69" t="n">
        <v>515.212121212121</v>
      </c>
      <c r="D79" s="40"/>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customFormat="false" ht="15" hidden="false" customHeight="false" outlineLevel="0" collapsed="false">
      <c r="A80" s="71" t="s">
        <v>48</v>
      </c>
      <c r="B80" s="65" t="n">
        <v>18746</v>
      </c>
      <c r="C80" s="66" t="n">
        <v>582.287367971834</v>
      </c>
      <c r="D80" s="64"/>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customFormat="false" ht="15" hidden="false" customHeight="false" outlineLevel="0" collapsed="false">
      <c r="A81" s="61" t="s">
        <v>14</v>
      </c>
      <c r="B81" s="62" t="n">
        <v>15691</v>
      </c>
      <c r="C81" s="63" t="n">
        <v>633.181186667516</v>
      </c>
      <c r="D81" s="40"/>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customFormat="false" ht="15" hidden="false" customHeight="false" outlineLevel="0" collapsed="false">
      <c r="A82" s="61" t="s">
        <v>16</v>
      </c>
      <c r="B82" s="62" t="n">
        <v>2908</v>
      </c>
      <c r="C82" s="63" t="n">
        <v>306.279229711142</v>
      </c>
      <c r="D82" s="40"/>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customFormat="false" ht="15" hidden="false" customHeight="false" outlineLevel="0" collapsed="false">
      <c r="A83" s="61" t="s">
        <v>18</v>
      </c>
      <c r="B83" s="62" t="n">
        <v>147</v>
      </c>
      <c r="C83" s="63" t="n">
        <v>609.884353741497</v>
      </c>
      <c r="D83" s="40"/>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customFormat="false" ht="15" hidden="false" customHeight="false" outlineLevel="0" collapsed="false">
      <c r="A84" s="71" t="s">
        <v>49</v>
      </c>
      <c r="B84" s="65" t="n">
        <v>18528</v>
      </c>
      <c r="C84" s="66" t="n">
        <v>669.377698618307</v>
      </c>
      <c r="D84" s="40"/>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customFormat="false" ht="15" hidden="false" customHeight="false" outlineLevel="0" collapsed="false">
      <c r="A85" s="61" t="s">
        <v>14</v>
      </c>
      <c r="B85" s="62" t="n">
        <v>14051</v>
      </c>
      <c r="C85" s="63" t="n">
        <v>765.406092093089</v>
      </c>
      <c r="D85" s="40"/>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customFormat="false" ht="15" hidden="false" customHeight="false" outlineLevel="0" collapsed="false">
      <c r="A86" s="61" t="s">
        <v>16</v>
      </c>
      <c r="B86" s="62" t="n">
        <v>4450</v>
      </c>
      <c r="C86" s="63" t="n">
        <v>367.558426966292</v>
      </c>
      <c r="D86" s="40"/>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customFormat="false" ht="15" hidden="false" customHeight="false" outlineLevel="0" collapsed="false">
      <c r="A87" s="61" t="s">
        <v>18</v>
      </c>
      <c r="B87" s="62" t="n">
        <v>27</v>
      </c>
      <c r="C87" s="63" t="n">
        <v>439.777777777778</v>
      </c>
      <c r="D87" s="40"/>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customFormat="false" ht="15" hidden="false" customHeight="false" outlineLevel="0" collapsed="false">
      <c r="A88" s="58" t="s">
        <v>50</v>
      </c>
      <c r="B88" s="59" t="n">
        <v>5805</v>
      </c>
      <c r="C88" s="60" t="n">
        <v>730.808440999139</v>
      </c>
      <c r="D88" s="40"/>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customFormat="false" ht="15" hidden="false" customHeight="false" outlineLevel="0" collapsed="false">
      <c r="A89" s="61" t="s">
        <v>14</v>
      </c>
      <c r="B89" s="62" t="n">
        <v>4174</v>
      </c>
      <c r="C89" s="63" t="n">
        <v>804.666746526114</v>
      </c>
      <c r="D89" s="40"/>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customFormat="false" ht="15" hidden="false" customHeight="false" outlineLevel="0" collapsed="false">
      <c r="A90" s="61" t="s">
        <v>16</v>
      </c>
      <c r="B90" s="62" t="n">
        <v>1601</v>
      </c>
      <c r="C90" s="63" t="n">
        <v>543.155527795128</v>
      </c>
      <c r="D90" s="40"/>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customFormat="false" ht="15" hidden="false" customHeight="false" outlineLevel="0" collapsed="false">
      <c r="A91" s="67" t="s">
        <v>18</v>
      </c>
      <c r="B91" s="68" t="n">
        <v>30</v>
      </c>
      <c r="C91" s="69" t="n">
        <v>469.066666666667</v>
      </c>
      <c r="D91" s="40"/>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customFormat="false" ht="15" hidden="false" customHeight="false" outlineLevel="0" collapsed="false">
      <c r="A92" s="71" t="s">
        <v>51</v>
      </c>
      <c r="B92" s="65" t="n">
        <v>10677</v>
      </c>
      <c r="C92" s="66" t="n">
        <v>649.041678374075</v>
      </c>
      <c r="D92" s="40"/>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customFormat="false" ht="15" hidden="false" customHeight="false" outlineLevel="0" collapsed="false">
      <c r="A93" s="61" t="s">
        <v>14</v>
      </c>
      <c r="B93" s="62" t="n">
        <v>8954</v>
      </c>
      <c r="C93" s="63" t="n">
        <v>701.66361402725</v>
      </c>
      <c r="D93" s="40"/>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customFormat="false" ht="15" hidden="false" customHeight="false" outlineLevel="0" collapsed="false">
      <c r="A94" s="61" t="s">
        <v>20</v>
      </c>
      <c r="B94" s="62" t="n">
        <v>3</v>
      </c>
      <c r="C94" s="63" t="n">
        <v>75.3333333333333</v>
      </c>
      <c r="D94" s="40"/>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customFormat="false" ht="15" hidden="false" customHeight="false" outlineLevel="0" collapsed="false">
      <c r="A95" s="61" t="s">
        <v>16</v>
      </c>
      <c r="B95" s="62" t="n">
        <v>1649</v>
      </c>
      <c r="C95" s="63" t="n">
        <v>365.55245603396</v>
      </c>
      <c r="D95" s="40"/>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customFormat="false" ht="15" hidden="false" customHeight="false" outlineLevel="0" collapsed="false">
      <c r="A96" s="67" t="s">
        <v>18</v>
      </c>
      <c r="B96" s="68" t="n">
        <v>71</v>
      </c>
      <c r="C96" s="69" t="n">
        <v>621.12676056338</v>
      </c>
      <c r="D96" s="40"/>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customFormat="false" ht="15" hidden="false" customHeight="false" outlineLevel="0" collapsed="false">
      <c r="A97" s="71" t="s">
        <v>52</v>
      </c>
      <c r="B97" s="65" t="n">
        <v>9929</v>
      </c>
      <c r="C97" s="66" t="n">
        <v>1088.97663410212</v>
      </c>
      <c r="D97" s="40"/>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customFormat="false" ht="15" hidden="false" customHeight="false" outlineLevel="0" collapsed="false">
      <c r="A98" s="61" t="s">
        <v>14</v>
      </c>
      <c r="B98" s="62" t="n">
        <v>8542</v>
      </c>
      <c r="C98" s="63" t="n">
        <v>1152.22371809881</v>
      </c>
      <c r="D98" s="40"/>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customFormat="false" ht="15" hidden="false" customHeight="false" outlineLevel="0" collapsed="false">
      <c r="A99" s="61" t="s">
        <v>16</v>
      </c>
      <c r="B99" s="62" t="n">
        <v>1364</v>
      </c>
      <c r="C99" s="63" t="n">
        <v>699.737536656892</v>
      </c>
      <c r="D99" s="40"/>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customFormat="false" ht="15" hidden="false" customHeight="false" outlineLevel="0" collapsed="false">
      <c r="A100" s="67" t="s">
        <v>18</v>
      </c>
      <c r="B100" s="68" t="n">
        <v>23</v>
      </c>
      <c r="C100" s="69" t="n">
        <v>683.130434782609</v>
      </c>
      <c r="D100" s="40"/>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customFormat="false" ht="15" hidden="false" customHeight="false" outlineLevel="0" collapsed="false">
      <c r="A101" s="71" t="s">
        <v>53</v>
      </c>
      <c r="B101" s="65" t="n">
        <v>7190</v>
      </c>
      <c r="C101" s="66" t="n">
        <v>789.44561891516</v>
      </c>
      <c r="D101" s="40"/>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customFormat="false" ht="15" hidden="false" customHeight="false" outlineLevel="0" collapsed="false">
      <c r="A102" s="61" t="s">
        <v>14</v>
      </c>
      <c r="B102" s="62" t="n">
        <v>5417</v>
      </c>
      <c r="C102" s="63" t="n">
        <v>904.83348717002</v>
      </c>
      <c r="D102" s="40"/>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customFormat="false" ht="15" hidden="false" customHeight="false" outlineLevel="0" collapsed="false">
      <c r="A103" s="61" t="s">
        <v>20</v>
      </c>
      <c r="B103" s="62" t="n">
        <v>1</v>
      </c>
      <c r="C103" s="63" t="n">
        <v>77</v>
      </c>
      <c r="D103" s="40"/>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customFormat="false" ht="15" hidden="false" customHeight="false" outlineLevel="0" collapsed="false">
      <c r="A104" s="61" t="s">
        <v>16</v>
      </c>
      <c r="B104" s="62" t="n">
        <v>1722</v>
      </c>
      <c r="C104" s="63" t="n">
        <v>434.610336817654</v>
      </c>
      <c r="D104" s="40"/>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customFormat="false" ht="15" hidden="false" customHeight="false" outlineLevel="0" collapsed="false">
      <c r="A105" s="67" t="s">
        <v>18</v>
      </c>
      <c r="B105" s="68" t="n">
        <v>50</v>
      </c>
      <c r="C105" s="69" t="n">
        <v>523.1</v>
      </c>
      <c r="D105" s="40"/>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customFormat="false" ht="15" hidden="false" customHeight="false" outlineLevel="0" collapsed="false">
      <c r="A106" s="71" t="s">
        <v>54</v>
      </c>
      <c r="B106" s="65" t="n">
        <v>1765</v>
      </c>
      <c r="C106" s="66" t="n">
        <v>492.669121813031</v>
      </c>
      <c r="D106" s="40"/>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customFormat="false" ht="15" hidden="false" customHeight="false" outlineLevel="0" collapsed="false">
      <c r="A107" s="61" t="s">
        <v>14</v>
      </c>
      <c r="B107" s="62" t="n">
        <v>350</v>
      </c>
      <c r="C107" s="63" t="n">
        <v>783.745714285714</v>
      </c>
      <c r="D107" s="40"/>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customFormat="false" ht="15" hidden="false" customHeight="false" outlineLevel="0" collapsed="false">
      <c r="A108" s="61" t="s">
        <v>16</v>
      </c>
      <c r="B108" s="62" t="n">
        <v>1371</v>
      </c>
      <c r="C108" s="63" t="n">
        <v>416.035010940919</v>
      </c>
      <c r="D108" s="40"/>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customFormat="false" ht="15" hidden="false" customHeight="false" outlineLevel="0" collapsed="false">
      <c r="A109" s="61" t="s">
        <v>18</v>
      </c>
      <c r="B109" s="62" t="n">
        <v>44</v>
      </c>
      <c r="C109" s="63" t="n">
        <v>565.136363636364</v>
      </c>
      <c r="D109" s="40"/>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customFormat="false" ht="15" hidden="false" customHeight="false" outlineLevel="0" collapsed="false">
      <c r="A110" s="71" t="s">
        <v>55</v>
      </c>
      <c r="B110" s="65" t="n">
        <v>6589</v>
      </c>
      <c r="C110" s="66" t="n">
        <v>975.979511306723</v>
      </c>
      <c r="D110" s="40"/>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customFormat="false" ht="15" hidden="false" customHeight="false" outlineLevel="0" collapsed="false">
      <c r="A111" s="61" t="s">
        <v>14</v>
      </c>
      <c r="B111" s="62" t="n">
        <v>5587</v>
      </c>
      <c r="C111" s="63" t="n">
        <v>1049.60909253624</v>
      </c>
      <c r="D111" s="40"/>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customFormat="false" ht="15" hidden="false" customHeight="false" outlineLevel="0" collapsed="false">
      <c r="A112" s="61" t="s">
        <v>16</v>
      </c>
      <c r="B112" s="62" t="n">
        <v>971</v>
      </c>
      <c r="C112" s="63" t="n">
        <v>562.109165808445</v>
      </c>
      <c r="D112" s="40"/>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customFormat="false" ht="15" hidden="false" customHeight="false" outlineLevel="0" collapsed="false">
      <c r="A113" s="61" t="s">
        <v>18</v>
      </c>
      <c r="B113" s="62" t="n">
        <v>31</v>
      </c>
      <c r="C113" s="63" t="n">
        <v>669.516129032258</v>
      </c>
      <c r="D113" s="40"/>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customFormat="false" ht="15" hidden="false" customHeight="false" outlineLevel="0" collapsed="false">
      <c r="A114" s="71" t="s">
        <v>56</v>
      </c>
      <c r="B114" s="65" t="n">
        <v>2894</v>
      </c>
      <c r="C114" s="66" t="n">
        <v>490.587767795439</v>
      </c>
      <c r="D114" s="40"/>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customFormat="false" ht="15" hidden="false" customHeight="false" outlineLevel="0" collapsed="false">
      <c r="A115" s="61" t="s">
        <v>14</v>
      </c>
      <c r="B115" s="62" t="n">
        <v>1354</v>
      </c>
      <c r="C115" s="63" t="n">
        <v>706.075332348597</v>
      </c>
      <c r="D115" s="40"/>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customFormat="false" ht="15" hidden="false" customHeight="false" outlineLevel="0" collapsed="false">
      <c r="A116" s="61" t="s">
        <v>20</v>
      </c>
      <c r="B116" s="62" t="n">
        <v>11</v>
      </c>
      <c r="C116" s="63" t="n">
        <v>75.7272727272727</v>
      </c>
      <c r="D116" s="40"/>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customFormat="false" ht="15" hidden="false" customHeight="false" outlineLevel="0" collapsed="false">
      <c r="A117" s="61" t="s">
        <v>16</v>
      </c>
      <c r="B117" s="62" t="n">
        <v>1435</v>
      </c>
      <c r="C117" s="63" t="n">
        <v>294.016027874564</v>
      </c>
      <c r="D117" s="40"/>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customFormat="false" ht="15" hidden="false" customHeight="false" outlineLevel="0" collapsed="false">
      <c r="A118" s="61" t="s">
        <v>18</v>
      </c>
      <c r="B118" s="62" t="n">
        <v>94</v>
      </c>
      <c r="C118" s="63" t="n">
        <v>436.053191489362</v>
      </c>
      <c r="D118" s="40"/>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customFormat="false" ht="15" hidden="false" customHeight="false" outlineLevel="0" collapsed="false">
      <c r="A119" s="71" t="s">
        <v>57</v>
      </c>
      <c r="B119" s="65" t="n">
        <v>2415</v>
      </c>
      <c r="C119" s="66" t="n">
        <v>476.67784679089</v>
      </c>
      <c r="D119" s="40"/>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customFormat="false" ht="15" hidden="false" customHeight="false" outlineLevel="0" collapsed="false">
      <c r="A120" s="61" t="s">
        <v>14</v>
      </c>
      <c r="B120" s="62" t="n">
        <v>1119</v>
      </c>
      <c r="C120" s="63" t="n">
        <v>761.924932975871</v>
      </c>
      <c r="D120" s="40"/>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customFormat="false" ht="15" hidden="false" customHeight="false" outlineLevel="0" collapsed="false">
      <c r="A121" s="61" t="s">
        <v>16</v>
      </c>
      <c r="B121" s="62" t="n">
        <v>1043</v>
      </c>
      <c r="C121" s="63" t="n">
        <v>231.885906040268</v>
      </c>
      <c r="D121" s="40"/>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customFormat="false" ht="15" hidden="false" customHeight="false" outlineLevel="0" collapsed="false">
      <c r="A122" s="61" t="s">
        <v>18</v>
      </c>
      <c r="B122" s="62" t="n">
        <v>253</v>
      </c>
      <c r="C122" s="63" t="n">
        <v>224.213438735178</v>
      </c>
      <c r="D122" s="40"/>
    </row>
    <row r="123" customFormat="false" ht="15" hidden="false" customHeight="false" outlineLevel="0" collapsed="false">
      <c r="A123" s="71" t="s">
        <v>58</v>
      </c>
      <c r="B123" s="65" t="n">
        <v>20500</v>
      </c>
      <c r="C123" s="66" t="n">
        <v>811.285463414634</v>
      </c>
      <c r="D123" s="40"/>
    </row>
    <row r="124" customFormat="false" ht="15" hidden="false" customHeight="false" outlineLevel="0" collapsed="false">
      <c r="A124" s="61" t="s">
        <v>14</v>
      </c>
      <c r="B124" s="62" t="n">
        <v>16493</v>
      </c>
      <c r="C124" s="63" t="n">
        <v>881.954344267265</v>
      </c>
      <c r="D124" s="40"/>
    </row>
    <row r="125" customFormat="false" ht="15" hidden="false" customHeight="false" outlineLevel="0" collapsed="false">
      <c r="A125" s="61" t="s">
        <v>20</v>
      </c>
      <c r="B125" s="62" t="n">
        <v>2</v>
      </c>
      <c r="C125" s="63" t="n">
        <v>76</v>
      </c>
      <c r="D125" s="40"/>
    </row>
    <row r="126" customFormat="false" ht="15" hidden="false" customHeight="false" outlineLevel="0" collapsed="false">
      <c r="A126" s="61" t="s">
        <v>16</v>
      </c>
      <c r="B126" s="62" t="n">
        <v>3540</v>
      </c>
      <c r="C126" s="63" t="n">
        <v>506.419209039548</v>
      </c>
      <c r="D126" s="40"/>
    </row>
    <row r="127" customFormat="false" ht="15" hidden="false" customHeight="false" outlineLevel="0" collapsed="false">
      <c r="A127" s="67" t="s">
        <v>18</v>
      </c>
      <c r="B127" s="68" t="n">
        <v>465</v>
      </c>
      <c r="C127" s="69" t="n">
        <v>628.823655913979</v>
      </c>
      <c r="D127" s="40"/>
    </row>
    <row r="128" customFormat="false" ht="15" hidden="false" customHeight="false" outlineLevel="0" collapsed="false">
      <c r="A128" s="71" t="s">
        <v>59</v>
      </c>
      <c r="B128" s="65" t="n">
        <v>10037</v>
      </c>
      <c r="C128" s="66" t="n">
        <v>872.016439175052</v>
      </c>
      <c r="D128" s="40"/>
    </row>
    <row r="129" customFormat="false" ht="15" hidden="false" customHeight="false" outlineLevel="0" collapsed="false">
      <c r="A129" s="61" t="s">
        <v>14</v>
      </c>
      <c r="B129" s="62" t="n">
        <v>8776</v>
      </c>
      <c r="C129" s="63" t="n">
        <v>901.986554238833</v>
      </c>
      <c r="D129" s="40"/>
    </row>
    <row r="130" customFormat="false" ht="15" hidden="false" customHeight="false" outlineLevel="0" collapsed="false">
      <c r="A130" s="61" t="s">
        <v>20</v>
      </c>
      <c r="B130" s="62" t="n">
        <v>2</v>
      </c>
      <c r="C130" s="63" t="n">
        <v>76</v>
      </c>
      <c r="D130" s="40"/>
    </row>
    <row r="131" customFormat="false" ht="15" hidden="false" customHeight="false" outlineLevel="0" collapsed="false">
      <c r="A131" s="61" t="s">
        <v>16</v>
      </c>
      <c r="B131" s="62" t="n">
        <v>996</v>
      </c>
      <c r="C131" s="63" t="n">
        <v>614.91265060241</v>
      </c>
      <c r="D131" s="40"/>
    </row>
    <row r="132" customFormat="false" ht="15" hidden="false" customHeight="false" outlineLevel="0" collapsed="false">
      <c r="A132" s="67" t="s">
        <v>18</v>
      </c>
      <c r="B132" s="68" t="n">
        <v>263</v>
      </c>
      <c r="C132" s="69" t="n">
        <v>851.673003802281</v>
      </c>
      <c r="D132" s="40"/>
    </row>
    <row r="133" customFormat="false" ht="15" hidden="false" customHeight="false" outlineLevel="0" collapsed="false">
      <c r="A133" s="71" t="s">
        <v>60</v>
      </c>
      <c r="B133" s="65" t="n">
        <v>3177</v>
      </c>
      <c r="C133" s="66" t="n">
        <v>1194.85993075228</v>
      </c>
      <c r="D133" s="40"/>
    </row>
    <row r="134" customFormat="false" ht="15" hidden="false" customHeight="false" outlineLevel="0" collapsed="false">
      <c r="A134" s="61" t="s">
        <v>14</v>
      </c>
      <c r="B134" s="62" t="n">
        <v>2344</v>
      </c>
      <c r="C134" s="63" t="n">
        <v>1304.80119453925</v>
      </c>
      <c r="D134" s="40"/>
    </row>
    <row r="135" customFormat="false" ht="15" hidden="false" customHeight="false" outlineLevel="0" collapsed="false">
      <c r="A135" s="61" t="s">
        <v>16</v>
      </c>
      <c r="B135" s="62" t="n">
        <v>833</v>
      </c>
      <c r="C135" s="63" t="n">
        <v>885.493397358944</v>
      </c>
      <c r="D135" s="40"/>
    </row>
    <row r="136" customFormat="false" ht="15" hidden="false" customHeight="false" outlineLevel="0" collapsed="false">
      <c r="A136" s="71" t="s">
        <v>61</v>
      </c>
      <c r="B136" s="65" t="n">
        <v>9076</v>
      </c>
      <c r="C136" s="66" t="n">
        <v>346.884750991626</v>
      </c>
      <c r="D136" s="40"/>
    </row>
    <row r="137" customFormat="false" ht="15" hidden="false" customHeight="false" outlineLevel="0" collapsed="false">
      <c r="A137" s="61" t="s">
        <v>14</v>
      </c>
      <c r="B137" s="72" t="n">
        <v>2975</v>
      </c>
      <c r="C137" s="73" t="n">
        <v>584.780504201681</v>
      </c>
      <c r="D137" s="40"/>
    </row>
    <row r="138" customFormat="false" ht="15" hidden="false" customHeight="false" outlineLevel="0" collapsed="false">
      <c r="A138" s="61" t="s">
        <v>20</v>
      </c>
      <c r="B138" s="72" t="n">
        <v>2</v>
      </c>
      <c r="C138" s="73" t="n">
        <v>443</v>
      </c>
      <c r="D138" s="40"/>
    </row>
    <row r="139" customFormat="false" ht="15" hidden="false" customHeight="false" outlineLevel="0" collapsed="false">
      <c r="A139" s="61" t="s">
        <v>16</v>
      </c>
      <c r="B139" s="72" t="n">
        <v>5940</v>
      </c>
      <c r="C139" s="73" t="n">
        <v>229.965993265993</v>
      </c>
      <c r="D139" s="40"/>
    </row>
    <row r="140" customFormat="false" ht="15" hidden="false" customHeight="false" outlineLevel="0" collapsed="false">
      <c r="A140" s="61" t="s">
        <v>18</v>
      </c>
      <c r="B140" s="72" t="n">
        <v>159</v>
      </c>
      <c r="C140" s="73" t="n">
        <v>262.389937106918</v>
      </c>
      <c r="D140" s="40"/>
    </row>
    <row r="141" customFormat="false" ht="15" hidden="false" customHeight="false" outlineLevel="0" collapsed="false">
      <c r="D141" s="40"/>
    </row>
    <row r="142" customFormat="false" ht="15" hidden="false" customHeight="false" outlineLevel="0" collapsed="false">
      <c r="D142" s="40"/>
    </row>
    <row r="143" customFormat="false" ht="15" hidden="false" customHeight="false" outlineLevel="0" collapsed="false">
      <c r="D143" s="40"/>
    </row>
    <row r="144" customFormat="false" ht="15" hidden="false" customHeight="false" outlineLevel="0" collapsed="false">
      <c r="D144" s="40"/>
    </row>
    <row r="145" customFormat="false" ht="15" hidden="false" customHeight="false" outlineLevel="0" collapsed="false">
      <c r="D145" s="40"/>
    </row>
    <row r="146" customFormat="false" ht="15" hidden="false" customHeight="false" outlineLevel="0" collapsed="false">
      <c r="D146" s="40"/>
    </row>
    <row r="147" customFormat="false" ht="15" hidden="false" customHeight="false" outlineLevel="0" collapsed="false">
      <c r="D147" s="40"/>
    </row>
    <row r="148" customFormat="false" ht="15" hidden="false" customHeight="false" outlineLevel="0" collapsed="false">
      <c r="D148" s="40"/>
    </row>
    <row r="149" customFormat="false" ht="15" hidden="false" customHeight="false" outlineLevel="0" collapsed="false">
      <c r="D149" s="40"/>
    </row>
    <row r="150" customFormat="false" ht="15" hidden="false" customHeight="false" outlineLevel="0" collapsed="false">
      <c r="D150" s="40"/>
    </row>
    <row r="151" customFormat="false" ht="15" hidden="false" customHeight="false" outlineLevel="0" collapsed="false">
      <c r="D151" s="40"/>
    </row>
    <row r="152" customFormat="false" ht="15" hidden="false" customHeight="false" outlineLevel="0" collapsed="false">
      <c r="D152" s="56"/>
    </row>
    <row r="153" customFormat="false" ht="15" hidden="false" customHeight="false" outlineLevel="0" collapsed="false">
      <c r="D153" s="56"/>
    </row>
    <row r="154" customFormat="false" ht="15" hidden="false" customHeight="false" outlineLevel="0" collapsed="false">
      <c r="D154" s="56"/>
    </row>
    <row r="155" customFormat="false" ht="15" hidden="false" customHeight="false" outlineLevel="0" collapsed="false">
      <c r="D155" s="56"/>
    </row>
    <row r="156" customFormat="false" ht="15" hidden="false" customHeight="false" outlineLevel="0" collapsed="false">
      <c r="D156" s="40"/>
    </row>
    <row r="157" customFormat="false" ht="15" hidden="false" customHeight="false" outlineLevel="0" collapsed="false">
      <c r="D157" s="40"/>
    </row>
    <row r="158" customFormat="false" ht="15" hidden="false" customHeight="false" outlineLevel="0" collapsed="false">
      <c r="D158" s="40"/>
    </row>
    <row r="159" customFormat="false" ht="15" hidden="false" customHeight="false" outlineLevel="0" collapsed="false">
      <c r="D159" s="40"/>
    </row>
    <row r="160" customFormat="false" ht="15" hidden="false" customHeight="false" outlineLevel="0" collapsed="false">
      <c r="D160" s="40"/>
    </row>
    <row r="161" customFormat="false" ht="15" hidden="false" customHeight="false" outlineLevel="0" collapsed="false">
      <c r="D161" s="40"/>
    </row>
    <row r="162" customFormat="false" ht="15" hidden="false" customHeight="false" outlineLevel="0" collapsed="false">
      <c r="D162" s="40"/>
    </row>
    <row r="163" customFormat="false" ht="15" hidden="false" customHeight="false" outlineLevel="0" collapsed="false">
      <c r="D163" s="40"/>
    </row>
    <row r="164" customFormat="false" ht="15" hidden="false" customHeight="false" outlineLevel="0" collapsed="false">
      <c r="D164" s="40"/>
    </row>
    <row r="165" customFormat="false" ht="15" hidden="false" customHeight="false" outlineLevel="0" collapsed="false">
      <c r="D165" s="40"/>
      <c r="H165" s="40"/>
    </row>
    <row r="166" customFormat="false" ht="15" hidden="false" customHeight="false" outlineLevel="0" collapsed="false">
      <c r="D166" s="40"/>
      <c r="H166" s="40"/>
    </row>
    <row r="167" customFormat="false" ht="15" hidden="false" customHeight="false" outlineLevel="0" collapsed="false">
      <c r="D167" s="40"/>
      <c r="H167" s="40"/>
    </row>
  </sheetData>
  <mergeCells count="18">
    <mergeCell ref="A1:G1"/>
    <mergeCell ref="A2:G3"/>
    <mergeCell ref="A4:G4"/>
    <mergeCell ref="A7:C7"/>
    <mergeCell ref="E7:G7"/>
    <mergeCell ref="A14:C14"/>
    <mergeCell ref="E14:G14"/>
    <mergeCell ref="A15:C15"/>
    <mergeCell ref="E15:G15"/>
    <mergeCell ref="E16:G16"/>
    <mergeCell ref="A17:C17"/>
    <mergeCell ref="E20:G20"/>
    <mergeCell ref="A22:C22"/>
    <mergeCell ref="A23:C23"/>
    <mergeCell ref="A25:C25"/>
    <mergeCell ref="E25:G25"/>
    <mergeCell ref="E26:G26"/>
    <mergeCell ref="A27:C2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206"/>
  <sheetViews>
    <sheetView showFormulas="false" showGridLines="false" showRowColHeaders="true" showZeros="true" rightToLeft="false" tabSelected="false" showOutlineSymbols="true" defaultGridColor="true" view="normal" topLeftCell="A163" colorId="64" zoomScale="100" zoomScaleNormal="100" zoomScalePageLayoutView="100" workbookViewId="0">
      <selection pane="topLeft" activeCell="A166" activeCellId="0" sqref="A166"/>
    </sheetView>
  </sheetViews>
  <sheetFormatPr defaultColWidth="9.00390625" defaultRowHeight="14.25" customHeight="false" zeroHeight="false" outlineLevelRow="0" outlineLevelCol="0"/>
  <cols>
    <col collapsed="false" customWidth="true" hidden="false" outlineLevel="0" max="1" min="1" style="1" width="36.44"/>
    <col collapsed="false" customWidth="true" hidden="false" outlineLevel="0" max="2" min="2" style="1" width="23.79"/>
    <col collapsed="false" customWidth="true" hidden="false" outlineLevel="0" max="3" min="3" style="1" width="11.44"/>
    <col collapsed="false" customWidth="true" hidden="false" outlineLevel="0" max="4" min="4" style="1" width="14.44"/>
    <col collapsed="false" customWidth="true" hidden="false" outlineLevel="0" max="5" min="5" style="1" width="13.22"/>
    <col collapsed="false" customWidth="true" hidden="false" outlineLevel="0" max="6" min="6" style="1" width="12.76"/>
    <col collapsed="false" customWidth="true" hidden="false" outlineLevel="0" max="8" min="7" style="1" width="10.44"/>
    <col collapsed="false" customWidth="true" hidden="false" outlineLevel="0" max="9" min="9" style="1" width="13.44"/>
    <col collapsed="false" customWidth="true" hidden="false" outlineLevel="0" max="10" min="10" style="1" width="11.56"/>
    <col collapsed="false" customWidth="true" hidden="false" outlineLevel="0" max="12" min="12" style="1" width="8.76"/>
    <col collapsed="false" customWidth="true" hidden="false" outlineLevel="0" max="14" min="14" style="1" width="13.56"/>
    <col collapsed="false" customWidth="true" hidden="false" outlineLevel="0" max="15" min="15" style="1" width="17.22"/>
    <col collapsed="false" customWidth="true" hidden="false" outlineLevel="0" max="16" min="16" style="1" width="10.44"/>
    <col collapsed="false" customWidth="true" hidden="false" outlineLevel="0" max="25" min="25" style="1" width="8.76"/>
    <col collapsed="false" customWidth="true" hidden="false" outlineLevel="0" max="27" min="27" style="1" width="10.56"/>
  </cols>
  <sheetData>
    <row r="1" s="75" customFormat="true" ht="27.75" hidden="false" customHeight="true" outlineLevel="0" collapsed="false">
      <c r="A1" s="74" t="s">
        <v>5</v>
      </c>
      <c r="B1" s="74"/>
      <c r="C1" s="74"/>
      <c r="D1" s="74"/>
    </row>
    <row r="2" s="78" customFormat="true" ht="45.75" hidden="false" customHeight="true" outlineLevel="0" collapsed="false">
      <c r="A2" s="76" t="s">
        <v>1</v>
      </c>
      <c r="B2" s="76"/>
      <c r="C2" s="76"/>
      <c r="D2" s="76"/>
      <c r="E2" s="76"/>
      <c r="F2" s="76"/>
      <c r="G2" s="76"/>
      <c r="H2" s="76"/>
      <c r="I2" s="76"/>
      <c r="J2" s="76"/>
      <c r="K2" s="76"/>
      <c r="L2" s="76"/>
      <c r="M2" s="76"/>
      <c r="N2" s="76"/>
      <c r="O2" s="76"/>
      <c r="P2" s="76"/>
      <c r="Q2" s="77"/>
      <c r="R2" s="77"/>
      <c r="S2" s="77"/>
      <c r="T2" s="77"/>
      <c r="U2" s="77"/>
      <c r="V2" s="77"/>
    </row>
    <row r="3" customFormat="false" ht="31.5" hidden="false" customHeight="true" outlineLevel="0" collapsed="false">
      <c r="A3" s="79" t="s">
        <v>62</v>
      </c>
      <c r="B3" s="79"/>
      <c r="C3" s="79"/>
      <c r="D3" s="79"/>
      <c r="E3" s="80"/>
      <c r="F3" s="80"/>
      <c r="G3" s="80"/>
      <c r="H3" s="80"/>
      <c r="I3" s="80"/>
      <c r="J3" s="80"/>
      <c r="K3" s="80"/>
      <c r="L3" s="80"/>
      <c r="M3" s="80"/>
      <c r="N3" s="80"/>
      <c r="O3" s="80"/>
      <c r="P3" s="80"/>
      <c r="Q3" s="80"/>
      <c r="R3" s="80"/>
      <c r="S3" s="80"/>
      <c r="T3" s="80"/>
      <c r="U3" s="80"/>
      <c r="V3" s="80"/>
      <c r="W3" s="7"/>
      <c r="X3" s="7"/>
      <c r="Y3" s="7"/>
      <c r="Z3" s="7"/>
      <c r="AA3" s="7"/>
      <c r="AB3" s="7"/>
      <c r="AC3" s="7"/>
      <c r="AD3" s="7"/>
      <c r="AE3" s="7"/>
      <c r="AF3" s="7"/>
      <c r="AG3" s="7"/>
      <c r="AH3" s="7"/>
      <c r="AI3" s="7"/>
      <c r="AJ3" s="7"/>
      <c r="AK3" s="7"/>
      <c r="AL3" s="7"/>
      <c r="AM3" s="7"/>
      <c r="AN3" s="7"/>
      <c r="AO3" s="7"/>
      <c r="AP3" s="7"/>
      <c r="AQ3" s="7"/>
      <c r="AR3" s="7"/>
      <c r="AS3" s="7"/>
      <c r="AT3" s="7"/>
      <c r="AU3" s="7"/>
      <c r="AV3" s="7"/>
      <c r="AW3" s="7"/>
      <c r="AX3" s="7"/>
    </row>
    <row r="4" s="75" customFormat="true" ht="30.75" hidden="false" customHeight="true" outlineLevel="0" collapsed="false">
      <c r="A4" s="81"/>
      <c r="B4" s="81"/>
      <c r="C4" s="81"/>
      <c r="D4" s="81"/>
      <c r="E4" s="81"/>
      <c r="F4" s="81"/>
      <c r="G4" s="81"/>
      <c r="H4" s="81"/>
      <c r="I4" s="81"/>
      <c r="J4" s="81"/>
      <c r="K4" s="81"/>
      <c r="L4" s="81"/>
      <c r="M4" s="81"/>
      <c r="N4" s="81"/>
      <c r="O4" s="81"/>
      <c r="P4" s="81"/>
      <c r="Q4" s="81"/>
      <c r="R4" s="81"/>
      <c r="S4" s="81"/>
      <c r="T4" s="81"/>
      <c r="U4" s="81"/>
      <c r="V4" s="81"/>
      <c r="W4" s="82"/>
      <c r="X4" s="82"/>
      <c r="Y4" s="82"/>
      <c r="Z4" s="82"/>
    </row>
    <row r="5" s="78" customFormat="true" ht="18.75" hidden="false" customHeight="true" outlineLevel="0" collapsed="false">
      <c r="A5" s="83"/>
      <c r="B5" s="83"/>
      <c r="C5" s="83"/>
      <c r="D5" s="83"/>
      <c r="E5" s="83"/>
      <c r="F5" s="83"/>
      <c r="G5" s="83"/>
      <c r="H5" s="83"/>
      <c r="I5" s="83"/>
      <c r="J5" s="83"/>
      <c r="K5" s="83"/>
      <c r="L5" s="83"/>
      <c r="M5" s="83"/>
      <c r="N5" s="83"/>
      <c r="O5" s="83"/>
      <c r="P5" s="83"/>
      <c r="Q5" s="83"/>
      <c r="R5" s="83"/>
      <c r="S5" s="83"/>
      <c r="T5" s="83"/>
      <c r="U5" s="83"/>
      <c r="V5" s="83"/>
      <c r="W5" s="84"/>
      <c r="X5" s="84"/>
      <c r="Y5" s="84"/>
      <c r="Z5" s="84"/>
    </row>
    <row r="6" s="78" customFormat="true" ht="16.5" hidden="false" customHeight="true" outlineLevel="0" collapsed="false">
      <c r="A6" s="85"/>
      <c r="B6" s="85"/>
      <c r="C6" s="85"/>
      <c r="D6" s="85"/>
      <c r="E6" s="85"/>
      <c r="F6" s="85"/>
      <c r="G6" s="85"/>
      <c r="H6" s="85"/>
      <c r="I6" s="85"/>
      <c r="J6" s="85"/>
      <c r="K6" s="85"/>
      <c r="L6" s="85"/>
      <c r="M6" s="85"/>
      <c r="N6" s="85"/>
      <c r="O6" s="85"/>
      <c r="P6" s="85"/>
      <c r="Q6" s="85"/>
      <c r="R6" s="85"/>
      <c r="S6" s="85"/>
      <c r="T6" s="85"/>
      <c r="U6" s="85"/>
      <c r="V6" s="85"/>
      <c r="W6" s="84"/>
      <c r="X6" s="84"/>
      <c r="Y6" s="84"/>
      <c r="Z6" s="84"/>
    </row>
    <row r="7" s="75" customFormat="true" ht="16.5" hidden="false" customHeight="true" outlineLevel="0" collapsed="false">
      <c r="A7" s="86"/>
      <c r="B7" s="87"/>
      <c r="C7" s="87"/>
      <c r="D7" s="87"/>
      <c r="E7" s="87"/>
      <c r="F7" s="87"/>
      <c r="G7" s="87"/>
      <c r="H7" s="87"/>
      <c r="J7" s="88"/>
      <c r="K7" s="88"/>
      <c r="L7" s="88"/>
      <c r="N7" s="87"/>
      <c r="O7" s="87"/>
      <c r="P7" s="87"/>
      <c r="Q7" s="87"/>
      <c r="R7" s="87"/>
      <c r="S7" s="87"/>
      <c r="T7" s="87"/>
      <c r="U7" s="87"/>
      <c r="V7" s="89"/>
      <c r="W7" s="90"/>
      <c r="X7" s="90"/>
      <c r="Y7" s="90"/>
      <c r="Z7" s="90"/>
    </row>
    <row r="8" s="95" customFormat="true" ht="30" hidden="false" customHeight="true" outlineLevel="0" collapsed="false">
      <c r="A8" s="91" t="s">
        <v>63</v>
      </c>
      <c r="B8" s="91"/>
      <c r="C8" s="91"/>
      <c r="D8" s="91"/>
      <c r="E8" s="92"/>
      <c r="F8" s="92"/>
      <c r="G8" s="93" t="s">
        <v>64</v>
      </c>
      <c r="H8" s="93"/>
      <c r="I8" s="93"/>
      <c r="J8" s="93"/>
      <c r="K8" s="93"/>
      <c r="L8" s="94"/>
      <c r="N8" s="93" t="s">
        <v>65</v>
      </c>
      <c r="O8" s="93"/>
      <c r="P8" s="93"/>
      <c r="Q8" s="93"/>
      <c r="R8" s="93"/>
      <c r="U8" s="96"/>
      <c r="V8" s="96"/>
      <c r="W8" s="97"/>
      <c r="X8" s="98"/>
      <c r="Y8" s="98"/>
      <c r="Z8" s="98"/>
      <c r="AA8" s="98"/>
      <c r="AC8" s="99"/>
      <c r="AD8" s="99"/>
    </row>
    <row r="9" s="75" customFormat="true" ht="27.75" hidden="false" customHeight="true" outlineLevel="0" collapsed="false">
      <c r="A9" s="100" t="s">
        <v>66</v>
      </c>
      <c r="B9" s="101" t="s">
        <v>67</v>
      </c>
      <c r="C9" s="101" t="s">
        <v>68</v>
      </c>
      <c r="D9" s="101" t="s">
        <v>19</v>
      </c>
      <c r="E9" s="87"/>
      <c r="F9" s="87"/>
      <c r="G9" s="101" t="s">
        <v>69</v>
      </c>
      <c r="H9" s="101"/>
      <c r="I9" s="102" t="s">
        <v>67</v>
      </c>
      <c r="J9" s="102" t="s">
        <v>68</v>
      </c>
      <c r="K9" s="102" t="s">
        <v>19</v>
      </c>
      <c r="L9" s="103"/>
      <c r="M9" s="103"/>
      <c r="N9" s="101" t="s">
        <v>70</v>
      </c>
      <c r="O9" s="101"/>
      <c r="P9" s="104" t="s">
        <v>71</v>
      </c>
      <c r="Q9" s="87"/>
      <c r="R9" s="87"/>
      <c r="S9" s="87"/>
      <c r="T9" s="87"/>
      <c r="U9" s="87"/>
      <c r="V9" s="90"/>
      <c r="W9" s="97"/>
      <c r="X9" s="90"/>
      <c r="Y9" s="90"/>
      <c r="Z9" s="90"/>
      <c r="AA9" s="90"/>
      <c r="AB9" s="90"/>
      <c r="AC9" s="105"/>
      <c r="AD9" s="105"/>
    </row>
    <row r="10" s="75" customFormat="true" ht="16.5" hidden="false" customHeight="true" outlineLevel="0" collapsed="false">
      <c r="A10" s="106" t="s">
        <v>19</v>
      </c>
      <c r="B10" s="107" t="n">
        <f aca="false">SUM(B11:B14)</f>
        <v>141</v>
      </c>
      <c r="C10" s="107" t="n">
        <f aca="false">SUM(C11:C14)</f>
        <v>60170</v>
      </c>
      <c r="D10" s="107" t="n">
        <f aca="false">SUM(D11:D14)</f>
        <v>60311</v>
      </c>
      <c r="E10" s="87"/>
      <c r="F10" s="87"/>
      <c r="G10" s="108" t="s">
        <v>72</v>
      </c>
      <c r="H10" s="108"/>
      <c r="I10" s="109" t="n">
        <v>34</v>
      </c>
      <c r="J10" s="110" t="n">
        <v>98.0362303213284</v>
      </c>
      <c r="K10" s="110" t="n">
        <v>97.9948275862069</v>
      </c>
      <c r="L10" s="111"/>
      <c r="M10" s="111"/>
      <c r="N10" s="112" t="s">
        <v>19</v>
      </c>
      <c r="O10" s="112"/>
      <c r="P10" s="113" t="n">
        <f aca="false">SUM(P11:P12)</f>
        <v>1704</v>
      </c>
      <c r="Q10" s="87"/>
      <c r="R10" s="87"/>
      <c r="S10" s="87"/>
      <c r="T10" s="87"/>
      <c r="U10" s="87"/>
      <c r="V10" s="114"/>
      <c r="W10" s="97"/>
      <c r="X10" s="90"/>
      <c r="Y10" s="90"/>
      <c r="Z10" s="90"/>
      <c r="AA10" s="90"/>
      <c r="AB10" s="90"/>
      <c r="AC10" s="105"/>
      <c r="AD10" s="105"/>
    </row>
    <row r="11" s="75" customFormat="true" ht="12.75" hidden="false" customHeight="true" outlineLevel="0" collapsed="false">
      <c r="A11" s="115" t="s">
        <v>73</v>
      </c>
      <c r="B11" s="116" t="n">
        <v>20</v>
      </c>
      <c r="C11" s="116" t="n">
        <v>4689</v>
      </c>
      <c r="D11" s="117" t="n">
        <f aca="false">SUM(B11:C11)</f>
        <v>4709</v>
      </c>
      <c r="E11" s="87"/>
      <c r="F11" s="118"/>
      <c r="G11" s="118"/>
      <c r="H11" s="119"/>
      <c r="I11" s="119"/>
      <c r="J11" s="119"/>
      <c r="K11" s="119"/>
      <c r="L11" s="119"/>
      <c r="N11" s="120" t="s">
        <v>67</v>
      </c>
      <c r="O11" s="120"/>
      <c r="P11" s="121" t="n">
        <v>16</v>
      </c>
      <c r="Q11" s="87"/>
      <c r="R11" s="87"/>
      <c r="S11" s="114"/>
      <c r="T11" s="114"/>
      <c r="U11" s="114"/>
      <c r="V11" s="90"/>
      <c r="W11" s="97"/>
      <c r="X11" s="90"/>
      <c r="Y11" s="90"/>
      <c r="Z11" s="105"/>
      <c r="AA11" s="105"/>
    </row>
    <row r="12" s="75" customFormat="true" ht="12.75" hidden="false" customHeight="true" outlineLevel="0" collapsed="false">
      <c r="A12" s="122" t="s">
        <v>74</v>
      </c>
      <c r="B12" s="116" t="n">
        <v>99</v>
      </c>
      <c r="C12" s="116" t="n">
        <v>43778</v>
      </c>
      <c r="D12" s="117" t="n">
        <f aca="false">SUM(B12:C12)</f>
        <v>43877</v>
      </c>
      <c r="E12" s="87"/>
      <c r="M12" s="123"/>
      <c r="N12" s="124" t="s">
        <v>68</v>
      </c>
      <c r="O12" s="124"/>
      <c r="P12" s="125" t="n">
        <v>1688</v>
      </c>
      <c r="Q12" s="87"/>
      <c r="R12" s="87"/>
      <c r="S12" s="87"/>
      <c r="T12" s="87"/>
      <c r="U12" s="114"/>
      <c r="V12" s="97"/>
      <c r="W12" s="126"/>
      <c r="X12" s="90"/>
      <c r="Y12" s="90"/>
      <c r="Z12" s="90"/>
      <c r="AA12" s="90"/>
      <c r="AB12" s="105"/>
      <c r="AC12" s="105"/>
    </row>
    <row r="13" s="75" customFormat="true" ht="12.75" hidden="false" customHeight="true" outlineLevel="0" collapsed="false">
      <c r="A13" s="122" t="s">
        <v>75</v>
      </c>
      <c r="B13" s="116" t="n">
        <v>7</v>
      </c>
      <c r="C13" s="116" t="n">
        <v>2732</v>
      </c>
      <c r="D13" s="117" t="n">
        <f aca="false">SUM(B13:C13)</f>
        <v>2739</v>
      </c>
      <c r="E13" s="87"/>
      <c r="F13" s="87"/>
      <c r="G13" s="87"/>
      <c r="H13" s="87"/>
      <c r="I13" s="87"/>
      <c r="J13" s="87"/>
      <c r="Q13" s="87"/>
      <c r="R13" s="87"/>
      <c r="S13" s="87"/>
      <c r="T13" s="114"/>
      <c r="U13" s="87"/>
      <c r="V13" s="97"/>
      <c r="W13" s="127"/>
      <c r="X13" s="90"/>
      <c r="Y13" s="90"/>
      <c r="Z13" s="90"/>
      <c r="AA13" s="105"/>
      <c r="AB13" s="105"/>
    </row>
    <row r="14" s="75" customFormat="true" ht="12.75" hidden="false" customHeight="true" outlineLevel="0" collapsed="false">
      <c r="A14" s="122" t="s">
        <v>76</v>
      </c>
      <c r="B14" s="116" t="n">
        <v>15</v>
      </c>
      <c r="C14" s="116" t="n">
        <v>8971</v>
      </c>
      <c r="D14" s="117" t="n">
        <f aca="false">SUM(B14:C14)</f>
        <v>8986</v>
      </c>
      <c r="E14" s="87"/>
      <c r="F14" s="87"/>
      <c r="G14" s="87"/>
      <c r="H14" s="87"/>
      <c r="I14" s="87"/>
      <c r="J14" s="87"/>
      <c r="K14" s="87"/>
      <c r="L14" s="87"/>
      <c r="M14" s="87"/>
      <c r="N14" s="87"/>
      <c r="O14" s="87"/>
      <c r="P14" s="87"/>
      <c r="Q14" s="87"/>
      <c r="R14" s="87"/>
      <c r="S14" s="87"/>
      <c r="T14" s="114"/>
      <c r="U14" s="87"/>
      <c r="V14" s="97"/>
      <c r="W14" s="127"/>
      <c r="X14" s="90"/>
      <c r="Y14" s="90"/>
      <c r="Z14" s="90"/>
      <c r="AA14" s="105"/>
      <c r="AB14" s="105"/>
    </row>
    <row r="15" s="75" customFormat="true" ht="16.5" hidden="false" customHeight="true" outlineLevel="0" collapsed="false">
      <c r="A15" s="128"/>
      <c r="B15" s="129"/>
      <c r="C15" s="129"/>
      <c r="D15" s="129"/>
      <c r="E15" s="129"/>
      <c r="F15" s="129"/>
      <c r="G15" s="87"/>
      <c r="H15" s="87"/>
      <c r="I15" s="87"/>
      <c r="J15" s="87"/>
      <c r="K15" s="87"/>
      <c r="L15" s="87"/>
      <c r="M15" s="87"/>
      <c r="N15" s="87"/>
      <c r="O15" s="87"/>
      <c r="P15" s="87"/>
      <c r="Q15" s="87"/>
      <c r="R15" s="87"/>
      <c r="S15" s="87"/>
      <c r="T15" s="87"/>
      <c r="U15" s="87"/>
      <c r="V15" s="97"/>
      <c r="W15" s="127"/>
      <c r="X15" s="90"/>
      <c r="Y15" s="90"/>
      <c r="Z15" s="90"/>
      <c r="AA15" s="90"/>
      <c r="AB15" s="105"/>
      <c r="AC15" s="105"/>
      <c r="AK15" s="105"/>
      <c r="AL15" s="105"/>
    </row>
    <row r="16" s="75" customFormat="true" ht="16.5" hidden="false" customHeight="true" outlineLevel="0" collapsed="false">
      <c r="A16" s="130"/>
      <c r="B16" s="130"/>
      <c r="C16" s="130"/>
      <c r="D16" s="130"/>
      <c r="E16" s="130"/>
      <c r="F16" s="130"/>
      <c r="G16" s="130"/>
      <c r="H16" s="130"/>
      <c r="I16" s="130"/>
      <c r="J16" s="130"/>
      <c r="K16" s="130"/>
      <c r="L16" s="130"/>
      <c r="M16" s="130"/>
      <c r="N16" s="130"/>
      <c r="O16" s="130"/>
      <c r="P16" s="130"/>
      <c r="Q16" s="130"/>
      <c r="R16" s="130"/>
      <c r="S16" s="130"/>
      <c r="T16" s="130"/>
      <c r="U16" s="130"/>
      <c r="V16" s="130"/>
      <c r="W16" s="127"/>
      <c r="X16" s="105"/>
      <c r="Y16" s="90"/>
      <c r="Z16" s="90"/>
      <c r="AK16" s="105"/>
    </row>
    <row r="17" s="75" customFormat="true" ht="16.5" hidden="false" customHeight="true" outlineLevel="0" collapsed="false">
      <c r="A17" s="86"/>
      <c r="B17" s="87"/>
      <c r="C17" s="87"/>
      <c r="D17" s="87"/>
      <c r="E17" s="87"/>
      <c r="F17" s="87"/>
      <c r="G17" s="87"/>
      <c r="H17" s="87"/>
      <c r="I17" s="87"/>
      <c r="J17" s="87"/>
      <c r="K17" s="87"/>
      <c r="L17" s="87"/>
      <c r="M17" s="87"/>
      <c r="N17" s="87"/>
      <c r="O17" s="87"/>
      <c r="P17" s="87"/>
      <c r="Q17" s="87"/>
      <c r="R17" s="87"/>
      <c r="S17" s="87"/>
      <c r="T17" s="87"/>
      <c r="U17" s="87"/>
      <c r="V17" s="89"/>
      <c r="W17" s="90"/>
      <c r="X17" s="90"/>
      <c r="Y17" s="90"/>
      <c r="Z17" s="90"/>
      <c r="AF17" s="105"/>
      <c r="AK17" s="105"/>
    </row>
    <row r="18" s="131" customFormat="true" ht="27" hidden="false" customHeight="true" outlineLevel="0" collapsed="false">
      <c r="A18" s="91" t="s">
        <v>77</v>
      </c>
      <c r="B18" s="91"/>
      <c r="C18" s="91"/>
      <c r="D18" s="91"/>
      <c r="E18" s="91"/>
      <c r="F18" s="91"/>
      <c r="I18" s="132" t="s">
        <v>78</v>
      </c>
      <c r="J18" s="132"/>
      <c r="K18" s="132"/>
      <c r="L18" s="132"/>
      <c r="M18" s="132"/>
      <c r="N18" s="132"/>
      <c r="O18" s="132"/>
      <c r="P18" s="132"/>
      <c r="Q18" s="132"/>
      <c r="R18" s="132"/>
      <c r="S18" s="132"/>
      <c r="T18" s="132"/>
      <c r="U18" s="132"/>
      <c r="V18" s="132"/>
      <c r="W18" s="133"/>
      <c r="X18" s="133"/>
      <c r="Y18" s="133"/>
      <c r="AE18" s="75"/>
      <c r="AF18" s="105"/>
      <c r="AG18" s="75"/>
      <c r="AH18" s="75"/>
      <c r="AI18" s="75"/>
      <c r="AJ18" s="75"/>
      <c r="AK18" s="75"/>
      <c r="AL18" s="105"/>
    </row>
    <row r="19" s="78" customFormat="true" ht="28.5" hidden="false" customHeight="true" outlineLevel="0" collapsed="false">
      <c r="A19" s="101" t="s">
        <v>79</v>
      </c>
      <c r="B19" s="101" t="s">
        <v>80</v>
      </c>
      <c r="C19" s="101" t="s">
        <v>81</v>
      </c>
      <c r="D19" s="101" t="s">
        <v>82</v>
      </c>
      <c r="E19" s="101" t="s">
        <v>83</v>
      </c>
      <c r="F19" s="101" t="s">
        <v>19</v>
      </c>
      <c r="I19" s="101" t="s">
        <v>84</v>
      </c>
      <c r="J19" s="101" t="s">
        <v>85</v>
      </c>
      <c r="K19" s="101" t="s">
        <v>86</v>
      </c>
      <c r="L19" s="101" t="s">
        <v>87</v>
      </c>
      <c r="M19" s="101" t="s">
        <v>88</v>
      </c>
      <c r="N19" s="101" t="s">
        <v>89</v>
      </c>
      <c r="O19" s="101" t="s">
        <v>90</v>
      </c>
      <c r="P19" s="101" t="s">
        <v>91</v>
      </c>
      <c r="Q19" s="101" t="s">
        <v>92</v>
      </c>
      <c r="R19" s="101" t="s">
        <v>93</v>
      </c>
      <c r="S19" s="101" t="s">
        <v>94</v>
      </c>
      <c r="T19" s="101" t="s">
        <v>95</v>
      </c>
      <c r="U19" s="101" t="s">
        <v>96</v>
      </c>
      <c r="V19" s="101" t="s">
        <v>19</v>
      </c>
      <c r="W19" s="134"/>
      <c r="X19" s="135"/>
      <c r="Y19" s="135"/>
      <c r="Z19" s="136"/>
      <c r="AA19" s="137"/>
      <c r="AB19" s="138"/>
      <c r="AC19" s="138"/>
      <c r="AD19" s="138"/>
      <c r="AE19" s="139"/>
      <c r="AF19" s="138"/>
      <c r="AG19" s="138"/>
      <c r="AH19" s="138"/>
      <c r="AI19" s="138"/>
      <c r="AJ19" s="138"/>
      <c r="AK19" s="138"/>
    </row>
    <row r="20" s="78" customFormat="true" ht="18" hidden="false" customHeight="true" outlineLevel="0" collapsed="false">
      <c r="A20" s="106" t="s">
        <v>19</v>
      </c>
      <c r="B20" s="107" t="n">
        <f aca="false">SUM(B21:B23)</f>
        <v>51428</v>
      </c>
      <c r="C20" s="140" t="n">
        <f aca="false">IF(ISERROR(B20/F20),0,B20/F20)</f>
        <v>0.85271343536005</v>
      </c>
      <c r="D20" s="107" t="n">
        <f aca="false">SUM(D21:D23)</f>
        <v>8883</v>
      </c>
      <c r="E20" s="140" t="n">
        <f aca="false">IF(ISERROR(D20/F20),0,D20/F20)</f>
        <v>0.14728656463995</v>
      </c>
      <c r="F20" s="107" t="n">
        <f aca="false">B20+D20</f>
        <v>60311</v>
      </c>
      <c r="I20" s="141" t="s">
        <v>19</v>
      </c>
      <c r="J20" s="142" t="n">
        <f aca="false">SUM(J21:J22)</f>
        <v>41612</v>
      </c>
      <c r="K20" s="143" t="n">
        <f aca="false">SUM(K21:K22)</f>
        <v>38401</v>
      </c>
      <c r="L20" s="142" t="n">
        <f aca="false">SUM(L21:L22)</f>
        <v>42116</v>
      </c>
      <c r="M20" s="142" t="n">
        <f aca="false">SUM(M21:M22)</f>
        <v>39678</v>
      </c>
      <c r="N20" s="142" t="n">
        <f aca="false">SUM(N21:N22)</f>
        <v>31864</v>
      </c>
      <c r="O20" s="142" t="n">
        <f aca="false">SUM(O21:O22)</f>
        <v>32531</v>
      </c>
      <c r="P20" s="142" t="n">
        <f aca="false">SUM(P21:P22)</f>
        <v>4152</v>
      </c>
      <c r="Q20" s="142" t="n">
        <f aca="false">SUM(Q21:Q22)</f>
        <v>0</v>
      </c>
      <c r="R20" s="142" t="n">
        <f aca="false">SUM(R21:R22)</f>
        <v>0</v>
      </c>
      <c r="S20" s="142" t="n">
        <f aca="false">SUM(S21:S22)</f>
        <v>0</v>
      </c>
      <c r="T20" s="142" t="n">
        <f aca="false">SUM(T21:T22)</f>
        <v>0</v>
      </c>
      <c r="U20" s="142" t="n">
        <f aca="false">SUM(U21:U22)</f>
        <v>0</v>
      </c>
      <c r="V20" s="144" t="n">
        <f aca="false">SUM(J20:U20)</f>
        <v>230354</v>
      </c>
      <c r="W20" s="134"/>
      <c r="X20" s="134"/>
      <c r="Y20" s="135"/>
      <c r="Z20" s="135"/>
      <c r="AA20" s="138"/>
      <c r="AB20" s="138"/>
      <c r="AC20" s="138"/>
      <c r="AD20" s="138"/>
      <c r="AE20" s="139"/>
      <c r="AF20" s="138"/>
      <c r="AG20" s="138"/>
    </row>
    <row r="21" s="78" customFormat="true" ht="15" hidden="false" customHeight="true" outlineLevel="0" collapsed="false">
      <c r="A21" s="115" t="s">
        <v>97</v>
      </c>
      <c r="B21" s="145" t="n">
        <v>16601</v>
      </c>
      <c r="C21" s="146" t="n">
        <f aca="false">IF(ISERROR(B21/F21),0,B21/F21)</f>
        <v>0.943828529194383</v>
      </c>
      <c r="D21" s="145" t="n">
        <v>988</v>
      </c>
      <c r="E21" s="146" t="n">
        <f aca="false">IF(ISERROR(D21/F21),0,D21/F21)</f>
        <v>0.0561714708056172</v>
      </c>
      <c r="F21" s="120" t="n">
        <f aca="false">B21+D21</f>
        <v>17589</v>
      </c>
      <c r="I21" s="120" t="s">
        <v>82</v>
      </c>
      <c r="J21" s="147" t="n">
        <v>4990</v>
      </c>
      <c r="K21" s="147" t="n">
        <v>3924</v>
      </c>
      <c r="L21" s="147" t="n">
        <v>4288</v>
      </c>
      <c r="M21" s="147" t="n">
        <v>3595</v>
      </c>
      <c r="N21" s="147" t="n">
        <v>3166</v>
      </c>
      <c r="O21" s="147" t="n">
        <v>2925</v>
      </c>
      <c r="P21" s="147" t="n">
        <v>431</v>
      </c>
      <c r="Q21" s="147"/>
      <c r="R21" s="147"/>
      <c r="S21" s="147"/>
      <c r="T21" s="147"/>
      <c r="U21" s="147"/>
      <c r="V21" s="148" t="n">
        <f aca="false">SUM(J21:U21)</f>
        <v>23319</v>
      </c>
      <c r="W21" s="134"/>
      <c r="X21" s="149"/>
      <c r="Y21" s="149"/>
      <c r="Z21" s="135"/>
      <c r="AA21" s="138"/>
      <c r="AB21" s="139"/>
      <c r="AC21" s="139"/>
      <c r="AD21" s="139"/>
      <c r="AE21" s="139"/>
      <c r="AF21" s="139"/>
      <c r="AG21" s="139"/>
      <c r="AH21" s="139"/>
      <c r="AI21" s="139"/>
      <c r="AJ21" s="139"/>
      <c r="AK21" s="139"/>
      <c r="AL21" s="139"/>
    </row>
    <row r="22" s="78" customFormat="true" ht="15" hidden="false" customHeight="true" outlineLevel="0" collapsed="false">
      <c r="A22" s="122" t="s">
        <v>98</v>
      </c>
      <c r="B22" s="150" t="n">
        <v>16798</v>
      </c>
      <c r="C22" s="151" t="n">
        <f aca="false">IF(ISERROR(B22/F22),0,B22/F22)</f>
        <v>0.896802092787358</v>
      </c>
      <c r="D22" s="150" t="n">
        <v>1933</v>
      </c>
      <c r="E22" s="151" t="n">
        <f aca="false">IF(ISERROR(D22/F22),0,D22/F22)</f>
        <v>0.103197907212642</v>
      </c>
      <c r="F22" s="124" t="n">
        <f aca="false">B22+D22</f>
        <v>18731</v>
      </c>
      <c r="I22" s="124" t="s">
        <v>99</v>
      </c>
      <c r="J22" s="152" t="n">
        <v>36622</v>
      </c>
      <c r="K22" s="147" t="n">
        <v>34477</v>
      </c>
      <c r="L22" s="147" t="n">
        <v>37828</v>
      </c>
      <c r="M22" s="147" t="n">
        <v>36083</v>
      </c>
      <c r="N22" s="147" t="n">
        <v>28698</v>
      </c>
      <c r="O22" s="147" t="n">
        <v>29606</v>
      </c>
      <c r="P22" s="147" t="n">
        <v>3721</v>
      </c>
      <c r="Q22" s="147"/>
      <c r="R22" s="147"/>
      <c r="S22" s="147"/>
      <c r="T22" s="147"/>
      <c r="U22" s="147"/>
      <c r="V22" s="153" t="n">
        <f aca="false">SUM(J22:U22)</f>
        <v>207035</v>
      </c>
      <c r="W22" s="134"/>
      <c r="X22" s="149"/>
      <c r="Y22" s="149"/>
      <c r="Z22" s="149"/>
      <c r="AA22" s="139"/>
      <c r="AB22" s="139"/>
      <c r="AC22" s="139"/>
      <c r="AD22" s="139"/>
      <c r="AE22" s="139"/>
      <c r="AF22" s="139"/>
      <c r="AG22" s="139"/>
      <c r="AH22" s="139"/>
      <c r="AI22" s="139"/>
      <c r="AJ22" s="139"/>
      <c r="AK22" s="139"/>
      <c r="AL22" s="139"/>
    </row>
    <row r="23" s="78" customFormat="true" ht="15" hidden="false" customHeight="true" outlineLevel="0" collapsed="false">
      <c r="A23" s="122" t="s">
        <v>100</v>
      </c>
      <c r="B23" s="150" t="n">
        <v>18029</v>
      </c>
      <c r="C23" s="151" t="n">
        <f aca="false">IF(ISERROR(B23/F23),0,B23/F23)</f>
        <v>0.751490142136635</v>
      </c>
      <c r="D23" s="150" t="n">
        <v>5962</v>
      </c>
      <c r="E23" s="151" t="n">
        <f aca="false">IF(ISERROR(D23/F23),0,D23/F23)</f>
        <v>0.248509857863365</v>
      </c>
      <c r="F23" s="124" t="n">
        <f aca="false">B23+D23</f>
        <v>23991</v>
      </c>
      <c r="T23" s="90"/>
      <c r="U23" s="90"/>
      <c r="V23" s="154"/>
      <c r="W23" s="134"/>
      <c r="X23" s="149"/>
      <c r="Y23" s="149"/>
      <c r="Z23" s="149"/>
      <c r="AA23" s="139"/>
      <c r="AB23" s="139"/>
      <c r="AC23" s="139"/>
      <c r="AD23" s="139"/>
      <c r="AE23" s="139"/>
      <c r="AF23" s="139"/>
      <c r="AG23" s="139"/>
      <c r="AH23" s="139"/>
      <c r="AI23" s="139"/>
      <c r="AJ23" s="139"/>
      <c r="AK23" s="139"/>
      <c r="AL23" s="139"/>
    </row>
    <row r="24" s="78" customFormat="true" ht="14.25" hidden="false" customHeight="false" outlineLevel="0" collapsed="false">
      <c r="A24" s="155"/>
      <c r="T24" s="90"/>
      <c r="U24" s="90"/>
      <c r="V24" s="154"/>
      <c r="W24" s="134"/>
      <c r="X24" s="134"/>
      <c r="Y24" s="149"/>
      <c r="Z24" s="149"/>
      <c r="AA24" s="139"/>
      <c r="AB24" s="139"/>
      <c r="AC24" s="139"/>
      <c r="AD24" s="139"/>
      <c r="AE24" s="139"/>
      <c r="AF24" s="139"/>
      <c r="AG24" s="139"/>
      <c r="AH24" s="139"/>
      <c r="AK24" s="139"/>
      <c r="AL24" s="139"/>
    </row>
    <row r="25" s="75" customFormat="true" ht="16.5" hidden="false" customHeight="true" outlineLevel="0" collapsed="false">
      <c r="A25" s="156"/>
      <c r="B25" s="156"/>
      <c r="C25" s="156"/>
      <c r="D25" s="156"/>
      <c r="E25" s="156"/>
      <c r="F25" s="156"/>
      <c r="G25" s="156"/>
      <c r="H25" s="156"/>
      <c r="I25" s="156"/>
      <c r="J25" s="156"/>
      <c r="K25" s="156"/>
      <c r="L25" s="156"/>
      <c r="M25" s="156"/>
      <c r="N25" s="156"/>
      <c r="O25" s="156"/>
      <c r="P25" s="156"/>
      <c r="Q25" s="156"/>
      <c r="R25" s="156"/>
      <c r="S25" s="156"/>
      <c r="T25" s="156"/>
      <c r="U25" s="156"/>
      <c r="V25" s="156"/>
      <c r="W25" s="90"/>
      <c r="X25" s="90"/>
      <c r="Y25" s="90"/>
      <c r="Z25" s="114"/>
      <c r="AA25" s="105"/>
      <c r="AB25" s="105"/>
      <c r="AC25" s="105"/>
      <c r="AD25" s="105"/>
      <c r="AE25" s="105"/>
      <c r="AF25" s="105"/>
      <c r="AG25" s="105"/>
    </row>
    <row r="26" s="78" customFormat="true" ht="14.25" hidden="false" customHeight="false" outlineLevel="0" collapsed="false">
      <c r="A26" s="155"/>
      <c r="T26" s="90"/>
      <c r="U26" s="90"/>
      <c r="V26" s="154"/>
      <c r="W26" s="134"/>
      <c r="X26" s="134"/>
      <c r="Y26" s="134"/>
      <c r="Z26" s="149"/>
      <c r="AA26" s="139"/>
      <c r="AB26" s="139"/>
      <c r="AC26" s="139"/>
      <c r="AG26" s="139"/>
    </row>
    <row r="27" s="75" customFormat="true" ht="21" hidden="false" customHeight="true" outlineLevel="0" collapsed="false">
      <c r="A27" s="157" t="s">
        <v>101</v>
      </c>
      <c r="B27" s="157"/>
      <c r="C27" s="157"/>
      <c r="D27" s="157"/>
      <c r="E27" s="157"/>
      <c r="F27" s="158"/>
      <c r="H27" s="159" t="s">
        <v>102</v>
      </c>
      <c r="I27" s="159"/>
      <c r="J27" s="159"/>
      <c r="K27" s="159"/>
      <c r="L27" s="159"/>
      <c r="M27" s="158"/>
      <c r="N27" s="159" t="s">
        <v>103</v>
      </c>
      <c r="O27" s="159"/>
      <c r="P27" s="159"/>
      <c r="Q27" s="159"/>
      <c r="R27" s="159"/>
      <c r="S27" s="158"/>
      <c r="V27" s="160"/>
      <c r="W27" s="161"/>
      <c r="X27" s="162"/>
      <c r="Y27" s="162"/>
      <c r="Z27" s="162"/>
      <c r="AA27" s="163"/>
      <c r="AB27" s="163"/>
      <c r="AC27" s="163"/>
      <c r="AD27" s="163"/>
      <c r="AE27" s="105"/>
      <c r="AF27" s="105"/>
      <c r="AG27" s="105"/>
      <c r="AH27" s="163"/>
      <c r="AI27" s="163"/>
    </row>
    <row r="28" s="78" customFormat="true" ht="37.5" hidden="false" customHeight="true" outlineLevel="0" collapsed="false">
      <c r="A28" s="101" t="s">
        <v>104</v>
      </c>
      <c r="B28" s="101" t="s">
        <v>97</v>
      </c>
      <c r="C28" s="101" t="s">
        <v>98</v>
      </c>
      <c r="D28" s="101" t="s">
        <v>100</v>
      </c>
      <c r="E28" s="101" t="s">
        <v>19</v>
      </c>
      <c r="H28" s="101" t="s">
        <v>104</v>
      </c>
      <c r="I28" s="101"/>
      <c r="J28" s="104" t="s">
        <v>19</v>
      </c>
      <c r="K28" s="90"/>
      <c r="L28" s="90"/>
      <c r="M28" s="90"/>
      <c r="N28" s="164" t="s">
        <v>105</v>
      </c>
      <c r="O28" s="164"/>
      <c r="P28" s="165" t="s">
        <v>19</v>
      </c>
      <c r="U28" s="90"/>
      <c r="V28" s="166"/>
      <c r="W28" s="134"/>
      <c r="X28" s="134"/>
      <c r="Y28" s="134"/>
      <c r="Z28" s="139"/>
      <c r="AD28" s="139"/>
      <c r="AE28" s="139"/>
      <c r="AF28" s="139"/>
      <c r="AG28" s="139"/>
    </row>
    <row r="29" s="78" customFormat="true" ht="15" hidden="false" customHeight="true" outlineLevel="0" collapsed="false">
      <c r="A29" s="106" t="s">
        <v>19</v>
      </c>
      <c r="B29" s="107" t="n">
        <f aca="false">SUM(B30:B31)</f>
        <v>66524</v>
      </c>
      <c r="C29" s="107" t="n">
        <f aca="false">SUM(C30:C31)</f>
        <v>68417</v>
      </c>
      <c r="D29" s="107" t="n">
        <f aca="false">SUM(D30:D31)</f>
        <v>95413</v>
      </c>
      <c r="E29" s="143" t="n">
        <f aca="false">SUM(B29:D29)</f>
        <v>230354</v>
      </c>
      <c r="H29" s="112" t="s">
        <v>19</v>
      </c>
      <c r="I29" s="112"/>
      <c r="J29" s="167" t="n">
        <f aca="false">SUM(J30:J31)</f>
        <v>227695</v>
      </c>
      <c r="K29" s="90"/>
      <c r="L29" s="90"/>
      <c r="M29" s="90"/>
      <c r="N29" s="168" t="s">
        <v>19</v>
      </c>
      <c r="O29" s="168"/>
      <c r="P29" s="169" t="n">
        <v>234236</v>
      </c>
      <c r="U29" s="114"/>
      <c r="V29" s="170"/>
      <c r="W29" s="134"/>
      <c r="X29" s="149"/>
      <c r="Y29" s="149"/>
      <c r="Z29" s="139"/>
      <c r="AA29" s="139"/>
      <c r="AB29" s="139"/>
      <c r="AC29" s="139"/>
      <c r="AD29" s="139"/>
      <c r="AE29" s="139"/>
      <c r="AF29" s="139"/>
      <c r="AG29" s="139"/>
      <c r="AH29" s="139"/>
      <c r="AI29" s="139"/>
      <c r="AJ29" s="139"/>
    </row>
    <row r="30" s="78" customFormat="true" ht="14.25" hidden="false" customHeight="true" outlineLevel="0" collapsed="false">
      <c r="A30" s="115" t="s">
        <v>67</v>
      </c>
      <c r="B30" s="145" t="n">
        <v>0</v>
      </c>
      <c r="C30" s="145" t="n">
        <v>3</v>
      </c>
      <c r="D30" s="145" t="n">
        <v>40</v>
      </c>
      <c r="E30" s="120" t="n">
        <f aca="false">SUM(B30:D30)</f>
        <v>43</v>
      </c>
      <c r="F30" s="75"/>
      <c r="G30" s="75"/>
      <c r="H30" s="171" t="s">
        <v>67</v>
      </c>
      <c r="I30" s="171"/>
      <c r="J30" s="121" t="n">
        <v>1423</v>
      </c>
      <c r="K30" s="90"/>
      <c r="L30" s="90"/>
      <c r="M30" s="90"/>
      <c r="N30" s="124" t="s">
        <v>106</v>
      </c>
      <c r="O30" s="124"/>
      <c r="P30" s="125" t="n">
        <v>23658</v>
      </c>
      <c r="R30" s="90"/>
      <c r="U30" s="114"/>
      <c r="V30" s="170"/>
      <c r="W30" s="134"/>
      <c r="X30" s="149"/>
      <c r="Y30" s="149"/>
      <c r="Z30" s="139"/>
      <c r="AA30" s="139"/>
      <c r="AB30" s="139"/>
      <c r="AC30" s="139"/>
      <c r="AD30" s="139"/>
      <c r="AE30" s="139"/>
      <c r="AF30" s="139"/>
      <c r="AG30" s="139"/>
      <c r="AH30" s="139"/>
      <c r="AI30" s="139"/>
      <c r="AJ30" s="139"/>
    </row>
    <row r="31" s="78" customFormat="true" ht="14.25" hidden="false" customHeight="true" outlineLevel="0" collapsed="false">
      <c r="A31" s="122" t="s">
        <v>68</v>
      </c>
      <c r="B31" s="150" t="n">
        <v>66524</v>
      </c>
      <c r="C31" s="150" t="n">
        <v>68414</v>
      </c>
      <c r="D31" s="150" t="n">
        <v>95373</v>
      </c>
      <c r="E31" s="120" t="n">
        <f aca="false">SUM(B31:D31)</f>
        <v>230311</v>
      </c>
      <c r="F31" s="75"/>
      <c r="G31" s="75"/>
      <c r="H31" s="124" t="s">
        <v>68</v>
      </c>
      <c r="I31" s="124"/>
      <c r="J31" s="125" t="n">
        <v>226272</v>
      </c>
      <c r="K31" s="90"/>
      <c r="L31" s="90"/>
      <c r="M31" s="90"/>
      <c r="N31" s="129"/>
      <c r="O31" s="129"/>
      <c r="P31" s="172"/>
      <c r="R31" s="90"/>
      <c r="U31" s="114"/>
      <c r="V31" s="170"/>
      <c r="W31" s="134"/>
      <c r="X31" s="149"/>
      <c r="Y31" s="149"/>
      <c r="Z31" s="139"/>
      <c r="AA31" s="139"/>
      <c r="AB31" s="139"/>
      <c r="AC31" s="139"/>
      <c r="AD31" s="139"/>
      <c r="AE31" s="139"/>
      <c r="AF31" s="139"/>
      <c r="AG31" s="139"/>
      <c r="AH31" s="139"/>
      <c r="AI31" s="139"/>
      <c r="AJ31" s="139"/>
    </row>
    <row r="32" s="78" customFormat="true" ht="14.25" hidden="false" customHeight="false" outlineLevel="0" collapsed="false">
      <c r="A32" s="155"/>
      <c r="F32" s="75"/>
      <c r="G32" s="75"/>
      <c r="H32" s="75"/>
      <c r="K32" s="75"/>
      <c r="L32" s="90"/>
      <c r="M32" s="90"/>
      <c r="N32" s="90"/>
      <c r="O32" s="90"/>
      <c r="P32" s="90"/>
      <c r="Q32" s="90"/>
      <c r="R32" s="90"/>
      <c r="S32" s="90"/>
      <c r="T32" s="90"/>
      <c r="U32" s="114"/>
      <c r="V32" s="154"/>
      <c r="W32" s="134"/>
      <c r="X32" s="149"/>
      <c r="Y32" s="149"/>
      <c r="Z32" s="149"/>
      <c r="AA32" s="139"/>
      <c r="AB32" s="139"/>
      <c r="AC32" s="139"/>
      <c r="AD32" s="139"/>
      <c r="AE32" s="139"/>
      <c r="AF32" s="139"/>
      <c r="AG32" s="139"/>
    </row>
    <row r="33" s="75" customFormat="true" ht="16.5" hidden="false" customHeight="true" outlineLevel="0" collapsed="false">
      <c r="A33" s="156"/>
      <c r="B33" s="156"/>
      <c r="C33" s="156"/>
      <c r="D33" s="156"/>
      <c r="E33" s="156"/>
      <c r="F33" s="156"/>
      <c r="G33" s="156"/>
      <c r="H33" s="156"/>
      <c r="I33" s="156"/>
      <c r="J33" s="156"/>
      <c r="K33" s="156"/>
      <c r="L33" s="156"/>
      <c r="M33" s="156"/>
      <c r="N33" s="156"/>
      <c r="O33" s="156"/>
      <c r="P33" s="156"/>
      <c r="Q33" s="156"/>
      <c r="R33" s="156"/>
      <c r="S33" s="156"/>
      <c r="T33" s="156"/>
      <c r="U33" s="156"/>
      <c r="V33" s="156"/>
      <c r="W33" s="90"/>
      <c r="X33" s="90"/>
      <c r="Y33" s="90"/>
      <c r="Z33" s="114"/>
      <c r="AA33" s="105"/>
      <c r="AB33" s="105"/>
      <c r="AC33" s="105"/>
      <c r="AD33" s="105"/>
      <c r="AE33" s="105"/>
      <c r="AF33" s="105"/>
      <c r="AG33" s="105"/>
    </row>
    <row r="34" s="78" customFormat="true" ht="14.25" hidden="false" customHeight="false" outlineLevel="0" collapsed="false">
      <c r="A34" s="155"/>
      <c r="F34" s="75"/>
      <c r="G34" s="75"/>
      <c r="H34" s="75"/>
      <c r="I34" s="139"/>
      <c r="K34" s="75"/>
      <c r="L34" s="90"/>
      <c r="M34" s="90"/>
      <c r="N34" s="90"/>
      <c r="O34" s="90"/>
      <c r="P34" s="90"/>
      <c r="Q34" s="90"/>
      <c r="R34" s="90"/>
      <c r="S34" s="90"/>
      <c r="T34" s="90"/>
      <c r="U34" s="90"/>
      <c r="V34" s="173"/>
      <c r="W34" s="134"/>
      <c r="X34" s="134"/>
      <c r="Y34" s="134"/>
      <c r="Z34" s="149"/>
      <c r="AA34" s="139"/>
      <c r="AB34" s="139"/>
      <c r="AC34" s="139"/>
      <c r="AD34" s="139"/>
      <c r="AE34" s="139"/>
    </row>
    <row r="35" s="78" customFormat="true" ht="14.25" hidden="false" customHeight="false" outlineLevel="0" collapsed="false">
      <c r="A35" s="155"/>
      <c r="F35" s="75"/>
      <c r="G35" s="75"/>
      <c r="H35" s="75"/>
      <c r="I35" s="138"/>
      <c r="J35" s="138"/>
      <c r="K35" s="163"/>
      <c r="L35" s="174"/>
      <c r="M35" s="174"/>
      <c r="N35" s="174"/>
      <c r="O35" s="174"/>
      <c r="P35" s="174"/>
      <c r="Q35" s="174"/>
      <c r="R35" s="174"/>
      <c r="S35" s="174"/>
      <c r="T35" s="90"/>
      <c r="U35" s="90"/>
      <c r="V35" s="154"/>
      <c r="W35" s="134"/>
      <c r="X35" s="134"/>
      <c r="Y35" s="134"/>
      <c r="Z35" s="149"/>
      <c r="AB35" s="139"/>
      <c r="AC35" s="139"/>
      <c r="AE35" s="139"/>
    </row>
    <row r="36" s="78" customFormat="true" ht="22.5" hidden="false" customHeight="true" outlineLevel="0" collapsed="false">
      <c r="A36" s="175" t="s">
        <v>107</v>
      </c>
      <c r="B36" s="175"/>
      <c r="C36" s="175"/>
      <c r="D36" s="175"/>
      <c r="E36" s="175"/>
      <c r="F36" s="158"/>
      <c r="G36" s="75"/>
      <c r="H36" s="75"/>
      <c r="I36" s="75"/>
      <c r="J36" s="75"/>
      <c r="K36" s="75"/>
      <c r="L36" s="75"/>
      <c r="M36" s="75"/>
      <c r="N36" s="75"/>
      <c r="O36" s="75"/>
      <c r="P36" s="75"/>
      <c r="Q36" s="75"/>
      <c r="R36" s="105"/>
      <c r="S36" s="75"/>
      <c r="T36" s="75"/>
      <c r="U36" s="75"/>
      <c r="V36" s="176"/>
      <c r="W36" s="134"/>
      <c r="X36" s="134"/>
      <c r="Y36" s="134"/>
      <c r="Z36" s="149"/>
      <c r="AB36" s="139"/>
      <c r="AC36" s="139"/>
      <c r="AE36" s="139"/>
    </row>
    <row r="37" s="78" customFormat="true" ht="38.25" hidden="false" customHeight="true" outlineLevel="0" collapsed="false">
      <c r="A37" s="177" t="s">
        <v>108</v>
      </c>
      <c r="B37" s="101" t="s">
        <v>79</v>
      </c>
      <c r="C37" s="101" t="s">
        <v>85</v>
      </c>
      <c r="D37" s="101" t="s">
        <v>86</v>
      </c>
      <c r="E37" s="101" t="s">
        <v>87</v>
      </c>
      <c r="F37" s="101" t="s">
        <v>88</v>
      </c>
      <c r="G37" s="101" t="s">
        <v>89</v>
      </c>
      <c r="H37" s="101" t="s">
        <v>90</v>
      </c>
      <c r="I37" s="101" t="s">
        <v>91</v>
      </c>
      <c r="J37" s="101" t="s">
        <v>92</v>
      </c>
      <c r="K37" s="101" t="s">
        <v>93</v>
      </c>
      <c r="L37" s="101" t="s">
        <v>94</v>
      </c>
      <c r="M37" s="101" t="s">
        <v>95</v>
      </c>
      <c r="N37" s="101" t="s">
        <v>96</v>
      </c>
      <c r="O37" s="101" t="s">
        <v>19</v>
      </c>
      <c r="P37" s="75"/>
      <c r="Q37" s="75"/>
      <c r="R37" s="105"/>
      <c r="S37" s="75"/>
      <c r="T37" s="75"/>
      <c r="U37" s="75"/>
      <c r="V37" s="176"/>
      <c r="W37" s="75"/>
      <c r="X37" s="75"/>
      <c r="Y37" s="75"/>
      <c r="Z37" s="75"/>
      <c r="AA37" s="75"/>
      <c r="AB37" s="75"/>
      <c r="AC37" s="75"/>
      <c r="AD37" s="134"/>
      <c r="AE37" s="134"/>
      <c r="AI37" s="139"/>
      <c r="AJ37" s="139"/>
      <c r="AL37" s="139"/>
    </row>
    <row r="38" s="78" customFormat="true" ht="15.75" hidden="false" customHeight="true" outlineLevel="0" collapsed="false">
      <c r="A38" s="178" t="s">
        <v>19</v>
      </c>
      <c r="B38" s="107"/>
      <c r="C38" s="179" t="n">
        <f aca="false">SUM(C39,C55,C59,C63,C67,C71,C75,C79,C83,C87,C51)</f>
        <v>37537</v>
      </c>
      <c r="D38" s="179" t="n">
        <f aca="false">SUM(D39,D55,D59,D63,D67,D71,D75,D79,D83,D87,D51)</f>
        <v>36448</v>
      </c>
      <c r="E38" s="179" t="n">
        <f aca="false">SUM(E39,E55,E59,E63,E67,E71,E75,E79,E83,E87,E51)</f>
        <v>38736</v>
      </c>
      <c r="F38" s="179" t="n">
        <f aca="false">SUM(F39,F55,F59,F63,F67,F71,F75,F79,F83,F87,F51)</f>
        <v>37397</v>
      </c>
      <c r="G38" s="179" t="n">
        <f aca="false">SUM(G39,G55,G59,G63,G67,G71,G75,G79,G83,G87,G51)</f>
        <v>36630</v>
      </c>
      <c r="H38" s="179" t="n">
        <f aca="false">SUM(H39,H55,H59,H63,H67,H71,H75,H79,H83,H87,H51)</f>
        <v>36837</v>
      </c>
      <c r="I38" s="179" t="n">
        <f aca="false">SUM(I39,I55,I59,I63,I67,I71,I75,I79,I83,I87,I51)</f>
        <v>4110</v>
      </c>
      <c r="J38" s="179" t="n">
        <f aca="false">SUM(J39,J55,J59,J63,J67,J71,J75,J79,J83,J87,J51)</f>
        <v>0</v>
      </c>
      <c r="K38" s="179" t="n">
        <f aca="false">SUM(K39,K55,K59,K63,K67,K71,K75,K79,K83,K87,K51)</f>
        <v>0</v>
      </c>
      <c r="L38" s="179" t="n">
        <f aca="false">SUM(L39,L55,L59,L63,L67,L71,L75,L79,L83,L87,L51)</f>
        <v>0</v>
      </c>
      <c r="M38" s="179" t="n">
        <f aca="false">SUM(M39,M55,M59,M63,M67,M71,M75,M79,M83,M87,M51)</f>
        <v>0</v>
      </c>
      <c r="N38" s="179" t="n">
        <f aca="false">SUM(N39,N55,N59,N63,N67,N71,N75,N79,N83,N87,N51)</f>
        <v>0</v>
      </c>
      <c r="O38" s="180" t="n">
        <f aca="false">SUM(C38:N38)</f>
        <v>227695</v>
      </c>
      <c r="P38" s="75"/>
      <c r="Q38" s="75"/>
      <c r="R38" s="105"/>
      <c r="S38" s="75"/>
      <c r="T38" s="75"/>
      <c r="U38" s="105"/>
      <c r="V38" s="181"/>
      <c r="W38" s="105"/>
      <c r="X38" s="105"/>
      <c r="Y38" s="105"/>
      <c r="Z38" s="105"/>
      <c r="AA38" s="105"/>
      <c r="AB38" s="105"/>
      <c r="AC38" s="105"/>
      <c r="AD38" s="149"/>
      <c r="AE38" s="149"/>
      <c r="AF38" s="139"/>
      <c r="AG38" s="139"/>
      <c r="AH38" s="139"/>
      <c r="AI38" s="139"/>
      <c r="AJ38" s="139"/>
      <c r="AL38" s="139"/>
      <c r="AP38" s="139"/>
      <c r="AQ38" s="139"/>
      <c r="AR38" s="139"/>
      <c r="AS38" s="139"/>
    </row>
    <row r="39" s="78" customFormat="true" ht="15" hidden="false" customHeight="true" outlineLevel="0" collapsed="false">
      <c r="A39" s="182" t="s">
        <v>109</v>
      </c>
      <c r="B39" s="182" t="s">
        <v>19</v>
      </c>
      <c r="C39" s="183" t="n">
        <f aca="false">SUM(C40:C42)</f>
        <v>1086</v>
      </c>
      <c r="D39" s="183" t="n">
        <f aca="false">SUM(D40:D42)</f>
        <v>1269</v>
      </c>
      <c r="E39" s="183" t="n">
        <f aca="false">SUM(E40:E42)</f>
        <v>2072</v>
      </c>
      <c r="F39" s="183" t="n">
        <f aca="false">SUM(F40:F42)</f>
        <v>2297</v>
      </c>
      <c r="G39" s="183" t="n">
        <f aca="false">SUM(G40:G42)</f>
        <v>2018</v>
      </c>
      <c r="H39" s="183" t="n">
        <f aca="false">SUM(H40:H42)</f>
        <v>2111</v>
      </c>
      <c r="I39" s="183" t="n">
        <f aca="false">SUM(I40:I42)</f>
        <v>215</v>
      </c>
      <c r="J39" s="183" t="n">
        <f aca="false">SUM(J40:J42)</f>
        <v>0</v>
      </c>
      <c r="K39" s="183" t="n">
        <f aca="false">SUM(K40:K42)</f>
        <v>0</v>
      </c>
      <c r="L39" s="183" t="n">
        <f aca="false">SUM(L40:L42)</f>
        <v>0</v>
      </c>
      <c r="M39" s="183" t="n">
        <f aca="false">SUM(M40:M42)</f>
        <v>0</v>
      </c>
      <c r="N39" s="183" t="n">
        <f aca="false">SUM(N40:N42)</f>
        <v>0</v>
      </c>
      <c r="O39" s="183" t="n">
        <f aca="false">SUM(C39:N39)</f>
        <v>11068</v>
      </c>
      <c r="P39" s="184"/>
      <c r="Q39" s="184"/>
      <c r="R39" s="105"/>
      <c r="S39" s="105"/>
      <c r="T39" s="105"/>
      <c r="U39" s="105"/>
      <c r="V39" s="181"/>
      <c r="W39" s="105"/>
      <c r="X39" s="105"/>
      <c r="Y39" s="105"/>
      <c r="Z39" s="105"/>
      <c r="AA39" s="105"/>
      <c r="AB39" s="105"/>
      <c r="AC39" s="105"/>
      <c r="AD39" s="149"/>
      <c r="AE39" s="149"/>
      <c r="AF39" s="139"/>
      <c r="AG39" s="139"/>
      <c r="AH39" s="139"/>
      <c r="AI39" s="139"/>
      <c r="AS39" s="139"/>
    </row>
    <row r="40" s="78" customFormat="true" ht="15" hidden="false" customHeight="true" outlineLevel="0" collapsed="false">
      <c r="A40" s="124"/>
      <c r="B40" s="124" t="s">
        <v>97</v>
      </c>
      <c r="C40" s="185" t="n">
        <v>116</v>
      </c>
      <c r="D40" s="185" t="n">
        <v>149</v>
      </c>
      <c r="E40" s="185" t="n">
        <v>237</v>
      </c>
      <c r="F40" s="185" t="n">
        <v>248</v>
      </c>
      <c r="G40" s="185" t="n">
        <v>219</v>
      </c>
      <c r="H40" s="185" t="n">
        <v>190</v>
      </c>
      <c r="I40" s="185" t="n">
        <v>24</v>
      </c>
      <c r="J40" s="185"/>
      <c r="K40" s="185"/>
      <c r="L40" s="186"/>
      <c r="M40" s="186"/>
      <c r="N40" s="186"/>
      <c r="O40" s="187" t="n">
        <f aca="false">O44+O48</f>
        <v>1183</v>
      </c>
      <c r="P40" s="75"/>
      <c r="Q40" s="75"/>
      <c r="R40" s="105"/>
      <c r="S40" s="75"/>
      <c r="T40" s="75"/>
      <c r="U40" s="105"/>
      <c r="V40" s="181"/>
      <c r="W40" s="75"/>
      <c r="X40" s="75"/>
      <c r="Y40" s="75"/>
      <c r="Z40" s="75"/>
      <c r="AA40" s="105"/>
      <c r="AB40" s="105"/>
      <c r="AC40" s="105"/>
      <c r="AD40" s="149"/>
      <c r="AE40" s="149"/>
      <c r="AF40" s="139"/>
      <c r="AG40" s="139"/>
      <c r="AH40" s="139"/>
      <c r="AI40" s="139"/>
      <c r="AS40" s="139"/>
    </row>
    <row r="41" s="78" customFormat="true" ht="15" hidden="false" customHeight="true" outlineLevel="0" collapsed="false">
      <c r="A41" s="124"/>
      <c r="B41" s="124" t="s">
        <v>98</v>
      </c>
      <c r="C41" s="185" t="n">
        <v>291</v>
      </c>
      <c r="D41" s="185" t="n">
        <v>366</v>
      </c>
      <c r="E41" s="185" t="n">
        <v>579</v>
      </c>
      <c r="F41" s="185" t="n">
        <v>600</v>
      </c>
      <c r="G41" s="185" t="n">
        <v>488</v>
      </c>
      <c r="H41" s="185" t="n">
        <v>615</v>
      </c>
      <c r="I41" s="185" t="n">
        <v>47</v>
      </c>
      <c r="J41" s="185"/>
      <c r="K41" s="185"/>
      <c r="L41" s="186"/>
      <c r="M41" s="186"/>
      <c r="N41" s="186"/>
      <c r="O41" s="187" t="n">
        <f aca="false">O45+O49</f>
        <v>2986</v>
      </c>
      <c r="P41" s="75"/>
      <c r="Q41" s="75"/>
      <c r="R41" s="75"/>
      <c r="S41" s="105"/>
      <c r="T41" s="105"/>
      <c r="U41" s="105"/>
      <c r="V41" s="181"/>
      <c r="W41" s="75"/>
      <c r="X41" s="75"/>
      <c r="Y41" s="75"/>
      <c r="Z41" s="75"/>
      <c r="AA41" s="75"/>
      <c r="AB41" s="105"/>
      <c r="AC41" s="75"/>
      <c r="AD41" s="149"/>
      <c r="AE41" s="134"/>
      <c r="AF41" s="139"/>
      <c r="AH41" s="139"/>
      <c r="AS41" s="139"/>
    </row>
    <row r="42" s="78" customFormat="true" ht="15" hidden="false" customHeight="true" outlineLevel="0" collapsed="false">
      <c r="A42" s="124"/>
      <c r="B42" s="124" t="s">
        <v>100</v>
      </c>
      <c r="C42" s="185" t="n">
        <v>679</v>
      </c>
      <c r="D42" s="185" t="n">
        <v>754</v>
      </c>
      <c r="E42" s="185" t="n">
        <v>1256</v>
      </c>
      <c r="F42" s="185" t="n">
        <v>1449</v>
      </c>
      <c r="G42" s="185" t="n">
        <v>1311</v>
      </c>
      <c r="H42" s="185" t="n">
        <v>1306</v>
      </c>
      <c r="I42" s="185" t="n">
        <v>144</v>
      </c>
      <c r="J42" s="185"/>
      <c r="K42" s="185"/>
      <c r="L42" s="186"/>
      <c r="M42" s="186"/>
      <c r="N42" s="186"/>
      <c r="O42" s="187" t="n">
        <f aca="false">O46+O50</f>
        <v>6899</v>
      </c>
      <c r="P42" s="75"/>
      <c r="Q42" s="75"/>
      <c r="R42" s="75"/>
      <c r="S42" s="75"/>
      <c r="T42" s="75"/>
      <c r="U42" s="105"/>
      <c r="V42" s="176"/>
      <c r="W42" s="75"/>
      <c r="X42" s="75"/>
      <c r="Y42" s="75"/>
      <c r="Z42" s="75"/>
      <c r="AA42" s="75"/>
      <c r="AB42" s="105"/>
      <c r="AC42" s="75"/>
      <c r="AD42" s="134"/>
      <c r="AE42" s="134"/>
      <c r="AS42" s="139"/>
    </row>
    <row r="43" s="78" customFormat="true" ht="14.25" hidden="false" customHeight="true" outlineLevel="0" collapsed="false">
      <c r="A43" s="188" t="s">
        <v>110</v>
      </c>
      <c r="B43" s="189" t="s">
        <v>19</v>
      </c>
      <c r="C43" s="190" t="n">
        <f aca="false">SUM(C44:C46)</f>
        <v>91</v>
      </c>
      <c r="D43" s="190" t="n">
        <f aca="false">SUM(D44:D46)</f>
        <v>104</v>
      </c>
      <c r="E43" s="190" t="n">
        <f aca="false">SUM(E44:E46)</f>
        <v>132</v>
      </c>
      <c r="F43" s="190" t="n">
        <f aca="false">SUM(F44:F46)</f>
        <v>142</v>
      </c>
      <c r="G43" s="190" t="n">
        <f aca="false">SUM(G44:G46)</f>
        <v>179</v>
      </c>
      <c r="H43" s="190" t="n">
        <f aca="false">SUM(H44:H46)</f>
        <v>79</v>
      </c>
      <c r="I43" s="190" t="n">
        <f aca="false">SUM(I44:I46)</f>
        <v>8</v>
      </c>
      <c r="J43" s="190" t="n">
        <f aca="false">SUM(J44:J46)</f>
        <v>0</v>
      </c>
      <c r="K43" s="190" t="n">
        <f aca="false">SUM(K44:K46)</f>
        <v>0</v>
      </c>
      <c r="L43" s="190" t="n">
        <f aca="false">SUM(L44:L46)</f>
        <v>0</v>
      </c>
      <c r="M43" s="190" t="n">
        <f aca="false">SUM(M44:M46)</f>
        <v>0</v>
      </c>
      <c r="N43" s="190" t="n">
        <f aca="false">SUM(N44:N46)</f>
        <v>0</v>
      </c>
      <c r="O43" s="190" t="n">
        <f aca="false">SUM(C43:N43)</f>
        <v>735</v>
      </c>
      <c r="P43" s="184"/>
      <c r="Q43" s="75"/>
      <c r="R43" s="75"/>
      <c r="S43" s="75"/>
      <c r="T43" s="75"/>
      <c r="U43" s="75"/>
      <c r="V43" s="176"/>
      <c r="W43" s="75"/>
      <c r="X43" s="75"/>
      <c r="Y43" s="75"/>
      <c r="Z43" s="75"/>
      <c r="AA43" s="75"/>
      <c r="AB43" s="105"/>
      <c r="AC43" s="75"/>
      <c r="AD43" s="134"/>
      <c r="AE43" s="134"/>
      <c r="AF43" s="139"/>
      <c r="AG43" s="139"/>
      <c r="AH43" s="139"/>
      <c r="AQ43" s="139"/>
      <c r="AR43" s="139"/>
      <c r="AS43" s="139"/>
    </row>
    <row r="44" s="78" customFormat="true" ht="14.25" hidden="false" customHeight="true" outlineLevel="0" collapsed="false">
      <c r="A44" s="191"/>
      <c r="B44" s="124" t="s">
        <v>97</v>
      </c>
      <c r="C44" s="185" t="n">
        <v>18</v>
      </c>
      <c r="D44" s="185" t="n">
        <v>18</v>
      </c>
      <c r="E44" s="185" t="n">
        <v>28</v>
      </c>
      <c r="F44" s="185" t="n">
        <v>30</v>
      </c>
      <c r="G44" s="185" t="n">
        <v>37</v>
      </c>
      <c r="H44" s="185" t="n">
        <v>14</v>
      </c>
      <c r="I44" s="185" t="n">
        <v>0</v>
      </c>
      <c r="J44" s="185"/>
      <c r="K44" s="185"/>
      <c r="L44" s="186"/>
      <c r="M44" s="186"/>
      <c r="N44" s="186"/>
      <c r="O44" s="192" t="n">
        <f aca="false">SUM(C44:N44)</f>
        <v>145</v>
      </c>
      <c r="P44" s="184"/>
      <c r="Q44" s="75"/>
      <c r="R44" s="75"/>
      <c r="S44" s="75"/>
      <c r="T44" s="75"/>
      <c r="U44" s="75"/>
      <c r="V44" s="176"/>
      <c r="W44" s="75"/>
      <c r="X44" s="75"/>
      <c r="Y44" s="75"/>
      <c r="Z44" s="75"/>
      <c r="AA44" s="75"/>
      <c r="AB44" s="105"/>
      <c r="AC44" s="105"/>
      <c r="AD44" s="134"/>
      <c r="AE44" s="149"/>
      <c r="AF44" s="139"/>
      <c r="AG44" s="139"/>
      <c r="AH44" s="139"/>
      <c r="AI44" s="139"/>
      <c r="AQ44" s="139"/>
      <c r="AR44" s="139"/>
      <c r="AS44" s="139"/>
    </row>
    <row r="45" s="78" customFormat="true" ht="14.25" hidden="false" customHeight="true" outlineLevel="0" collapsed="false">
      <c r="A45" s="191"/>
      <c r="B45" s="124" t="s">
        <v>98</v>
      </c>
      <c r="C45" s="185" t="n">
        <v>23</v>
      </c>
      <c r="D45" s="185" t="n">
        <v>27</v>
      </c>
      <c r="E45" s="185" t="n">
        <v>32</v>
      </c>
      <c r="F45" s="185" t="n">
        <v>31</v>
      </c>
      <c r="G45" s="185" t="n">
        <v>42</v>
      </c>
      <c r="H45" s="185" t="n">
        <v>26</v>
      </c>
      <c r="I45" s="185" t="n">
        <v>2</v>
      </c>
      <c r="J45" s="185"/>
      <c r="K45" s="185"/>
      <c r="L45" s="186"/>
      <c r="M45" s="186"/>
      <c r="N45" s="186"/>
      <c r="O45" s="192" t="n">
        <f aca="false">SUM(C45:N45)</f>
        <v>183</v>
      </c>
      <c r="P45" s="75"/>
      <c r="Q45" s="75"/>
      <c r="R45" s="75"/>
      <c r="S45" s="75"/>
      <c r="T45" s="75"/>
      <c r="U45" s="75"/>
      <c r="V45" s="176"/>
      <c r="W45" s="75"/>
      <c r="X45" s="75"/>
      <c r="Y45" s="75"/>
      <c r="Z45" s="75"/>
      <c r="AA45" s="75"/>
      <c r="AB45" s="105"/>
      <c r="AC45" s="75"/>
      <c r="AD45" s="149"/>
      <c r="AE45" s="134"/>
      <c r="AF45" s="139"/>
      <c r="AG45" s="139"/>
      <c r="AH45" s="139"/>
      <c r="AI45" s="139"/>
      <c r="AQ45" s="139"/>
      <c r="AR45" s="139"/>
      <c r="AS45" s="139"/>
    </row>
    <row r="46" s="78" customFormat="true" ht="14.25" hidden="false" customHeight="true" outlineLevel="0" collapsed="false">
      <c r="A46" s="191"/>
      <c r="B46" s="124" t="s">
        <v>100</v>
      </c>
      <c r="C46" s="185" t="n">
        <v>50</v>
      </c>
      <c r="D46" s="185" t="n">
        <v>59</v>
      </c>
      <c r="E46" s="185" t="n">
        <v>72</v>
      </c>
      <c r="F46" s="185" t="n">
        <v>81</v>
      </c>
      <c r="G46" s="185" t="n">
        <v>100</v>
      </c>
      <c r="H46" s="185" t="n">
        <v>39</v>
      </c>
      <c r="I46" s="185" t="n">
        <v>6</v>
      </c>
      <c r="J46" s="185"/>
      <c r="K46" s="185"/>
      <c r="L46" s="186"/>
      <c r="M46" s="186"/>
      <c r="N46" s="186"/>
      <c r="O46" s="192" t="n">
        <f aca="false">SUM(C46:N46)</f>
        <v>407</v>
      </c>
      <c r="P46" s="75"/>
      <c r="Q46" s="75"/>
      <c r="R46" s="75"/>
      <c r="S46" s="75"/>
      <c r="T46" s="75"/>
      <c r="U46" s="75"/>
      <c r="V46" s="176"/>
      <c r="W46" s="75"/>
      <c r="X46" s="75"/>
      <c r="Y46" s="75"/>
      <c r="Z46" s="75"/>
      <c r="AA46" s="75"/>
      <c r="AB46" s="105"/>
      <c r="AC46" s="75"/>
      <c r="AD46" s="149"/>
      <c r="AE46" s="134"/>
      <c r="AF46" s="139"/>
      <c r="AG46" s="139"/>
      <c r="AH46" s="139"/>
      <c r="AI46" s="139"/>
      <c r="AQ46" s="139"/>
      <c r="AR46" s="139"/>
      <c r="AS46" s="139"/>
    </row>
    <row r="47" s="78" customFormat="true" ht="14.25" hidden="false" customHeight="true" outlineLevel="0" collapsed="false">
      <c r="A47" s="188" t="s">
        <v>111</v>
      </c>
      <c r="B47" s="189" t="s">
        <v>19</v>
      </c>
      <c r="C47" s="190" t="n">
        <f aca="false">SUM(C48:C50)</f>
        <v>995</v>
      </c>
      <c r="D47" s="190" t="n">
        <f aca="false">SUM(D48:D50)</f>
        <v>1165</v>
      </c>
      <c r="E47" s="190" t="n">
        <f aca="false">SUM(E48:E50)</f>
        <v>1940</v>
      </c>
      <c r="F47" s="190" t="n">
        <f aca="false">SUM(F48:F50)</f>
        <v>2155</v>
      </c>
      <c r="G47" s="190" t="n">
        <f aca="false">SUM(G48:G50)</f>
        <v>1839</v>
      </c>
      <c r="H47" s="190" t="n">
        <f aca="false">SUM(H48:H50)</f>
        <v>2032</v>
      </c>
      <c r="I47" s="190" t="n">
        <f aca="false">SUM(I48:I50)</f>
        <v>207</v>
      </c>
      <c r="J47" s="190" t="n">
        <f aca="false">SUM(J48:J50)</f>
        <v>0</v>
      </c>
      <c r="K47" s="190" t="n">
        <f aca="false">SUM(K48:K50)</f>
        <v>0</v>
      </c>
      <c r="L47" s="190" t="n">
        <f aca="false">SUM(L48:L50)</f>
        <v>0</v>
      </c>
      <c r="M47" s="190" t="n">
        <f aca="false">SUM(M48:M50)</f>
        <v>0</v>
      </c>
      <c r="N47" s="190" t="n">
        <f aca="false">SUM(N48:N50)</f>
        <v>0</v>
      </c>
      <c r="O47" s="190" t="n">
        <f aca="false">SUM(C47:N47)</f>
        <v>10333</v>
      </c>
      <c r="P47" s="75"/>
      <c r="Q47" s="75"/>
      <c r="R47" s="75"/>
      <c r="S47" s="75"/>
      <c r="T47" s="75"/>
      <c r="U47" s="75"/>
      <c r="V47" s="176"/>
      <c r="W47" s="75"/>
      <c r="X47" s="75"/>
      <c r="Y47" s="75"/>
      <c r="Z47" s="75"/>
      <c r="AA47" s="75"/>
      <c r="AB47" s="105"/>
      <c r="AC47" s="75"/>
      <c r="AD47" s="149"/>
      <c r="AE47" s="134"/>
      <c r="AF47" s="139"/>
      <c r="AG47" s="139"/>
      <c r="AH47" s="139"/>
      <c r="AI47" s="139"/>
      <c r="AP47" s="139"/>
      <c r="AQ47" s="139"/>
      <c r="AR47" s="139"/>
      <c r="AS47" s="139"/>
    </row>
    <row r="48" s="78" customFormat="true" ht="14.25" hidden="false" customHeight="true" outlineLevel="0" collapsed="false">
      <c r="A48" s="191"/>
      <c r="B48" s="124" t="s">
        <v>97</v>
      </c>
      <c r="C48" s="185" t="n">
        <v>98</v>
      </c>
      <c r="D48" s="185" t="n">
        <v>131</v>
      </c>
      <c r="E48" s="185" t="n">
        <v>209</v>
      </c>
      <c r="F48" s="185" t="n">
        <v>218</v>
      </c>
      <c r="G48" s="185" t="n">
        <v>182</v>
      </c>
      <c r="H48" s="185" t="n">
        <v>176</v>
      </c>
      <c r="I48" s="185" t="n">
        <v>24</v>
      </c>
      <c r="J48" s="185"/>
      <c r="K48" s="185"/>
      <c r="L48" s="186"/>
      <c r="M48" s="186"/>
      <c r="N48" s="186"/>
      <c r="O48" s="192" t="n">
        <f aca="false">SUM(C48:N48)</f>
        <v>1038</v>
      </c>
      <c r="P48" s="75"/>
      <c r="Q48" s="75"/>
      <c r="R48" s="75"/>
      <c r="S48" s="75"/>
      <c r="T48" s="75"/>
      <c r="U48" s="75"/>
      <c r="V48" s="181"/>
      <c r="W48" s="105"/>
      <c r="X48" s="105"/>
      <c r="Y48" s="105"/>
      <c r="Z48" s="105"/>
      <c r="AA48" s="105"/>
      <c r="AB48" s="105"/>
      <c r="AC48" s="105"/>
      <c r="AD48" s="149"/>
      <c r="AE48" s="149"/>
      <c r="AF48" s="139"/>
      <c r="AG48" s="139"/>
      <c r="AH48" s="139"/>
      <c r="AI48" s="139"/>
      <c r="AP48" s="139"/>
      <c r="AQ48" s="139"/>
      <c r="AR48" s="139"/>
      <c r="AS48" s="139"/>
    </row>
    <row r="49" s="78" customFormat="true" ht="14.25" hidden="false" customHeight="true" outlineLevel="0" collapsed="false">
      <c r="A49" s="191"/>
      <c r="B49" s="124" t="s">
        <v>98</v>
      </c>
      <c r="C49" s="185" t="n">
        <v>268</v>
      </c>
      <c r="D49" s="185" t="n">
        <v>339</v>
      </c>
      <c r="E49" s="185" t="n">
        <v>547</v>
      </c>
      <c r="F49" s="185" t="n">
        <v>569</v>
      </c>
      <c r="G49" s="185" t="n">
        <v>446</v>
      </c>
      <c r="H49" s="185" t="n">
        <v>589</v>
      </c>
      <c r="I49" s="185" t="n">
        <v>45</v>
      </c>
      <c r="J49" s="185"/>
      <c r="K49" s="185"/>
      <c r="L49" s="186"/>
      <c r="M49" s="186"/>
      <c r="N49" s="186"/>
      <c r="O49" s="192" t="n">
        <f aca="false">SUM(C49:N49)</f>
        <v>2803</v>
      </c>
      <c r="P49" s="75"/>
      <c r="Q49" s="75"/>
      <c r="R49" s="75"/>
      <c r="S49" s="75"/>
      <c r="T49" s="75"/>
      <c r="U49" s="105"/>
      <c r="V49" s="181"/>
      <c r="W49" s="105"/>
      <c r="X49" s="105"/>
      <c r="Y49" s="105"/>
      <c r="Z49" s="105"/>
      <c r="AA49" s="105"/>
      <c r="AB49" s="105"/>
      <c r="AC49" s="105"/>
      <c r="AD49" s="149"/>
      <c r="AE49" s="149"/>
      <c r="AF49" s="139"/>
      <c r="AG49" s="139"/>
      <c r="AH49" s="139"/>
      <c r="AI49" s="139"/>
      <c r="AL49" s="139"/>
      <c r="AM49" s="139"/>
      <c r="AN49" s="139"/>
      <c r="AO49" s="139"/>
      <c r="AP49" s="139"/>
      <c r="AQ49" s="139"/>
      <c r="AR49" s="139"/>
      <c r="AS49" s="139"/>
    </row>
    <row r="50" s="78" customFormat="true" ht="14.25" hidden="false" customHeight="true" outlineLevel="0" collapsed="false">
      <c r="A50" s="191"/>
      <c r="B50" s="124" t="s">
        <v>100</v>
      </c>
      <c r="C50" s="185" t="n">
        <v>629</v>
      </c>
      <c r="D50" s="185" t="n">
        <v>695</v>
      </c>
      <c r="E50" s="185" t="n">
        <v>1184</v>
      </c>
      <c r="F50" s="185" t="n">
        <v>1368</v>
      </c>
      <c r="G50" s="185" t="n">
        <v>1211</v>
      </c>
      <c r="H50" s="185" t="n">
        <v>1267</v>
      </c>
      <c r="I50" s="185" t="n">
        <v>138</v>
      </c>
      <c r="J50" s="185"/>
      <c r="K50" s="185"/>
      <c r="L50" s="186"/>
      <c r="M50" s="186"/>
      <c r="N50" s="186"/>
      <c r="O50" s="192" t="n">
        <f aca="false">SUM(C50:N50)</f>
        <v>6492</v>
      </c>
      <c r="P50" s="75"/>
      <c r="Q50" s="75"/>
      <c r="R50" s="75"/>
      <c r="S50" s="75"/>
      <c r="T50" s="75"/>
      <c r="U50" s="75"/>
      <c r="V50" s="176"/>
      <c r="W50" s="75"/>
      <c r="X50" s="75"/>
      <c r="Y50" s="75"/>
      <c r="Z50" s="75"/>
      <c r="AA50" s="75"/>
      <c r="AB50" s="75"/>
      <c r="AC50" s="75"/>
      <c r="AD50" s="149"/>
      <c r="AE50" s="134"/>
      <c r="AF50" s="139"/>
      <c r="AG50" s="139"/>
      <c r="AH50" s="139"/>
      <c r="AI50" s="139"/>
      <c r="AP50" s="139"/>
      <c r="AQ50" s="139"/>
      <c r="AR50" s="139"/>
      <c r="AS50" s="139"/>
    </row>
    <row r="51" s="78" customFormat="true" ht="14.25" hidden="false" customHeight="true" outlineLevel="0" collapsed="false">
      <c r="A51" s="189" t="s">
        <v>112</v>
      </c>
      <c r="B51" s="189" t="s">
        <v>19</v>
      </c>
      <c r="C51" s="190" t="n">
        <f aca="false">SUM(C52:C54)</f>
        <v>46</v>
      </c>
      <c r="D51" s="190" t="n">
        <f aca="false">SUM(D52:D54)</f>
        <v>76</v>
      </c>
      <c r="E51" s="190" t="n">
        <f aca="false">SUM(E52:E54)</f>
        <v>138</v>
      </c>
      <c r="F51" s="190" t="n">
        <f aca="false">SUM(F52:F54)</f>
        <v>240</v>
      </c>
      <c r="G51" s="190" t="n">
        <f aca="false">SUM(G52:G54)</f>
        <v>354</v>
      </c>
      <c r="H51" s="190" t="n">
        <f aca="false">SUM(H52:H54)</f>
        <v>1005</v>
      </c>
      <c r="I51" s="190" t="n">
        <f aca="false">SUM(I52:I54)</f>
        <v>198</v>
      </c>
      <c r="J51" s="190" t="n">
        <f aca="false">SUM(J52:J54)</f>
        <v>0</v>
      </c>
      <c r="K51" s="190" t="n">
        <f aca="false">SUM(K52:K54)</f>
        <v>0</v>
      </c>
      <c r="L51" s="190" t="n">
        <f aca="false">SUM(L52:L54)</f>
        <v>0</v>
      </c>
      <c r="M51" s="190" t="n">
        <f aca="false">SUM(M52:M54)</f>
        <v>0</v>
      </c>
      <c r="N51" s="190" t="n">
        <f aca="false">SUM(N52:N54)</f>
        <v>0</v>
      </c>
      <c r="O51" s="190" t="n">
        <f aca="false">SUM(C51:N51)</f>
        <v>2057</v>
      </c>
      <c r="P51" s="75"/>
      <c r="Q51" s="75"/>
      <c r="R51" s="75"/>
      <c r="S51" s="75"/>
      <c r="T51" s="75"/>
      <c r="U51" s="75"/>
      <c r="V51" s="176"/>
      <c r="W51" s="75"/>
      <c r="X51" s="75"/>
      <c r="Y51" s="75"/>
      <c r="Z51" s="75"/>
      <c r="AA51" s="75"/>
      <c r="AB51" s="75"/>
      <c r="AC51" s="75"/>
      <c r="AD51" s="149"/>
      <c r="AE51" s="134"/>
      <c r="AF51" s="139"/>
      <c r="AG51" s="139"/>
      <c r="AH51" s="139"/>
      <c r="AI51" s="139"/>
      <c r="AP51" s="139"/>
      <c r="AQ51" s="139"/>
      <c r="AR51" s="139"/>
      <c r="AS51" s="139"/>
    </row>
    <row r="52" s="78" customFormat="true" ht="14.25" hidden="false" customHeight="true" outlineLevel="0" collapsed="false">
      <c r="A52" s="191"/>
      <c r="B52" s="124" t="s">
        <v>97</v>
      </c>
      <c r="C52" s="185" t="n">
        <v>10</v>
      </c>
      <c r="D52" s="185" t="n">
        <v>18</v>
      </c>
      <c r="E52" s="185" t="n">
        <v>37</v>
      </c>
      <c r="F52" s="185" t="n">
        <v>63</v>
      </c>
      <c r="G52" s="185" t="n">
        <v>85</v>
      </c>
      <c r="H52" s="185" t="n">
        <v>199</v>
      </c>
      <c r="I52" s="185" t="n">
        <v>47</v>
      </c>
      <c r="J52" s="185"/>
      <c r="K52" s="185"/>
      <c r="L52" s="186"/>
      <c r="M52" s="186"/>
      <c r="N52" s="186"/>
      <c r="O52" s="192" t="n">
        <f aca="false">SUM(C52:N52)</f>
        <v>459</v>
      </c>
      <c r="P52" s="75"/>
      <c r="Q52" s="75"/>
      <c r="R52" s="75"/>
      <c r="S52" s="75"/>
      <c r="T52" s="75"/>
      <c r="U52" s="75"/>
      <c r="V52" s="176"/>
      <c r="W52" s="75"/>
      <c r="X52" s="75"/>
      <c r="Y52" s="75"/>
      <c r="Z52" s="75"/>
      <c r="AA52" s="75"/>
      <c r="AB52" s="75"/>
      <c r="AC52" s="75"/>
      <c r="AD52" s="149"/>
      <c r="AE52" s="134"/>
      <c r="AF52" s="139"/>
      <c r="AG52" s="139"/>
      <c r="AH52" s="139"/>
      <c r="AI52" s="139"/>
      <c r="AP52" s="139"/>
      <c r="AQ52" s="139"/>
      <c r="AR52" s="139"/>
      <c r="AS52" s="139"/>
    </row>
    <row r="53" s="78" customFormat="true" ht="14.25" hidden="false" customHeight="true" outlineLevel="0" collapsed="false">
      <c r="A53" s="191"/>
      <c r="B53" s="124" t="s">
        <v>98</v>
      </c>
      <c r="C53" s="185" t="n">
        <v>9</v>
      </c>
      <c r="D53" s="185" t="n">
        <v>19</v>
      </c>
      <c r="E53" s="185" t="n">
        <v>27</v>
      </c>
      <c r="F53" s="185" t="n">
        <v>42</v>
      </c>
      <c r="G53" s="185" t="n">
        <v>67</v>
      </c>
      <c r="H53" s="185" t="n">
        <v>204</v>
      </c>
      <c r="I53" s="185" t="n">
        <v>39</v>
      </c>
      <c r="J53" s="185"/>
      <c r="K53" s="185"/>
      <c r="L53" s="186"/>
      <c r="M53" s="186"/>
      <c r="N53" s="186"/>
      <c r="O53" s="192" t="n">
        <f aca="false">SUM(C53:N53)</f>
        <v>407</v>
      </c>
      <c r="P53" s="75"/>
      <c r="Q53" s="75"/>
      <c r="R53" s="75"/>
      <c r="S53" s="75"/>
      <c r="T53" s="75"/>
      <c r="U53" s="75"/>
      <c r="V53" s="176"/>
      <c r="W53" s="75"/>
      <c r="X53" s="75"/>
      <c r="Y53" s="75"/>
      <c r="Z53" s="75"/>
      <c r="AA53" s="75"/>
      <c r="AB53" s="75"/>
      <c r="AC53" s="75"/>
      <c r="AD53" s="149"/>
      <c r="AE53" s="134"/>
      <c r="AF53" s="139"/>
      <c r="AG53" s="139"/>
      <c r="AH53" s="139"/>
      <c r="AI53" s="139"/>
      <c r="AP53" s="139"/>
      <c r="AQ53" s="139"/>
      <c r="AR53" s="139"/>
      <c r="AS53" s="139"/>
    </row>
    <row r="54" s="78" customFormat="true" ht="14.25" hidden="false" customHeight="true" outlineLevel="0" collapsed="false">
      <c r="A54" s="191"/>
      <c r="B54" s="124" t="s">
        <v>100</v>
      </c>
      <c r="C54" s="185" t="n">
        <v>27</v>
      </c>
      <c r="D54" s="185" t="n">
        <v>39</v>
      </c>
      <c r="E54" s="185" t="n">
        <v>74</v>
      </c>
      <c r="F54" s="185" t="n">
        <v>135</v>
      </c>
      <c r="G54" s="185" t="n">
        <v>202</v>
      </c>
      <c r="H54" s="185" t="n">
        <v>602</v>
      </c>
      <c r="I54" s="185" t="n">
        <v>112</v>
      </c>
      <c r="J54" s="185"/>
      <c r="K54" s="185"/>
      <c r="L54" s="186"/>
      <c r="M54" s="186"/>
      <c r="N54" s="186"/>
      <c r="O54" s="192" t="n">
        <f aca="false">SUM(C54:N54)</f>
        <v>1191</v>
      </c>
      <c r="P54" s="75"/>
      <c r="Q54" s="75"/>
      <c r="R54" s="75"/>
      <c r="S54" s="75"/>
      <c r="T54" s="75"/>
      <c r="U54" s="75"/>
      <c r="V54" s="176"/>
      <c r="W54" s="75"/>
      <c r="X54" s="75"/>
      <c r="Y54" s="75"/>
      <c r="Z54" s="75"/>
      <c r="AA54" s="75"/>
      <c r="AB54" s="75"/>
      <c r="AC54" s="75"/>
      <c r="AD54" s="149"/>
      <c r="AE54" s="134"/>
      <c r="AF54" s="139"/>
      <c r="AG54" s="139"/>
      <c r="AH54" s="139"/>
      <c r="AI54" s="139"/>
      <c r="AP54" s="139"/>
      <c r="AQ54" s="139"/>
      <c r="AR54" s="139"/>
      <c r="AS54" s="139"/>
    </row>
    <row r="55" s="78" customFormat="true" ht="14.25" hidden="false" customHeight="true" outlineLevel="0" collapsed="false">
      <c r="A55" s="189" t="s">
        <v>113</v>
      </c>
      <c r="B55" s="189" t="s">
        <v>19</v>
      </c>
      <c r="C55" s="190" t="n">
        <f aca="false">SUM(C56:C58)</f>
        <v>253</v>
      </c>
      <c r="D55" s="190" t="n">
        <f aca="false">SUM(D56:D58)</f>
        <v>293</v>
      </c>
      <c r="E55" s="190" t="n">
        <f aca="false">SUM(E56:E58)</f>
        <v>550</v>
      </c>
      <c r="F55" s="190" t="n">
        <f aca="false">SUM(F56:F58)</f>
        <v>1203</v>
      </c>
      <c r="G55" s="190" t="n">
        <f aca="false">SUM(G56:G58)</f>
        <v>1805</v>
      </c>
      <c r="H55" s="190" t="n">
        <f aca="false">SUM(H56:H58)</f>
        <v>1531</v>
      </c>
      <c r="I55" s="190" t="n">
        <f aca="false">SUM(I56:I58)</f>
        <v>209</v>
      </c>
      <c r="J55" s="190" t="n">
        <f aca="false">SUM(J56:J58)</f>
        <v>0</v>
      </c>
      <c r="K55" s="190" t="n">
        <f aca="false">SUM(K56:K58)</f>
        <v>0</v>
      </c>
      <c r="L55" s="190" t="n">
        <f aca="false">SUM(L56:L58)</f>
        <v>0</v>
      </c>
      <c r="M55" s="190" t="n">
        <f aca="false">SUM(M56:M58)</f>
        <v>0</v>
      </c>
      <c r="N55" s="190" t="n">
        <f aca="false">SUM(N56:N58)</f>
        <v>0</v>
      </c>
      <c r="O55" s="190" t="n">
        <f aca="false">SUM(C55:N55)</f>
        <v>5844</v>
      </c>
      <c r="P55" s="75"/>
      <c r="Q55" s="75"/>
      <c r="R55" s="75"/>
      <c r="S55" s="75"/>
      <c r="T55" s="75"/>
      <c r="U55" s="105"/>
      <c r="V55" s="181"/>
      <c r="W55" s="105"/>
      <c r="X55" s="105"/>
      <c r="Y55" s="105"/>
      <c r="Z55" s="105"/>
      <c r="AA55" s="105"/>
      <c r="AB55" s="105"/>
      <c r="AC55" s="105"/>
      <c r="AD55" s="149"/>
      <c r="AE55" s="149"/>
      <c r="AF55" s="139"/>
      <c r="AG55" s="139"/>
      <c r="AH55" s="139"/>
      <c r="AI55" s="139"/>
      <c r="AP55" s="139"/>
      <c r="AQ55" s="139"/>
      <c r="AR55" s="139"/>
      <c r="AS55" s="139"/>
    </row>
    <row r="56" s="78" customFormat="true" ht="14.25" hidden="false" customHeight="true" outlineLevel="0" collapsed="false">
      <c r="A56" s="124"/>
      <c r="B56" s="124" t="s">
        <v>97</v>
      </c>
      <c r="C56" s="185" t="n">
        <v>23</v>
      </c>
      <c r="D56" s="185" t="n">
        <v>49</v>
      </c>
      <c r="E56" s="185" t="n">
        <v>71</v>
      </c>
      <c r="F56" s="185" t="n">
        <v>113</v>
      </c>
      <c r="G56" s="185" t="n">
        <v>174</v>
      </c>
      <c r="H56" s="185" t="n">
        <v>143</v>
      </c>
      <c r="I56" s="185" t="n">
        <v>21</v>
      </c>
      <c r="J56" s="185"/>
      <c r="K56" s="185"/>
      <c r="L56" s="186"/>
      <c r="M56" s="186"/>
      <c r="N56" s="186"/>
      <c r="O56" s="192" t="n">
        <f aca="false">SUM(C56:N56)</f>
        <v>594</v>
      </c>
      <c r="P56" s="75"/>
      <c r="Q56" s="75"/>
      <c r="R56" s="75"/>
      <c r="S56" s="75"/>
      <c r="T56" s="75"/>
      <c r="U56" s="75"/>
      <c r="V56" s="176"/>
      <c r="W56" s="75"/>
      <c r="X56" s="105"/>
      <c r="Y56" s="105"/>
      <c r="Z56" s="105"/>
      <c r="AA56" s="105"/>
      <c r="AB56" s="105"/>
      <c r="AC56" s="105"/>
      <c r="AD56" s="149"/>
      <c r="AE56" s="149"/>
      <c r="AF56" s="139"/>
      <c r="AG56" s="139"/>
      <c r="AH56" s="139"/>
      <c r="AI56" s="139"/>
      <c r="AO56" s="139"/>
      <c r="AP56" s="139"/>
      <c r="AQ56" s="139"/>
      <c r="AR56" s="139"/>
      <c r="AS56" s="139"/>
    </row>
    <row r="57" s="78" customFormat="true" ht="14.25" hidden="false" customHeight="true" outlineLevel="0" collapsed="false">
      <c r="A57" s="124"/>
      <c r="B57" s="124" t="s">
        <v>98</v>
      </c>
      <c r="C57" s="185" t="n">
        <v>51</v>
      </c>
      <c r="D57" s="185" t="n">
        <v>56</v>
      </c>
      <c r="E57" s="185" t="n">
        <v>90</v>
      </c>
      <c r="F57" s="185" t="n">
        <v>184</v>
      </c>
      <c r="G57" s="185" t="n">
        <v>323</v>
      </c>
      <c r="H57" s="185" t="n">
        <v>307</v>
      </c>
      <c r="I57" s="185" t="n">
        <v>50</v>
      </c>
      <c r="J57" s="185"/>
      <c r="K57" s="185"/>
      <c r="L57" s="186"/>
      <c r="M57" s="186"/>
      <c r="N57" s="186"/>
      <c r="O57" s="192" t="n">
        <f aca="false">SUM(C57:N57)</f>
        <v>1061</v>
      </c>
      <c r="P57" s="75"/>
      <c r="Q57" s="75"/>
      <c r="R57" s="75"/>
      <c r="S57" s="75"/>
      <c r="T57" s="75"/>
      <c r="U57" s="75"/>
      <c r="V57" s="176"/>
      <c r="W57" s="75"/>
      <c r="X57" s="75"/>
      <c r="Y57" s="105"/>
      <c r="Z57" s="105"/>
      <c r="AA57" s="105"/>
      <c r="AB57" s="105"/>
      <c r="AC57" s="75"/>
      <c r="AD57" s="149"/>
      <c r="AE57" s="134"/>
      <c r="AF57" s="139"/>
      <c r="AG57" s="139"/>
      <c r="AH57" s="139"/>
      <c r="AI57" s="139"/>
      <c r="AP57" s="139"/>
      <c r="AQ57" s="139"/>
      <c r="AR57" s="139"/>
      <c r="AS57" s="139"/>
    </row>
    <row r="58" s="78" customFormat="true" ht="14.25" hidden="false" customHeight="true" outlineLevel="0" collapsed="false">
      <c r="A58" s="124"/>
      <c r="B58" s="124" t="s">
        <v>100</v>
      </c>
      <c r="C58" s="185" t="n">
        <v>179</v>
      </c>
      <c r="D58" s="185" t="n">
        <v>188</v>
      </c>
      <c r="E58" s="185" t="n">
        <v>389</v>
      </c>
      <c r="F58" s="185" t="n">
        <v>906</v>
      </c>
      <c r="G58" s="185" t="n">
        <v>1308</v>
      </c>
      <c r="H58" s="185" t="n">
        <v>1081</v>
      </c>
      <c r="I58" s="185" t="n">
        <v>138</v>
      </c>
      <c r="J58" s="185"/>
      <c r="K58" s="185"/>
      <c r="L58" s="186"/>
      <c r="M58" s="186"/>
      <c r="N58" s="186"/>
      <c r="O58" s="192" t="n">
        <f aca="false">SUM(C58:N58)</f>
        <v>4189</v>
      </c>
      <c r="P58" s="75"/>
      <c r="Q58" s="75"/>
      <c r="R58" s="75"/>
      <c r="S58" s="75"/>
      <c r="T58" s="75"/>
      <c r="U58" s="75"/>
      <c r="V58" s="176"/>
      <c r="W58" s="75"/>
      <c r="X58" s="105"/>
      <c r="Y58" s="105"/>
      <c r="Z58" s="105"/>
      <c r="AA58" s="105"/>
      <c r="AB58" s="105"/>
      <c r="AC58" s="105"/>
      <c r="AD58" s="149"/>
      <c r="AE58" s="149"/>
      <c r="AF58" s="139"/>
      <c r="AG58" s="139"/>
      <c r="AH58" s="139"/>
      <c r="AI58" s="139"/>
      <c r="AP58" s="139"/>
      <c r="AQ58" s="139"/>
      <c r="AR58" s="139"/>
      <c r="AS58" s="139"/>
    </row>
    <row r="59" s="78" customFormat="true" ht="14.25" hidden="false" customHeight="true" outlineLevel="0" collapsed="false">
      <c r="A59" s="189" t="s">
        <v>114</v>
      </c>
      <c r="B59" s="189" t="s">
        <v>19</v>
      </c>
      <c r="C59" s="190" t="n">
        <f aca="false">SUM(C60:C62)</f>
        <v>135</v>
      </c>
      <c r="D59" s="190" t="n">
        <f aca="false">SUM(D60:D62)</f>
        <v>156</v>
      </c>
      <c r="E59" s="190" t="n">
        <f aca="false">SUM(E60:E62)</f>
        <v>213</v>
      </c>
      <c r="F59" s="190" t="n">
        <f aca="false">SUM(F60:F62)</f>
        <v>295</v>
      </c>
      <c r="G59" s="190" t="n">
        <f aca="false">SUM(G60:G62)</f>
        <v>351</v>
      </c>
      <c r="H59" s="190" t="n">
        <f aca="false">SUM(H60:H62)</f>
        <v>377</v>
      </c>
      <c r="I59" s="190" t="n">
        <f aca="false">SUM(I60:I62)</f>
        <v>50</v>
      </c>
      <c r="J59" s="190" t="n">
        <f aca="false">SUM(J60:J62)</f>
        <v>0</v>
      </c>
      <c r="K59" s="190" t="n">
        <f aca="false">SUM(K60:K62)</f>
        <v>0</v>
      </c>
      <c r="L59" s="190" t="n">
        <f aca="false">SUM(L60:L62)</f>
        <v>0</v>
      </c>
      <c r="M59" s="190" t="n">
        <f aca="false">SUM(M60:M62)</f>
        <v>0</v>
      </c>
      <c r="N59" s="190" t="n">
        <f aca="false">SUM(N60:N62)</f>
        <v>0</v>
      </c>
      <c r="O59" s="190" t="n">
        <f aca="false">SUM(C59:N59)</f>
        <v>1577</v>
      </c>
      <c r="P59" s="75"/>
      <c r="Q59" s="75"/>
      <c r="R59" s="75"/>
      <c r="S59" s="75"/>
      <c r="T59" s="75"/>
      <c r="U59" s="75"/>
      <c r="V59" s="176"/>
      <c r="W59" s="75"/>
      <c r="X59" s="75"/>
      <c r="Y59" s="105"/>
      <c r="Z59" s="105"/>
      <c r="AA59" s="75"/>
      <c r="AB59" s="105"/>
      <c r="AC59" s="75"/>
      <c r="AD59" s="134"/>
      <c r="AE59" s="134"/>
      <c r="AF59" s="139"/>
      <c r="AG59" s="139"/>
      <c r="AH59" s="139"/>
      <c r="AI59" s="139"/>
      <c r="AP59" s="139"/>
      <c r="AQ59" s="139"/>
      <c r="AR59" s="139"/>
      <c r="AS59" s="139"/>
    </row>
    <row r="60" s="78" customFormat="true" ht="14.25" hidden="false" customHeight="true" outlineLevel="0" collapsed="false">
      <c r="A60" s="124"/>
      <c r="B60" s="124" t="s">
        <v>97</v>
      </c>
      <c r="C60" s="185" t="n">
        <v>52</v>
      </c>
      <c r="D60" s="185" t="n">
        <v>83</v>
      </c>
      <c r="E60" s="185" t="n">
        <v>121</v>
      </c>
      <c r="F60" s="185" t="n">
        <v>150</v>
      </c>
      <c r="G60" s="185" t="n">
        <v>158</v>
      </c>
      <c r="H60" s="185" t="n">
        <v>186</v>
      </c>
      <c r="I60" s="185" t="n">
        <v>22</v>
      </c>
      <c r="J60" s="185"/>
      <c r="K60" s="185"/>
      <c r="L60" s="186"/>
      <c r="M60" s="186"/>
      <c r="N60" s="186"/>
      <c r="O60" s="192" t="n">
        <f aca="false">SUM(C60:N60)</f>
        <v>772</v>
      </c>
      <c r="P60" s="75"/>
      <c r="Q60" s="75"/>
      <c r="R60" s="75"/>
      <c r="S60" s="75"/>
      <c r="T60" s="75"/>
      <c r="U60" s="75"/>
      <c r="V60" s="176"/>
      <c r="W60" s="75"/>
      <c r="X60" s="75"/>
      <c r="Y60" s="75"/>
      <c r="Z60" s="105"/>
      <c r="AA60" s="105"/>
      <c r="AB60" s="105"/>
      <c r="AC60" s="105"/>
      <c r="AD60" s="149"/>
      <c r="AE60" s="149"/>
      <c r="AF60" s="139"/>
      <c r="AG60" s="139"/>
      <c r="AH60" s="139"/>
      <c r="AP60" s="139"/>
      <c r="AQ60" s="139"/>
      <c r="AR60" s="139"/>
      <c r="AS60" s="139"/>
    </row>
    <row r="61" s="78" customFormat="true" ht="14.25" hidden="false" customHeight="true" outlineLevel="0" collapsed="false">
      <c r="A61" s="124"/>
      <c r="B61" s="124" t="s">
        <v>98</v>
      </c>
      <c r="C61" s="185" t="n">
        <v>22</v>
      </c>
      <c r="D61" s="185" t="n">
        <v>17</v>
      </c>
      <c r="E61" s="185" t="n">
        <v>22</v>
      </c>
      <c r="F61" s="185" t="n">
        <v>29</v>
      </c>
      <c r="G61" s="185" t="n">
        <v>45</v>
      </c>
      <c r="H61" s="185" t="n">
        <v>50</v>
      </c>
      <c r="I61" s="185" t="n">
        <v>5</v>
      </c>
      <c r="J61" s="185"/>
      <c r="K61" s="185"/>
      <c r="L61" s="186"/>
      <c r="M61" s="186"/>
      <c r="N61" s="186"/>
      <c r="O61" s="192" t="n">
        <f aca="false">SUM(C61:N61)</f>
        <v>190</v>
      </c>
      <c r="P61" s="75"/>
      <c r="Q61" s="75"/>
      <c r="R61" s="75"/>
      <c r="S61" s="75"/>
      <c r="T61" s="75"/>
      <c r="U61" s="75"/>
      <c r="V61" s="181"/>
      <c r="W61" s="105"/>
      <c r="X61" s="105"/>
      <c r="Y61" s="105"/>
      <c r="Z61" s="105"/>
      <c r="AA61" s="105"/>
      <c r="AB61" s="105"/>
      <c r="AC61" s="105"/>
      <c r="AD61" s="149"/>
      <c r="AE61" s="149"/>
      <c r="AF61" s="139"/>
      <c r="AG61" s="139"/>
      <c r="AH61" s="139"/>
      <c r="AI61" s="139"/>
      <c r="AP61" s="139"/>
      <c r="AQ61" s="139"/>
      <c r="AR61" s="139"/>
      <c r="AS61" s="139"/>
    </row>
    <row r="62" s="78" customFormat="true" ht="14.25" hidden="false" customHeight="true" outlineLevel="0" collapsed="false">
      <c r="A62" s="124"/>
      <c r="B62" s="124" t="s">
        <v>100</v>
      </c>
      <c r="C62" s="185" t="n">
        <v>61</v>
      </c>
      <c r="D62" s="185" t="n">
        <v>56</v>
      </c>
      <c r="E62" s="185" t="n">
        <v>70</v>
      </c>
      <c r="F62" s="185" t="n">
        <v>116</v>
      </c>
      <c r="G62" s="185" t="n">
        <v>148</v>
      </c>
      <c r="H62" s="185" t="n">
        <v>141</v>
      </c>
      <c r="I62" s="185" t="n">
        <v>23</v>
      </c>
      <c r="J62" s="185"/>
      <c r="K62" s="185"/>
      <c r="L62" s="186"/>
      <c r="M62" s="186"/>
      <c r="N62" s="186"/>
      <c r="O62" s="192" t="n">
        <f aca="false">SUM(C62:N62)</f>
        <v>615</v>
      </c>
      <c r="P62" s="75"/>
      <c r="Q62" s="75"/>
      <c r="R62" s="75"/>
      <c r="S62" s="75"/>
      <c r="T62" s="75"/>
      <c r="U62" s="75"/>
      <c r="V62" s="181"/>
      <c r="W62" s="105"/>
      <c r="X62" s="105"/>
      <c r="Y62" s="105"/>
      <c r="Z62" s="105"/>
      <c r="AA62" s="105"/>
      <c r="AB62" s="105"/>
      <c r="AC62" s="75"/>
      <c r="AD62" s="134"/>
      <c r="AE62" s="134"/>
      <c r="AF62" s="139"/>
      <c r="AG62" s="139"/>
      <c r="AI62" s="139"/>
      <c r="AP62" s="139"/>
      <c r="AQ62" s="139"/>
      <c r="AR62" s="139"/>
      <c r="AS62" s="139"/>
    </row>
    <row r="63" s="78" customFormat="true" ht="14.25" hidden="false" customHeight="true" outlineLevel="0" collapsed="false">
      <c r="A63" s="189" t="s">
        <v>115</v>
      </c>
      <c r="B63" s="189" t="s">
        <v>19</v>
      </c>
      <c r="C63" s="190" t="n">
        <f aca="false">SUM(C64:C66)</f>
        <v>138</v>
      </c>
      <c r="D63" s="190" t="n">
        <f aca="false">SUM(D64:D66)</f>
        <v>83</v>
      </c>
      <c r="E63" s="190" t="n">
        <f aca="false">SUM(E64:E66)</f>
        <v>82</v>
      </c>
      <c r="F63" s="190" t="n">
        <f aca="false">SUM(F64:F66)</f>
        <v>321</v>
      </c>
      <c r="G63" s="190" t="n">
        <f aca="false">SUM(G64:G66)</f>
        <v>365</v>
      </c>
      <c r="H63" s="190" t="n">
        <f aca="false">SUM(H64:H66)</f>
        <v>198</v>
      </c>
      <c r="I63" s="190" t="n">
        <f aca="false">SUM(I64:I66)</f>
        <v>25</v>
      </c>
      <c r="J63" s="190" t="n">
        <f aca="false">SUM(J64:J66)</f>
        <v>0</v>
      </c>
      <c r="K63" s="190" t="n">
        <f aca="false">SUM(K64:K66)</f>
        <v>0</v>
      </c>
      <c r="L63" s="190" t="n">
        <f aca="false">SUM(L64:L66)</f>
        <v>0</v>
      </c>
      <c r="M63" s="190" t="n">
        <f aca="false">SUM(M64:M66)</f>
        <v>0</v>
      </c>
      <c r="N63" s="190" t="n">
        <f aca="false">SUM(N64:N66)</f>
        <v>0</v>
      </c>
      <c r="O63" s="190" t="n">
        <f aca="false">SUM(C63:N63)</f>
        <v>1212</v>
      </c>
      <c r="P63" s="75"/>
      <c r="Q63" s="75"/>
      <c r="R63" s="75"/>
      <c r="S63" s="75"/>
      <c r="T63" s="75"/>
      <c r="U63" s="75"/>
      <c r="V63" s="176"/>
      <c r="W63" s="75"/>
      <c r="X63" s="75"/>
      <c r="Y63" s="105"/>
      <c r="Z63" s="105"/>
      <c r="AA63" s="105"/>
      <c r="AB63" s="105"/>
      <c r="AC63" s="105"/>
      <c r="AD63" s="149"/>
      <c r="AE63" s="149"/>
      <c r="AF63" s="139"/>
      <c r="AG63" s="139"/>
      <c r="AH63" s="139"/>
      <c r="AI63" s="139"/>
      <c r="AP63" s="139"/>
      <c r="AQ63" s="139"/>
      <c r="AR63" s="139"/>
      <c r="AS63" s="139"/>
    </row>
    <row r="64" s="78" customFormat="true" ht="14.25" hidden="false" customHeight="true" outlineLevel="0" collapsed="false">
      <c r="A64" s="124"/>
      <c r="B64" s="124" t="s">
        <v>97</v>
      </c>
      <c r="C64" s="185" t="n">
        <v>4</v>
      </c>
      <c r="D64" s="185" t="n">
        <v>11</v>
      </c>
      <c r="E64" s="185" t="n">
        <v>10</v>
      </c>
      <c r="F64" s="185" t="n">
        <v>3</v>
      </c>
      <c r="G64" s="185" t="n">
        <v>17</v>
      </c>
      <c r="H64" s="185" t="n">
        <v>8</v>
      </c>
      <c r="I64" s="185" t="n">
        <v>0</v>
      </c>
      <c r="J64" s="185"/>
      <c r="K64" s="185"/>
      <c r="L64" s="186"/>
      <c r="M64" s="186"/>
      <c r="N64" s="186"/>
      <c r="O64" s="192" t="n">
        <f aca="false">SUM(C64:N64)</f>
        <v>53</v>
      </c>
      <c r="P64" s="75"/>
      <c r="Q64" s="75"/>
      <c r="R64" s="75"/>
      <c r="S64" s="75"/>
      <c r="T64" s="75"/>
      <c r="U64" s="75"/>
      <c r="V64" s="176"/>
      <c r="W64" s="75"/>
      <c r="X64" s="75"/>
      <c r="Y64" s="105"/>
      <c r="Z64" s="105"/>
      <c r="AA64" s="105"/>
      <c r="AB64" s="105"/>
      <c r="AC64" s="105"/>
      <c r="AD64" s="149"/>
      <c r="AE64" s="149"/>
      <c r="AF64" s="139"/>
      <c r="AG64" s="139"/>
      <c r="AH64" s="139"/>
      <c r="AP64" s="139"/>
      <c r="AQ64" s="139"/>
      <c r="AR64" s="139"/>
      <c r="AS64" s="139"/>
    </row>
    <row r="65" s="78" customFormat="true" ht="14.25" hidden="false" customHeight="true" outlineLevel="0" collapsed="false">
      <c r="A65" s="124"/>
      <c r="B65" s="124" t="s">
        <v>98</v>
      </c>
      <c r="C65" s="185" t="n">
        <v>12</v>
      </c>
      <c r="D65" s="185" t="n">
        <v>20</v>
      </c>
      <c r="E65" s="185" t="n">
        <v>21</v>
      </c>
      <c r="F65" s="185" t="n">
        <v>29</v>
      </c>
      <c r="G65" s="185" t="n">
        <v>23</v>
      </c>
      <c r="H65" s="185" t="n">
        <v>29</v>
      </c>
      <c r="I65" s="185" t="n">
        <v>2</v>
      </c>
      <c r="J65" s="185"/>
      <c r="K65" s="185"/>
      <c r="L65" s="186"/>
      <c r="M65" s="186"/>
      <c r="N65" s="186"/>
      <c r="O65" s="192" t="n">
        <f aca="false">SUM(C65:N65)</f>
        <v>136</v>
      </c>
      <c r="P65" s="75"/>
      <c r="Q65" s="75"/>
      <c r="R65" s="75"/>
      <c r="S65" s="75"/>
      <c r="T65" s="75"/>
      <c r="U65" s="75"/>
      <c r="V65" s="176"/>
      <c r="W65" s="75"/>
      <c r="X65" s="75"/>
      <c r="Y65" s="105"/>
      <c r="Z65" s="105"/>
      <c r="AA65" s="105"/>
      <c r="AB65" s="105"/>
      <c r="AC65" s="105"/>
      <c r="AD65" s="149"/>
      <c r="AE65" s="149"/>
      <c r="AF65" s="139"/>
      <c r="AG65" s="139"/>
      <c r="AH65" s="139"/>
      <c r="AK65" s="139"/>
      <c r="AL65" s="139"/>
      <c r="AM65" s="139"/>
      <c r="AN65" s="139"/>
      <c r="AO65" s="139"/>
      <c r="AP65" s="139"/>
      <c r="AQ65" s="139"/>
      <c r="AR65" s="139"/>
      <c r="AS65" s="139"/>
    </row>
    <row r="66" s="78" customFormat="true" ht="14.25" hidden="false" customHeight="true" outlineLevel="0" collapsed="false">
      <c r="A66" s="124"/>
      <c r="B66" s="124" t="s">
        <v>100</v>
      </c>
      <c r="C66" s="185" t="n">
        <v>122</v>
      </c>
      <c r="D66" s="185" t="n">
        <v>52</v>
      </c>
      <c r="E66" s="185" t="n">
        <v>51</v>
      </c>
      <c r="F66" s="185" t="n">
        <v>289</v>
      </c>
      <c r="G66" s="185" t="n">
        <v>325</v>
      </c>
      <c r="H66" s="185" t="n">
        <v>161</v>
      </c>
      <c r="I66" s="185" t="n">
        <v>23</v>
      </c>
      <c r="J66" s="185"/>
      <c r="K66" s="185"/>
      <c r="L66" s="186"/>
      <c r="M66" s="186"/>
      <c r="N66" s="186"/>
      <c r="O66" s="192" t="n">
        <f aca="false">SUM(C66:N66)</f>
        <v>1023</v>
      </c>
      <c r="P66" s="75"/>
      <c r="Q66" s="75"/>
      <c r="R66" s="75"/>
      <c r="S66" s="75"/>
      <c r="T66" s="75"/>
      <c r="U66" s="75"/>
      <c r="V66" s="176"/>
      <c r="W66" s="75"/>
      <c r="X66" s="75"/>
      <c r="Y66" s="105"/>
      <c r="Z66" s="105"/>
      <c r="AA66" s="105"/>
      <c r="AB66" s="105"/>
      <c r="AC66" s="105"/>
      <c r="AD66" s="149"/>
      <c r="AE66" s="149"/>
      <c r="AF66" s="139"/>
      <c r="AG66" s="139"/>
      <c r="AI66" s="139"/>
      <c r="AP66" s="139"/>
      <c r="AQ66" s="139"/>
      <c r="AR66" s="139"/>
      <c r="AS66" s="139"/>
    </row>
    <row r="67" s="78" customFormat="true" ht="14.25" hidden="false" customHeight="true" outlineLevel="0" collapsed="false">
      <c r="A67" s="189" t="s">
        <v>116</v>
      </c>
      <c r="B67" s="189" t="s">
        <v>19</v>
      </c>
      <c r="C67" s="190" t="n">
        <f aca="false">SUM(C68:C70)</f>
        <v>177</v>
      </c>
      <c r="D67" s="190" t="n">
        <f aca="false">SUM(D68:D70)</f>
        <v>156</v>
      </c>
      <c r="E67" s="190" t="n">
        <f aca="false">SUM(E68:E70)</f>
        <v>192</v>
      </c>
      <c r="F67" s="190" t="n">
        <f aca="false">SUM(F68:F70)</f>
        <v>230</v>
      </c>
      <c r="G67" s="190" t="n">
        <f aca="false">SUM(G68:G70)</f>
        <v>191</v>
      </c>
      <c r="H67" s="190" t="n">
        <f aca="false">SUM(H68:H70)</f>
        <v>185</v>
      </c>
      <c r="I67" s="190" t="n">
        <f aca="false">SUM(I68:I70)</f>
        <v>22</v>
      </c>
      <c r="J67" s="190" t="n">
        <f aca="false">SUM(J68:J70)</f>
        <v>0</v>
      </c>
      <c r="K67" s="190" t="n">
        <f aca="false">SUM(K68:K70)</f>
        <v>0</v>
      </c>
      <c r="L67" s="190" t="n">
        <f aca="false">SUM(L68:L70)</f>
        <v>0</v>
      </c>
      <c r="M67" s="190" t="n">
        <f aca="false">SUM(M68:M70)</f>
        <v>0</v>
      </c>
      <c r="N67" s="190" t="n">
        <f aca="false">SUM(N68:N70)</f>
        <v>0</v>
      </c>
      <c r="O67" s="190" t="n">
        <f aca="false">SUM(C67:N67)</f>
        <v>1153</v>
      </c>
      <c r="P67" s="75"/>
      <c r="Q67" s="75"/>
      <c r="R67" s="75"/>
      <c r="S67" s="75"/>
      <c r="T67" s="75"/>
      <c r="U67" s="75"/>
      <c r="V67" s="176"/>
      <c r="W67" s="75"/>
      <c r="X67" s="75"/>
      <c r="Y67" s="105"/>
      <c r="Z67" s="105"/>
      <c r="AA67" s="105"/>
      <c r="AB67" s="105"/>
      <c r="AC67" s="105"/>
      <c r="AD67" s="149"/>
      <c r="AE67" s="149"/>
      <c r="AF67" s="139"/>
      <c r="AG67" s="139"/>
      <c r="AI67" s="139"/>
      <c r="AP67" s="139"/>
      <c r="AQ67" s="139"/>
      <c r="AR67" s="139"/>
      <c r="AS67" s="139"/>
    </row>
    <row r="68" s="78" customFormat="true" ht="14.25" hidden="false" customHeight="true" outlineLevel="0" collapsed="false">
      <c r="A68" s="124"/>
      <c r="B68" s="124" t="s">
        <v>97</v>
      </c>
      <c r="C68" s="185" t="n">
        <v>54</v>
      </c>
      <c r="D68" s="185" t="n">
        <v>33</v>
      </c>
      <c r="E68" s="185" t="n">
        <v>51</v>
      </c>
      <c r="F68" s="185" t="n">
        <v>49</v>
      </c>
      <c r="G68" s="185" t="n">
        <v>48</v>
      </c>
      <c r="H68" s="185" t="n">
        <v>44</v>
      </c>
      <c r="I68" s="185" t="n">
        <v>6</v>
      </c>
      <c r="J68" s="185"/>
      <c r="K68" s="185"/>
      <c r="L68" s="186"/>
      <c r="M68" s="186"/>
      <c r="N68" s="186"/>
      <c r="O68" s="192" t="n">
        <f aca="false">SUM(C68:N68)</f>
        <v>285</v>
      </c>
      <c r="P68" s="75"/>
      <c r="Q68" s="75"/>
      <c r="R68" s="75"/>
      <c r="S68" s="75"/>
      <c r="T68" s="75"/>
      <c r="U68" s="75"/>
      <c r="V68" s="176"/>
      <c r="W68" s="75"/>
      <c r="X68" s="75"/>
      <c r="Y68" s="105"/>
      <c r="Z68" s="105"/>
      <c r="AA68" s="105"/>
      <c r="AB68" s="105"/>
      <c r="AC68" s="105"/>
      <c r="AD68" s="149"/>
      <c r="AE68" s="149"/>
      <c r="AF68" s="139"/>
      <c r="AG68" s="139"/>
      <c r="AI68" s="139"/>
      <c r="AP68" s="139"/>
      <c r="AQ68" s="139"/>
      <c r="AR68" s="139"/>
      <c r="AS68" s="139"/>
    </row>
    <row r="69" s="78" customFormat="true" ht="14.25" hidden="false" customHeight="true" outlineLevel="0" collapsed="false">
      <c r="A69" s="124"/>
      <c r="B69" s="124" t="s">
        <v>98</v>
      </c>
      <c r="C69" s="185" t="n">
        <v>29</v>
      </c>
      <c r="D69" s="185" t="n">
        <v>37</v>
      </c>
      <c r="E69" s="185" t="n">
        <v>43</v>
      </c>
      <c r="F69" s="185" t="n">
        <v>47</v>
      </c>
      <c r="G69" s="185" t="n">
        <v>47</v>
      </c>
      <c r="H69" s="185" t="n">
        <v>55</v>
      </c>
      <c r="I69" s="185" t="n">
        <v>6</v>
      </c>
      <c r="J69" s="185"/>
      <c r="K69" s="185"/>
      <c r="L69" s="186"/>
      <c r="M69" s="186"/>
      <c r="N69" s="186"/>
      <c r="O69" s="192" t="n">
        <f aca="false">SUM(C69:N69)</f>
        <v>264</v>
      </c>
      <c r="P69" s="75"/>
      <c r="Q69" s="75"/>
      <c r="R69" s="75"/>
      <c r="S69" s="75"/>
      <c r="T69" s="75"/>
      <c r="U69" s="75"/>
      <c r="V69" s="176"/>
      <c r="W69" s="75"/>
      <c r="X69" s="75"/>
      <c r="Y69" s="105"/>
      <c r="Z69" s="105"/>
      <c r="AA69" s="105"/>
      <c r="AB69" s="105"/>
      <c r="AC69" s="105"/>
      <c r="AD69" s="149"/>
      <c r="AE69" s="149"/>
      <c r="AF69" s="139"/>
      <c r="AG69" s="139"/>
      <c r="AI69" s="139"/>
      <c r="AP69" s="139"/>
      <c r="AQ69" s="139"/>
      <c r="AR69" s="139"/>
      <c r="AS69" s="139"/>
    </row>
    <row r="70" s="78" customFormat="true" ht="14.25" hidden="false" customHeight="true" outlineLevel="0" collapsed="false">
      <c r="A70" s="124"/>
      <c r="B70" s="124" t="s">
        <v>100</v>
      </c>
      <c r="C70" s="185" t="n">
        <v>94</v>
      </c>
      <c r="D70" s="185" t="n">
        <v>86</v>
      </c>
      <c r="E70" s="185" t="n">
        <v>98</v>
      </c>
      <c r="F70" s="185" t="n">
        <v>134</v>
      </c>
      <c r="G70" s="185" t="n">
        <v>96</v>
      </c>
      <c r="H70" s="185" t="n">
        <v>86</v>
      </c>
      <c r="I70" s="185" t="n">
        <v>10</v>
      </c>
      <c r="J70" s="185"/>
      <c r="K70" s="185"/>
      <c r="L70" s="186"/>
      <c r="M70" s="186"/>
      <c r="N70" s="186"/>
      <c r="O70" s="192" t="n">
        <f aca="false">SUM(C70:N70)</f>
        <v>604</v>
      </c>
      <c r="P70" s="75"/>
      <c r="Q70" s="75"/>
      <c r="R70" s="75"/>
      <c r="S70" s="75"/>
      <c r="T70" s="75"/>
      <c r="U70" s="75"/>
      <c r="V70" s="176"/>
      <c r="W70" s="75"/>
      <c r="X70" s="75"/>
      <c r="Y70" s="105"/>
      <c r="Z70" s="105"/>
      <c r="AA70" s="105"/>
      <c r="AB70" s="105"/>
      <c r="AC70" s="105"/>
      <c r="AD70" s="149"/>
      <c r="AE70" s="149"/>
      <c r="AF70" s="139"/>
      <c r="AG70" s="139"/>
      <c r="AI70" s="139"/>
      <c r="AP70" s="139"/>
      <c r="AQ70" s="139"/>
      <c r="AR70" s="139"/>
      <c r="AS70" s="139"/>
    </row>
    <row r="71" s="78" customFormat="true" ht="14.25" hidden="false" customHeight="true" outlineLevel="0" collapsed="false">
      <c r="A71" s="189" t="s">
        <v>117</v>
      </c>
      <c r="B71" s="189" t="s">
        <v>19</v>
      </c>
      <c r="C71" s="190" t="n">
        <f aca="false">SUM(C72:C74)</f>
        <v>34116</v>
      </c>
      <c r="D71" s="190" t="n">
        <f aca="false">SUM(D72:D74)</f>
        <v>32860</v>
      </c>
      <c r="E71" s="190" t="n">
        <f aca="false">SUM(E72:E74)</f>
        <v>34074</v>
      </c>
      <c r="F71" s="190" t="n">
        <f aca="false">SUM(F72:F74)</f>
        <v>31594</v>
      </c>
      <c r="G71" s="190" t="n">
        <f aca="false">SUM(G72:G74)</f>
        <v>30336</v>
      </c>
      <c r="H71" s="190" t="n">
        <f aca="false">SUM(H72:H74)</f>
        <v>30009</v>
      </c>
      <c r="I71" s="190" t="n">
        <f aca="false">SUM(I72:I74)</f>
        <v>2651</v>
      </c>
      <c r="J71" s="190" t="n">
        <f aca="false">SUM(J72:J74)</f>
        <v>0</v>
      </c>
      <c r="K71" s="190" t="n">
        <f aca="false">SUM(K72:K74)</f>
        <v>0</v>
      </c>
      <c r="L71" s="190" t="n">
        <f aca="false">SUM(L72:L74)</f>
        <v>0</v>
      </c>
      <c r="M71" s="190" t="n">
        <f aca="false">SUM(M72:M74)</f>
        <v>0</v>
      </c>
      <c r="N71" s="190" t="n">
        <f aca="false">SUM(N72:N74)</f>
        <v>0</v>
      </c>
      <c r="O71" s="190" t="n">
        <f aca="false">SUM(C71:N71)</f>
        <v>195640</v>
      </c>
      <c r="P71" s="75"/>
      <c r="Q71" s="75"/>
      <c r="R71" s="75"/>
      <c r="S71" s="75"/>
      <c r="T71" s="75"/>
      <c r="U71" s="75"/>
      <c r="V71" s="176"/>
      <c r="W71" s="75"/>
      <c r="X71" s="75"/>
      <c r="Y71" s="105"/>
      <c r="Z71" s="105"/>
      <c r="AA71" s="105"/>
      <c r="AB71" s="105"/>
      <c r="AC71" s="105"/>
      <c r="AD71" s="149"/>
      <c r="AE71" s="149"/>
      <c r="AF71" s="139"/>
      <c r="AG71" s="139"/>
      <c r="AI71" s="139"/>
      <c r="AP71" s="139"/>
      <c r="AQ71" s="139"/>
      <c r="AR71" s="139"/>
      <c r="AS71" s="139"/>
    </row>
    <row r="72" s="78" customFormat="true" ht="14.25" hidden="false" customHeight="true" outlineLevel="0" collapsed="false">
      <c r="A72" s="124"/>
      <c r="B72" s="124" t="s">
        <v>97</v>
      </c>
      <c r="C72" s="185" t="n">
        <v>10603</v>
      </c>
      <c r="D72" s="185" t="n">
        <v>9900</v>
      </c>
      <c r="E72" s="185" t="n">
        <v>10190</v>
      </c>
      <c r="F72" s="185" t="n">
        <v>9253</v>
      </c>
      <c r="G72" s="185" t="n">
        <v>9018</v>
      </c>
      <c r="H72" s="185" t="n">
        <v>9023</v>
      </c>
      <c r="I72" s="185" t="n">
        <v>913</v>
      </c>
      <c r="J72" s="185"/>
      <c r="K72" s="185"/>
      <c r="L72" s="186"/>
      <c r="M72" s="186"/>
      <c r="N72" s="186"/>
      <c r="O72" s="192" t="n">
        <f aca="false">SUM(C72:N72)</f>
        <v>58900</v>
      </c>
      <c r="P72" s="75"/>
      <c r="Q72" s="75"/>
      <c r="R72" s="75"/>
      <c r="S72" s="75"/>
      <c r="T72" s="75"/>
      <c r="U72" s="75"/>
      <c r="V72" s="176"/>
      <c r="W72" s="75"/>
      <c r="X72" s="75"/>
      <c r="Y72" s="105"/>
      <c r="Z72" s="105"/>
      <c r="AA72" s="105"/>
      <c r="AB72" s="105"/>
      <c r="AC72" s="105"/>
      <c r="AD72" s="149"/>
      <c r="AE72" s="149"/>
      <c r="AF72" s="139"/>
      <c r="AG72" s="139"/>
      <c r="AI72" s="139"/>
      <c r="AP72" s="139"/>
      <c r="AQ72" s="139"/>
      <c r="AR72" s="139"/>
      <c r="AS72" s="139"/>
    </row>
    <row r="73" s="78" customFormat="true" ht="14.25" hidden="false" customHeight="true" outlineLevel="0" collapsed="false">
      <c r="A73" s="124"/>
      <c r="B73" s="124" t="s">
        <v>98</v>
      </c>
      <c r="C73" s="185" t="n">
        <v>10165</v>
      </c>
      <c r="D73" s="185" t="n">
        <v>9684</v>
      </c>
      <c r="E73" s="185" t="n">
        <v>9861</v>
      </c>
      <c r="F73" s="185" t="n">
        <v>9374</v>
      </c>
      <c r="G73" s="185" t="n">
        <v>9419</v>
      </c>
      <c r="H73" s="185" t="n">
        <v>9601</v>
      </c>
      <c r="I73" s="185" t="n">
        <v>814</v>
      </c>
      <c r="J73" s="185"/>
      <c r="K73" s="185"/>
      <c r="L73" s="186"/>
      <c r="M73" s="186"/>
      <c r="N73" s="186"/>
      <c r="O73" s="192" t="n">
        <f aca="false">SUM(C73:N73)</f>
        <v>58918</v>
      </c>
      <c r="P73" s="75"/>
      <c r="Q73" s="75"/>
      <c r="R73" s="75"/>
      <c r="S73" s="75"/>
      <c r="T73" s="75"/>
      <c r="U73" s="75"/>
      <c r="V73" s="176"/>
      <c r="W73" s="75"/>
      <c r="X73" s="75"/>
      <c r="Y73" s="105"/>
      <c r="Z73" s="105"/>
      <c r="AA73" s="105"/>
      <c r="AB73" s="105"/>
      <c r="AC73" s="105"/>
      <c r="AD73" s="149"/>
      <c r="AE73" s="149"/>
      <c r="AF73" s="139"/>
      <c r="AG73" s="139"/>
      <c r="AI73" s="139"/>
      <c r="AP73" s="139"/>
      <c r="AQ73" s="139"/>
      <c r="AR73" s="139"/>
      <c r="AS73" s="139"/>
    </row>
    <row r="74" s="78" customFormat="true" ht="14.25" hidden="false" customHeight="true" outlineLevel="0" collapsed="false">
      <c r="A74" s="124"/>
      <c r="B74" s="124" t="s">
        <v>100</v>
      </c>
      <c r="C74" s="185" t="n">
        <v>13348</v>
      </c>
      <c r="D74" s="185" t="n">
        <v>13276</v>
      </c>
      <c r="E74" s="185" t="n">
        <v>14023</v>
      </c>
      <c r="F74" s="185" t="n">
        <v>12967</v>
      </c>
      <c r="G74" s="185" t="n">
        <v>11899</v>
      </c>
      <c r="H74" s="185" t="n">
        <v>11385</v>
      </c>
      <c r="I74" s="185" t="n">
        <v>924</v>
      </c>
      <c r="J74" s="185"/>
      <c r="K74" s="185"/>
      <c r="L74" s="186"/>
      <c r="M74" s="186"/>
      <c r="N74" s="186"/>
      <c r="O74" s="192" t="n">
        <f aca="false">SUM(C74:N74)</f>
        <v>77822</v>
      </c>
      <c r="P74" s="75"/>
      <c r="Q74" s="75"/>
      <c r="R74" s="75"/>
      <c r="S74" s="75"/>
      <c r="T74" s="75"/>
      <c r="U74" s="75"/>
      <c r="V74" s="176"/>
      <c r="W74" s="75"/>
      <c r="X74" s="75"/>
      <c r="Y74" s="105"/>
      <c r="Z74" s="105"/>
      <c r="AA74" s="105"/>
      <c r="AB74" s="105"/>
      <c r="AC74" s="105"/>
      <c r="AD74" s="149"/>
      <c r="AE74" s="149"/>
      <c r="AF74" s="139"/>
      <c r="AG74" s="139"/>
      <c r="AI74" s="139"/>
      <c r="AP74" s="139"/>
      <c r="AQ74" s="139"/>
      <c r="AR74" s="139"/>
      <c r="AS74" s="139"/>
    </row>
    <row r="75" s="78" customFormat="true" ht="14.25" hidden="false" customHeight="true" outlineLevel="0" collapsed="false">
      <c r="A75" s="189" t="s">
        <v>118</v>
      </c>
      <c r="B75" s="189" t="s">
        <v>19</v>
      </c>
      <c r="C75" s="190" t="n">
        <f aca="false">SUM(C76:C78)</f>
        <v>437</v>
      </c>
      <c r="D75" s="190" t="n">
        <f aca="false">SUM(D76:D78)</f>
        <v>353</v>
      </c>
      <c r="E75" s="190" t="n">
        <f aca="false">SUM(E76:E78)</f>
        <v>315</v>
      </c>
      <c r="F75" s="190" t="n">
        <f aca="false">SUM(F76:F78)</f>
        <v>262</v>
      </c>
      <c r="G75" s="190" t="n">
        <f aca="false">SUM(G76:G78)</f>
        <v>253</v>
      </c>
      <c r="H75" s="190" t="n">
        <f aca="false">SUM(H76:H78)</f>
        <v>199</v>
      </c>
      <c r="I75" s="190" t="n">
        <f aca="false">SUM(I76:I78)</f>
        <v>34</v>
      </c>
      <c r="J75" s="190" t="n">
        <f aca="false">SUM(J76:J78)</f>
        <v>0</v>
      </c>
      <c r="K75" s="190" t="n">
        <f aca="false">SUM(K76:K78)</f>
        <v>0</v>
      </c>
      <c r="L75" s="190" t="n">
        <f aca="false">SUM(L76:L78)</f>
        <v>0</v>
      </c>
      <c r="M75" s="190" t="n">
        <f aca="false">SUM(M76:M78)</f>
        <v>0</v>
      </c>
      <c r="N75" s="190" t="n">
        <f aca="false">SUM(N76:N78)</f>
        <v>0</v>
      </c>
      <c r="O75" s="190" t="n">
        <f aca="false">SUM(C75:N75)</f>
        <v>1853</v>
      </c>
      <c r="P75" s="75"/>
      <c r="Q75" s="75"/>
      <c r="R75" s="75"/>
      <c r="S75" s="75"/>
      <c r="T75" s="75"/>
      <c r="U75" s="75"/>
      <c r="V75" s="176"/>
      <c r="W75" s="75"/>
      <c r="X75" s="75"/>
      <c r="Y75" s="105"/>
      <c r="Z75" s="105"/>
      <c r="AA75" s="105"/>
      <c r="AB75" s="105"/>
      <c r="AC75" s="105"/>
      <c r="AD75" s="149"/>
      <c r="AE75" s="149"/>
      <c r="AF75" s="139"/>
      <c r="AG75" s="139"/>
      <c r="AI75" s="139"/>
      <c r="AP75" s="139"/>
      <c r="AQ75" s="139"/>
      <c r="AR75" s="139"/>
      <c r="AS75" s="139"/>
    </row>
    <row r="76" s="78" customFormat="true" ht="14.25" hidden="false" customHeight="true" outlineLevel="0" collapsed="false">
      <c r="A76" s="124"/>
      <c r="B76" s="124" t="s">
        <v>97</v>
      </c>
      <c r="C76" s="185" t="n">
        <v>94</v>
      </c>
      <c r="D76" s="185" t="n">
        <v>75</v>
      </c>
      <c r="E76" s="185" t="n">
        <v>71</v>
      </c>
      <c r="F76" s="185" t="n">
        <v>53</v>
      </c>
      <c r="G76" s="185" t="n">
        <v>51</v>
      </c>
      <c r="H76" s="185" t="n">
        <v>39</v>
      </c>
      <c r="I76" s="185" t="n">
        <v>7</v>
      </c>
      <c r="J76" s="185"/>
      <c r="K76" s="185"/>
      <c r="L76" s="186"/>
      <c r="M76" s="186"/>
      <c r="N76" s="186"/>
      <c r="O76" s="192" t="n">
        <f aca="false">SUM(C76:N76)</f>
        <v>390</v>
      </c>
      <c r="P76" s="75"/>
      <c r="Q76" s="75"/>
      <c r="R76" s="75"/>
      <c r="S76" s="75"/>
      <c r="T76" s="75"/>
      <c r="U76" s="75"/>
      <c r="V76" s="176"/>
      <c r="W76" s="75"/>
      <c r="X76" s="75"/>
      <c r="Y76" s="105"/>
      <c r="Z76" s="105"/>
      <c r="AA76" s="105"/>
      <c r="AB76" s="105"/>
      <c r="AC76" s="105"/>
      <c r="AD76" s="149"/>
      <c r="AE76" s="149"/>
      <c r="AF76" s="139"/>
      <c r="AG76" s="139"/>
      <c r="AI76" s="139"/>
      <c r="AP76" s="139"/>
      <c r="AQ76" s="139"/>
      <c r="AR76" s="139"/>
      <c r="AS76" s="139"/>
    </row>
    <row r="77" s="78" customFormat="true" ht="14.25" hidden="false" customHeight="true" outlineLevel="0" collapsed="false">
      <c r="A77" s="124"/>
      <c r="B77" s="124" t="s">
        <v>98</v>
      </c>
      <c r="C77" s="185" t="n">
        <v>74</v>
      </c>
      <c r="D77" s="185" t="n">
        <v>78</v>
      </c>
      <c r="E77" s="185" t="n">
        <v>66</v>
      </c>
      <c r="F77" s="185" t="n">
        <v>65</v>
      </c>
      <c r="G77" s="185" t="n">
        <v>62</v>
      </c>
      <c r="H77" s="185" t="n">
        <v>54</v>
      </c>
      <c r="I77" s="185" t="n">
        <v>10</v>
      </c>
      <c r="J77" s="185"/>
      <c r="K77" s="185"/>
      <c r="L77" s="186"/>
      <c r="M77" s="186"/>
      <c r="N77" s="186"/>
      <c r="O77" s="192" t="n">
        <f aca="false">SUM(C77:N77)</f>
        <v>409</v>
      </c>
      <c r="P77" s="75"/>
      <c r="Q77" s="75"/>
      <c r="R77" s="75"/>
      <c r="S77" s="75"/>
      <c r="T77" s="75"/>
      <c r="U77" s="75"/>
      <c r="V77" s="176"/>
      <c r="W77" s="75"/>
      <c r="X77" s="75"/>
      <c r="Y77" s="105"/>
      <c r="Z77" s="105"/>
      <c r="AA77" s="105"/>
      <c r="AB77" s="105"/>
      <c r="AC77" s="105"/>
      <c r="AD77" s="149"/>
      <c r="AE77" s="149"/>
      <c r="AF77" s="139"/>
      <c r="AG77" s="139"/>
      <c r="AI77" s="139"/>
      <c r="AP77" s="139"/>
      <c r="AQ77" s="139"/>
      <c r="AR77" s="139"/>
      <c r="AS77" s="139"/>
    </row>
    <row r="78" s="78" customFormat="true" ht="14.25" hidden="false" customHeight="true" outlineLevel="0" collapsed="false">
      <c r="A78" s="124"/>
      <c r="B78" s="124" t="s">
        <v>100</v>
      </c>
      <c r="C78" s="185" t="n">
        <v>269</v>
      </c>
      <c r="D78" s="185" t="n">
        <v>200</v>
      </c>
      <c r="E78" s="185" t="n">
        <v>178</v>
      </c>
      <c r="F78" s="185" t="n">
        <v>144</v>
      </c>
      <c r="G78" s="185" t="n">
        <v>140</v>
      </c>
      <c r="H78" s="185" t="n">
        <v>106</v>
      </c>
      <c r="I78" s="185" t="n">
        <v>17</v>
      </c>
      <c r="J78" s="185"/>
      <c r="K78" s="185"/>
      <c r="L78" s="186"/>
      <c r="M78" s="186"/>
      <c r="N78" s="186"/>
      <c r="O78" s="192" t="n">
        <f aca="false">SUM(C78:N78)</f>
        <v>1054</v>
      </c>
      <c r="P78" s="75"/>
      <c r="Q78" s="75"/>
      <c r="R78" s="75"/>
      <c r="S78" s="75"/>
      <c r="T78" s="75"/>
      <c r="U78" s="75"/>
      <c r="V78" s="176"/>
      <c r="W78" s="75"/>
      <c r="X78" s="75"/>
      <c r="Y78" s="105"/>
      <c r="Z78" s="105"/>
      <c r="AA78" s="105"/>
      <c r="AB78" s="105"/>
      <c r="AC78" s="105"/>
      <c r="AD78" s="149"/>
      <c r="AE78" s="149"/>
      <c r="AF78" s="139"/>
      <c r="AG78" s="139"/>
      <c r="AI78" s="139"/>
      <c r="AP78" s="139"/>
      <c r="AQ78" s="139"/>
      <c r="AR78" s="139"/>
      <c r="AS78" s="139"/>
    </row>
    <row r="79" s="78" customFormat="true" ht="14.25" hidden="false" customHeight="true" outlineLevel="0" collapsed="false">
      <c r="A79" s="189" t="s">
        <v>119</v>
      </c>
      <c r="B79" s="189" t="s">
        <v>19</v>
      </c>
      <c r="C79" s="190" t="n">
        <f aca="false">SUM(C80:C82)</f>
        <v>900</v>
      </c>
      <c r="D79" s="190" t="n">
        <f aca="false">SUM(D80:D82)</f>
        <v>752</v>
      </c>
      <c r="E79" s="190" t="n">
        <f aca="false">SUM(E80:E82)</f>
        <v>735</v>
      </c>
      <c r="F79" s="190" t="n">
        <f aca="false">SUM(F80:F82)</f>
        <v>658</v>
      </c>
      <c r="G79" s="190" t="n">
        <f aca="false">SUM(G80:G82)</f>
        <v>716</v>
      </c>
      <c r="H79" s="190" t="n">
        <f aca="false">SUM(H80:H82)</f>
        <v>882</v>
      </c>
      <c r="I79" s="190" t="n">
        <f aca="false">SUM(I80:I82)</f>
        <v>114</v>
      </c>
      <c r="J79" s="190" t="n">
        <f aca="false">SUM(J80:J82)</f>
        <v>0</v>
      </c>
      <c r="K79" s="190" t="n">
        <f aca="false">SUM(K80:K82)</f>
        <v>0</v>
      </c>
      <c r="L79" s="190" t="n">
        <f aca="false">SUM(L80:L82)</f>
        <v>0</v>
      </c>
      <c r="M79" s="190" t="n">
        <f aca="false">SUM(M80:M82)</f>
        <v>0</v>
      </c>
      <c r="N79" s="190" t="n">
        <f aca="false">SUM(N80:N82)</f>
        <v>0</v>
      </c>
      <c r="O79" s="190" t="n">
        <f aca="false">SUM(C79:N79)</f>
        <v>4757</v>
      </c>
      <c r="P79" s="75"/>
      <c r="Q79" s="75"/>
      <c r="R79" s="75"/>
      <c r="S79" s="75"/>
      <c r="T79" s="75"/>
      <c r="U79" s="75"/>
      <c r="V79" s="176"/>
      <c r="W79" s="75"/>
      <c r="X79" s="75"/>
      <c r="Y79" s="105"/>
      <c r="Z79" s="105"/>
      <c r="AA79" s="105"/>
      <c r="AB79" s="105"/>
      <c r="AC79" s="105"/>
      <c r="AD79" s="149"/>
      <c r="AE79" s="149"/>
      <c r="AF79" s="139"/>
      <c r="AG79" s="139"/>
      <c r="AI79" s="139"/>
      <c r="AP79" s="139"/>
      <c r="AQ79" s="139"/>
      <c r="AR79" s="139"/>
      <c r="AS79" s="139"/>
    </row>
    <row r="80" s="78" customFormat="true" ht="14.25" hidden="false" customHeight="true" outlineLevel="0" collapsed="false">
      <c r="A80" s="124"/>
      <c r="B80" s="124" t="s">
        <v>97</v>
      </c>
      <c r="C80" s="185" t="n">
        <v>551</v>
      </c>
      <c r="D80" s="185" t="n">
        <v>474</v>
      </c>
      <c r="E80" s="185" t="n">
        <v>466</v>
      </c>
      <c r="F80" s="185" t="n">
        <v>427</v>
      </c>
      <c r="G80" s="185" t="n">
        <v>465</v>
      </c>
      <c r="H80" s="185" t="n">
        <v>548</v>
      </c>
      <c r="I80" s="185" t="n">
        <v>70</v>
      </c>
      <c r="J80" s="185"/>
      <c r="K80" s="185"/>
      <c r="L80" s="186"/>
      <c r="M80" s="186"/>
      <c r="N80" s="186"/>
      <c r="O80" s="192" t="n">
        <f aca="false">SUM(C80:N80)</f>
        <v>3001</v>
      </c>
      <c r="P80" s="75"/>
      <c r="Q80" s="75"/>
      <c r="R80" s="75"/>
      <c r="S80" s="75"/>
      <c r="T80" s="75"/>
      <c r="U80" s="75"/>
      <c r="V80" s="176"/>
      <c r="W80" s="75"/>
      <c r="X80" s="75"/>
      <c r="Y80" s="105"/>
      <c r="Z80" s="105"/>
      <c r="AA80" s="105"/>
      <c r="AB80" s="105"/>
      <c r="AC80" s="105"/>
      <c r="AD80" s="149"/>
      <c r="AE80" s="149"/>
      <c r="AF80" s="139"/>
      <c r="AG80" s="139"/>
      <c r="AI80" s="139"/>
      <c r="AP80" s="139"/>
      <c r="AQ80" s="139"/>
      <c r="AR80" s="139"/>
      <c r="AS80" s="139"/>
    </row>
    <row r="81" s="78" customFormat="true" ht="14.25" hidden="false" customHeight="true" outlineLevel="0" collapsed="false">
      <c r="A81" s="124"/>
      <c r="B81" s="124" t="s">
        <v>98</v>
      </c>
      <c r="C81" s="185" t="n">
        <v>277</v>
      </c>
      <c r="D81" s="185" t="n">
        <v>228</v>
      </c>
      <c r="E81" s="185" t="n">
        <v>209</v>
      </c>
      <c r="F81" s="185" t="n">
        <v>193</v>
      </c>
      <c r="G81" s="185" t="n">
        <v>209</v>
      </c>
      <c r="H81" s="185" t="n">
        <v>274</v>
      </c>
      <c r="I81" s="185" t="n">
        <v>32</v>
      </c>
      <c r="J81" s="185"/>
      <c r="K81" s="185"/>
      <c r="L81" s="186"/>
      <c r="M81" s="186"/>
      <c r="N81" s="186"/>
      <c r="O81" s="192" t="n">
        <f aca="false">SUM(C81:N81)</f>
        <v>1422</v>
      </c>
      <c r="P81" s="75"/>
      <c r="Q81" s="75"/>
      <c r="R81" s="75"/>
      <c r="S81" s="75"/>
      <c r="T81" s="75"/>
      <c r="U81" s="75"/>
      <c r="V81" s="176"/>
      <c r="W81" s="75"/>
      <c r="X81" s="75"/>
      <c r="Y81" s="105"/>
      <c r="Z81" s="105"/>
      <c r="AA81" s="105"/>
      <c r="AB81" s="105"/>
      <c r="AC81" s="105"/>
      <c r="AD81" s="149"/>
      <c r="AE81" s="149"/>
      <c r="AF81" s="139"/>
      <c r="AG81" s="139"/>
      <c r="AI81" s="139"/>
      <c r="AP81" s="139"/>
      <c r="AQ81" s="139"/>
      <c r="AR81" s="139"/>
      <c r="AS81" s="139"/>
    </row>
    <row r="82" s="78" customFormat="true" ht="14.25" hidden="false" customHeight="true" outlineLevel="0" collapsed="false">
      <c r="A82" s="124"/>
      <c r="B82" s="124" t="s">
        <v>100</v>
      </c>
      <c r="C82" s="185" t="n">
        <v>72</v>
      </c>
      <c r="D82" s="185" t="n">
        <v>50</v>
      </c>
      <c r="E82" s="185" t="n">
        <v>60</v>
      </c>
      <c r="F82" s="185" t="n">
        <v>38</v>
      </c>
      <c r="G82" s="185" t="n">
        <v>42</v>
      </c>
      <c r="H82" s="185" t="n">
        <v>60</v>
      </c>
      <c r="I82" s="185" t="n">
        <v>12</v>
      </c>
      <c r="J82" s="185"/>
      <c r="K82" s="185"/>
      <c r="L82" s="186"/>
      <c r="M82" s="186"/>
      <c r="N82" s="186"/>
      <c r="O82" s="192" t="n">
        <f aca="false">SUM(C82:N82)</f>
        <v>334</v>
      </c>
      <c r="P82" s="75"/>
      <c r="Q82" s="75"/>
      <c r="R82" s="75"/>
      <c r="S82" s="75"/>
      <c r="T82" s="75"/>
      <c r="U82" s="75"/>
      <c r="V82" s="176"/>
      <c r="W82" s="75"/>
      <c r="X82" s="75"/>
      <c r="Y82" s="105"/>
      <c r="Z82" s="105"/>
      <c r="AA82" s="105"/>
      <c r="AB82" s="105"/>
      <c r="AC82" s="105"/>
      <c r="AD82" s="149"/>
      <c r="AE82" s="149"/>
      <c r="AF82" s="139"/>
      <c r="AG82" s="139"/>
      <c r="AI82" s="139"/>
      <c r="AP82" s="139"/>
      <c r="AQ82" s="139"/>
      <c r="AR82" s="139"/>
      <c r="AS82" s="139"/>
    </row>
    <row r="83" s="78" customFormat="true" ht="14.25" hidden="false" customHeight="true" outlineLevel="0" collapsed="false">
      <c r="A83" s="189" t="s">
        <v>120</v>
      </c>
      <c r="B83" s="189" t="s">
        <v>19</v>
      </c>
      <c r="C83" s="190" t="n">
        <f aca="false">SUM(C84:C86)</f>
        <v>243</v>
      </c>
      <c r="D83" s="190" t="n">
        <f aca="false">SUM(D84:D86)</f>
        <v>443</v>
      </c>
      <c r="E83" s="190" t="n">
        <f aca="false">SUM(E84:E86)</f>
        <v>356</v>
      </c>
      <c r="F83" s="190" t="n">
        <f aca="false">SUM(F84:F86)</f>
        <v>291</v>
      </c>
      <c r="G83" s="190" t="n">
        <f aca="false">SUM(G84:G86)</f>
        <v>234</v>
      </c>
      <c r="H83" s="190" t="n">
        <f aca="false">SUM(H84:H86)</f>
        <v>333</v>
      </c>
      <c r="I83" s="190" t="n">
        <f aca="false">SUM(I84:I86)</f>
        <v>591</v>
      </c>
      <c r="J83" s="190" t="n">
        <f aca="false">SUM(J84:J86)</f>
        <v>0</v>
      </c>
      <c r="K83" s="190" t="n">
        <f aca="false">SUM(K84:K86)</f>
        <v>0</v>
      </c>
      <c r="L83" s="190" t="n">
        <f aca="false">SUM(L84:L86)</f>
        <v>0</v>
      </c>
      <c r="M83" s="190" t="n">
        <f aca="false">SUM(M84:M86)</f>
        <v>0</v>
      </c>
      <c r="N83" s="190" t="n">
        <f aca="false">SUM(N84:N86)</f>
        <v>0</v>
      </c>
      <c r="O83" s="190" t="n">
        <f aca="false">SUM(C83:N83)</f>
        <v>2491</v>
      </c>
      <c r="P83" s="75"/>
      <c r="Q83" s="75"/>
      <c r="R83" s="75"/>
      <c r="S83" s="75"/>
      <c r="T83" s="75"/>
      <c r="U83" s="75"/>
      <c r="V83" s="176"/>
      <c r="W83" s="75"/>
      <c r="X83" s="75"/>
      <c r="Y83" s="105"/>
      <c r="Z83" s="105"/>
      <c r="AA83" s="105"/>
      <c r="AB83" s="105"/>
      <c r="AC83" s="105"/>
      <c r="AD83" s="149"/>
      <c r="AE83" s="149"/>
      <c r="AF83" s="139"/>
      <c r="AG83" s="139"/>
      <c r="AI83" s="139"/>
      <c r="AP83" s="139"/>
      <c r="AQ83" s="139"/>
      <c r="AR83" s="139"/>
      <c r="AS83" s="139"/>
    </row>
    <row r="84" s="78" customFormat="true" ht="14.25" hidden="false" customHeight="true" outlineLevel="0" collapsed="false">
      <c r="A84" s="124"/>
      <c r="B84" s="124" t="s">
        <v>97</v>
      </c>
      <c r="C84" s="185" t="n">
        <v>53</v>
      </c>
      <c r="D84" s="185" t="n">
        <v>114</v>
      </c>
      <c r="E84" s="185" t="n">
        <v>90</v>
      </c>
      <c r="F84" s="185" t="n">
        <v>76</v>
      </c>
      <c r="G84" s="185" t="n">
        <v>79</v>
      </c>
      <c r="H84" s="185" t="n">
        <v>122</v>
      </c>
      <c r="I84" s="185" t="n">
        <v>171</v>
      </c>
      <c r="J84" s="185"/>
      <c r="K84" s="185"/>
      <c r="L84" s="186"/>
      <c r="M84" s="186"/>
      <c r="N84" s="186"/>
      <c r="O84" s="192" t="n">
        <f aca="false">SUM(C84:N84)</f>
        <v>705</v>
      </c>
      <c r="P84" s="75"/>
      <c r="Q84" s="75"/>
      <c r="R84" s="75"/>
      <c r="S84" s="75"/>
      <c r="T84" s="75"/>
      <c r="U84" s="75"/>
      <c r="V84" s="176"/>
      <c r="W84" s="75"/>
      <c r="X84" s="75"/>
      <c r="Y84" s="105"/>
      <c r="Z84" s="105"/>
      <c r="AA84" s="105"/>
      <c r="AB84" s="105"/>
      <c r="AC84" s="105"/>
      <c r="AD84" s="149"/>
      <c r="AE84" s="149"/>
      <c r="AF84" s="139"/>
      <c r="AG84" s="139"/>
      <c r="AI84" s="139"/>
      <c r="AP84" s="139"/>
      <c r="AQ84" s="139"/>
      <c r="AR84" s="139"/>
      <c r="AS84" s="139"/>
    </row>
    <row r="85" s="78" customFormat="true" ht="14.25" hidden="false" customHeight="true" outlineLevel="0" collapsed="false">
      <c r="A85" s="124"/>
      <c r="B85" s="124" t="s">
        <v>98</v>
      </c>
      <c r="C85" s="185" t="n">
        <v>96</v>
      </c>
      <c r="D85" s="185" t="n">
        <v>115</v>
      </c>
      <c r="E85" s="185" t="n">
        <v>127</v>
      </c>
      <c r="F85" s="185" t="n">
        <v>123</v>
      </c>
      <c r="G85" s="185" t="n">
        <v>90</v>
      </c>
      <c r="H85" s="185" t="n">
        <v>130</v>
      </c>
      <c r="I85" s="185" t="n">
        <v>237</v>
      </c>
      <c r="J85" s="185"/>
      <c r="K85" s="185"/>
      <c r="L85" s="186"/>
      <c r="M85" s="186"/>
      <c r="N85" s="186"/>
      <c r="O85" s="192" t="n">
        <f aca="false">SUM(C85:N85)</f>
        <v>918</v>
      </c>
      <c r="P85" s="75"/>
      <c r="Q85" s="75"/>
      <c r="R85" s="75"/>
      <c r="S85" s="75"/>
      <c r="T85" s="75"/>
      <c r="U85" s="75"/>
      <c r="V85" s="176"/>
      <c r="W85" s="75"/>
      <c r="X85" s="75"/>
      <c r="Y85" s="105"/>
      <c r="Z85" s="105"/>
      <c r="AA85" s="105"/>
      <c r="AB85" s="105"/>
      <c r="AC85" s="105"/>
      <c r="AD85" s="149"/>
      <c r="AE85" s="149"/>
      <c r="AF85" s="139"/>
      <c r="AG85" s="139"/>
      <c r="AI85" s="139"/>
      <c r="AP85" s="139"/>
      <c r="AQ85" s="139"/>
      <c r="AR85" s="139"/>
      <c r="AS85" s="139"/>
    </row>
    <row r="86" s="78" customFormat="true" ht="14.25" hidden="false" customHeight="true" outlineLevel="0" collapsed="false">
      <c r="A86" s="124"/>
      <c r="B86" s="124" t="s">
        <v>100</v>
      </c>
      <c r="C86" s="185" t="n">
        <v>94</v>
      </c>
      <c r="D86" s="185" t="n">
        <v>214</v>
      </c>
      <c r="E86" s="185" t="n">
        <v>139</v>
      </c>
      <c r="F86" s="185" t="n">
        <v>92</v>
      </c>
      <c r="G86" s="185" t="n">
        <v>65</v>
      </c>
      <c r="H86" s="185" t="n">
        <v>81</v>
      </c>
      <c r="I86" s="185" t="n">
        <v>183</v>
      </c>
      <c r="J86" s="185"/>
      <c r="K86" s="185"/>
      <c r="L86" s="186"/>
      <c r="M86" s="186"/>
      <c r="N86" s="186"/>
      <c r="O86" s="192" t="n">
        <f aca="false">SUM(C86:N86)</f>
        <v>868</v>
      </c>
      <c r="P86" s="75"/>
      <c r="Q86" s="75"/>
      <c r="R86" s="75"/>
      <c r="S86" s="75"/>
      <c r="T86" s="75"/>
      <c r="U86" s="75"/>
      <c r="V86" s="176"/>
      <c r="W86" s="75"/>
      <c r="X86" s="75"/>
      <c r="Y86" s="105"/>
      <c r="Z86" s="105"/>
      <c r="AA86" s="105"/>
      <c r="AB86" s="105"/>
      <c r="AC86" s="105"/>
      <c r="AD86" s="149"/>
      <c r="AE86" s="149"/>
      <c r="AF86" s="139"/>
      <c r="AG86" s="139"/>
      <c r="AI86" s="139"/>
      <c r="AP86" s="139"/>
      <c r="AQ86" s="139"/>
      <c r="AR86" s="139"/>
      <c r="AS86" s="139"/>
    </row>
    <row r="87" s="78" customFormat="true" ht="14.25" hidden="false" customHeight="true" outlineLevel="0" collapsed="false">
      <c r="A87" s="189" t="s">
        <v>76</v>
      </c>
      <c r="B87" s="189" t="s">
        <v>19</v>
      </c>
      <c r="C87" s="190" t="n">
        <f aca="false">SUM(C88:C90)</f>
        <v>6</v>
      </c>
      <c r="D87" s="190" t="n">
        <f aca="false">SUM(D88:D90)</f>
        <v>7</v>
      </c>
      <c r="E87" s="190" t="n">
        <f aca="false">SUM(E88:E90)</f>
        <v>9</v>
      </c>
      <c r="F87" s="190" t="n">
        <f aca="false">SUM(F88:F90)</f>
        <v>6</v>
      </c>
      <c r="G87" s="190" t="n">
        <f aca="false">SUM(G88:G90)</f>
        <v>7</v>
      </c>
      <c r="H87" s="190" t="n">
        <f aca="false">SUM(H88:H90)</f>
        <v>7</v>
      </c>
      <c r="I87" s="190" t="n">
        <f aca="false">SUM(I88:I90)</f>
        <v>1</v>
      </c>
      <c r="J87" s="190" t="n">
        <f aca="false">SUM(J88:J90)</f>
        <v>0</v>
      </c>
      <c r="K87" s="190" t="n">
        <f aca="false">SUM(K88:K90)</f>
        <v>0</v>
      </c>
      <c r="L87" s="190" t="n">
        <f aca="false">SUM(L88:L90)</f>
        <v>0</v>
      </c>
      <c r="M87" s="190" t="n">
        <f aca="false">SUM(M88:M90)</f>
        <v>0</v>
      </c>
      <c r="N87" s="190" t="n">
        <f aca="false">SUM(N88:N90)</f>
        <v>0</v>
      </c>
      <c r="O87" s="190" t="n">
        <f aca="false">SUM(C87:N87)</f>
        <v>43</v>
      </c>
      <c r="P87" s="75"/>
      <c r="Q87" s="75"/>
      <c r="R87" s="75"/>
      <c r="S87" s="75"/>
      <c r="T87" s="75"/>
      <c r="U87" s="75"/>
      <c r="V87" s="176"/>
      <c r="W87" s="75"/>
      <c r="X87" s="75"/>
      <c r="Y87" s="105"/>
      <c r="Z87" s="105"/>
      <c r="AA87" s="105"/>
      <c r="AB87" s="105"/>
      <c r="AC87" s="105"/>
      <c r="AD87" s="149"/>
      <c r="AE87" s="149"/>
      <c r="AF87" s="139"/>
      <c r="AG87" s="139"/>
      <c r="AI87" s="139"/>
      <c r="AP87" s="139"/>
      <c r="AQ87" s="139"/>
      <c r="AR87" s="139"/>
      <c r="AS87" s="139"/>
    </row>
    <row r="88" s="78" customFormat="true" ht="14.25" hidden="false" customHeight="true" outlineLevel="0" collapsed="false">
      <c r="A88" s="124"/>
      <c r="B88" s="124" t="s">
        <v>97</v>
      </c>
      <c r="C88" s="185" t="n">
        <v>1</v>
      </c>
      <c r="D88" s="185" t="n">
        <v>1</v>
      </c>
      <c r="E88" s="185" t="n">
        <v>2</v>
      </c>
      <c r="F88" s="185" t="n">
        <v>2</v>
      </c>
      <c r="G88" s="185" t="n">
        <v>3</v>
      </c>
      <c r="H88" s="185" t="n">
        <v>2</v>
      </c>
      <c r="I88" s="185" t="n">
        <v>1</v>
      </c>
      <c r="J88" s="185"/>
      <c r="K88" s="185"/>
      <c r="L88" s="186"/>
      <c r="M88" s="186"/>
      <c r="N88" s="186"/>
      <c r="O88" s="192" t="n">
        <f aca="false">SUM(C88:N88)</f>
        <v>12</v>
      </c>
      <c r="P88" s="75"/>
      <c r="Q88" s="75"/>
      <c r="R88" s="75"/>
      <c r="S88" s="75"/>
      <c r="T88" s="75"/>
      <c r="U88" s="75"/>
      <c r="V88" s="176"/>
      <c r="W88" s="75"/>
      <c r="X88" s="75"/>
      <c r="Y88" s="105"/>
      <c r="Z88" s="105"/>
      <c r="AA88" s="105"/>
      <c r="AB88" s="105"/>
      <c r="AC88" s="105"/>
      <c r="AD88" s="149"/>
      <c r="AE88" s="149"/>
      <c r="AF88" s="139"/>
      <c r="AG88" s="139"/>
      <c r="AI88" s="139"/>
      <c r="AP88" s="139"/>
      <c r="AQ88" s="139"/>
      <c r="AR88" s="139"/>
      <c r="AS88" s="139"/>
    </row>
    <row r="89" s="78" customFormat="true" ht="14.25" hidden="false" customHeight="true" outlineLevel="0" collapsed="false">
      <c r="A89" s="124"/>
      <c r="B89" s="124" t="s">
        <v>98</v>
      </c>
      <c r="C89" s="185" t="n">
        <v>0</v>
      </c>
      <c r="D89" s="185" t="n">
        <v>2</v>
      </c>
      <c r="E89" s="185" t="n">
        <v>4</v>
      </c>
      <c r="F89" s="185" t="n">
        <v>3</v>
      </c>
      <c r="G89" s="185" t="n">
        <v>0</v>
      </c>
      <c r="H89" s="185" t="n">
        <v>3</v>
      </c>
      <c r="I89" s="185" t="n">
        <v>0</v>
      </c>
      <c r="J89" s="185"/>
      <c r="K89" s="185"/>
      <c r="L89" s="186"/>
      <c r="M89" s="186"/>
      <c r="N89" s="186"/>
      <c r="O89" s="192" t="n">
        <f aca="false">SUM(C89:N89)</f>
        <v>12</v>
      </c>
      <c r="P89" s="75"/>
      <c r="Q89" s="75"/>
      <c r="R89" s="75"/>
      <c r="S89" s="75"/>
      <c r="T89" s="75"/>
      <c r="U89" s="75"/>
      <c r="V89" s="176"/>
      <c r="W89" s="75"/>
      <c r="X89" s="75"/>
      <c r="Y89" s="105"/>
      <c r="Z89" s="105"/>
      <c r="AA89" s="105"/>
      <c r="AB89" s="105"/>
      <c r="AC89" s="105"/>
      <c r="AD89" s="149"/>
      <c r="AE89" s="149"/>
      <c r="AF89" s="139"/>
      <c r="AG89" s="139"/>
      <c r="AI89" s="139"/>
      <c r="AP89" s="139"/>
      <c r="AQ89" s="139"/>
      <c r="AR89" s="139"/>
      <c r="AS89" s="139"/>
    </row>
    <row r="90" s="78" customFormat="true" ht="14.25" hidden="false" customHeight="true" outlineLevel="0" collapsed="false">
      <c r="A90" s="124"/>
      <c r="B90" s="124" t="s">
        <v>100</v>
      </c>
      <c r="C90" s="185" t="n">
        <v>5</v>
      </c>
      <c r="D90" s="185" t="n">
        <v>4</v>
      </c>
      <c r="E90" s="185" t="n">
        <v>3</v>
      </c>
      <c r="F90" s="185" t="n">
        <v>1</v>
      </c>
      <c r="G90" s="185" t="n">
        <v>4</v>
      </c>
      <c r="H90" s="185" t="n">
        <v>2</v>
      </c>
      <c r="I90" s="185" t="n">
        <v>0</v>
      </c>
      <c r="J90" s="185"/>
      <c r="K90" s="185"/>
      <c r="L90" s="186"/>
      <c r="M90" s="186"/>
      <c r="N90" s="186"/>
      <c r="O90" s="192" t="n">
        <f aca="false">SUM(C90:N90)</f>
        <v>19</v>
      </c>
      <c r="P90" s="75"/>
      <c r="Q90" s="75"/>
      <c r="R90" s="75"/>
      <c r="S90" s="75"/>
      <c r="T90" s="75"/>
      <c r="U90" s="75"/>
      <c r="V90" s="176"/>
      <c r="W90" s="75"/>
      <c r="X90" s="75"/>
      <c r="Y90" s="105"/>
      <c r="Z90" s="105"/>
      <c r="AA90" s="105"/>
      <c r="AB90" s="105"/>
      <c r="AC90" s="105"/>
      <c r="AD90" s="149"/>
      <c r="AE90" s="149"/>
      <c r="AF90" s="139"/>
      <c r="AG90" s="139"/>
      <c r="AI90" s="139"/>
      <c r="AP90" s="139"/>
      <c r="AQ90" s="139"/>
      <c r="AR90" s="139"/>
      <c r="AS90" s="139"/>
    </row>
    <row r="91" s="78" customFormat="true" ht="14.25" hidden="false" customHeight="false" outlineLevel="0" collapsed="false">
      <c r="A91" s="155"/>
      <c r="E91" s="75"/>
      <c r="F91" s="75"/>
      <c r="G91" s="75"/>
      <c r="Q91" s="75"/>
      <c r="R91" s="90"/>
      <c r="S91" s="90"/>
      <c r="T91" s="114"/>
      <c r="U91" s="114"/>
      <c r="V91" s="193"/>
      <c r="W91" s="90"/>
      <c r="X91" s="114"/>
      <c r="Y91" s="114"/>
      <c r="Z91" s="90"/>
      <c r="AA91" s="90"/>
      <c r="AB91" s="90"/>
      <c r="AC91" s="134"/>
      <c r="AD91" s="134"/>
      <c r="AE91" s="134"/>
      <c r="AF91" s="134"/>
      <c r="AQ91" s="139"/>
      <c r="AS91" s="139"/>
    </row>
    <row r="92" s="75" customFormat="true" ht="18" hidden="false" customHeight="true" outlineLevel="0" collapsed="false">
      <c r="A92" s="194"/>
      <c r="B92" s="194"/>
      <c r="C92" s="194"/>
      <c r="D92" s="194"/>
      <c r="E92" s="194"/>
      <c r="F92" s="194"/>
      <c r="G92" s="194"/>
      <c r="H92" s="194"/>
      <c r="I92" s="194"/>
      <c r="J92" s="194"/>
      <c r="K92" s="194"/>
      <c r="L92" s="194"/>
      <c r="M92" s="194"/>
      <c r="N92" s="194"/>
      <c r="O92" s="194"/>
      <c r="P92" s="194"/>
      <c r="Q92" s="194"/>
      <c r="R92" s="194"/>
      <c r="S92" s="194"/>
      <c r="T92" s="194"/>
      <c r="U92" s="194"/>
      <c r="V92" s="194"/>
      <c r="W92" s="90"/>
      <c r="X92" s="90"/>
      <c r="Y92" s="90"/>
      <c r="Z92" s="90"/>
    </row>
    <row r="93" s="78" customFormat="true" ht="14.25" hidden="false" customHeight="false" outlineLevel="0" collapsed="false">
      <c r="A93" s="155"/>
      <c r="F93" s="75"/>
      <c r="G93" s="75"/>
      <c r="H93" s="75"/>
      <c r="K93" s="75"/>
      <c r="L93" s="90"/>
      <c r="M93" s="90"/>
      <c r="N93" s="90"/>
      <c r="O93" s="90"/>
      <c r="P93" s="90"/>
      <c r="Q93" s="90"/>
      <c r="R93" s="90"/>
      <c r="S93" s="90"/>
      <c r="T93" s="90"/>
      <c r="U93" s="90"/>
      <c r="V93" s="154"/>
      <c r="W93" s="134"/>
      <c r="X93" s="134"/>
      <c r="Y93" s="134"/>
      <c r="Z93" s="134"/>
    </row>
    <row r="94" s="78" customFormat="true" ht="23.25" hidden="false" customHeight="true" outlineLevel="0" collapsed="false">
      <c r="A94" s="195" t="s">
        <v>121</v>
      </c>
      <c r="B94" s="195"/>
      <c r="C94" s="195"/>
      <c r="D94" s="195"/>
      <c r="E94" s="195"/>
      <c r="F94" s="195"/>
      <c r="G94" s="195"/>
      <c r="H94" s="195"/>
      <c r="I94" s="195"/>
      <c r="J94" s="195"/>
      <c r="K94" s="195"/>
      <c r="L94" s="195"/>
      <c r="M94" s="195"/>
      <c r="N94" s="195"/>
      <c r="O94" s="90"/>
      <c r="P94" s="90"/>
      <c r="Q94" s="174"/>
      <c r="R94" s="174"/>
      <c r="S94" s="174"/>
      <c r="T94" s="174"/>
      <c r="U94" s="174"/>
      <c r="V94" s="196"/>
      <c r="W94" s="135"/>
      <c r="X94" s="135"/>
      <c r="Y94" s="135"/>
      <c r="Z94" s="135"/>
      <c r="AA94" s="138"/>
      <c r="AB94" s="138"/>
    </row>
    <row r="95" s="78" customFormat="true" ht="22.5" hidden="false" customHeight="true" outlineLevel="0" collapsed="false">
      <c r="A95" s="101" t="s">
        <v>84</v>
      </c>
      <c r="B95" s="101" t="s">
        <v>85</v>
      </c>
      <c r="C95" s="101" t="s">
        <v>86</v>
      </c>
      <c r="D95" s="101" t="s">
        <v>87</v>
      </c>
      <c r="E95" s="101" t="s">
        <v>88</v>
      </c>
      <c r="F95" s="101" t="s">
        <v>89</v>
      </c>
      <c r="G95" s="101" t="s">
        <v>90</v>
      </c>
      <c r="H95" s="101" t="s">
        <v>91</v>
      </c>
      <c r="I95" s="101" t="s">
        <v>92</v>
      </c>
      <c r="J95" s="101" t="s">
        <v>93</v>
      </c>
      <c r="K95" s="101" t="s">
        <v>94</v>
      </c>
      <c r="L95" s="101" t="s">
        <v>95</v>
      </c>
      <c r="M95" s="101" t="s">
        <v>96</v>
      </c>
      <c r="N95" s="101" t="s">
        <v>122</v>
      </c>
      <c r="O95" s="90"/>
      <c r="P95" s="174"/>
      <c r="Q95" s="174"/>
      <c r="R95" s="174"/>
      <c r="S95" s="174"/>
      <c r="T95" s="174"/>
      <c r="U95" s="174"/>
      <c r="V95" s="196"/>
      <c r="W95" s="135"/>
      <c r="X95" s="135"/>
      <c r="Y95" s="135"/>
      <c r="Z95" s="135"/>
      <c r="AA95" s="138"/>
      <c r="AB95" s="138"/>
      <c r="AC95" s="138"/>
      <c r="AD95" s="138"/>
      <c r="AE95" s="138"/>
      <c r="AF95" s="138"/>
    </row>
    <row r="96" s="78" customFormat="true" ht="14.25" hidden="false" customHeight="false" outlineLevel="0" collapsed="false">
      <c r="A96" s="197" t="s">
        <v>123</v>
      </c>
      <c r="B96" s="198" t="n">
        <v>12619.129032</v>
      </c>
      <c r="C96" s="199" t="n">
        <v>11921.066667</v>
      </c>
      <c r="D96" s="200" t="n">
        <v>11250.709677</v>
      </c>
      <c r="E96" s="199" t="n">
        <v>10694.290323</v>
      </c>
      <c r="F96" s="200" t="n">
        <v>9766.071429</v>
      </c>
      <c r="G96" s="199" t="n">
        <v>8710.354839</v>
      </c>
      <c r="H96" s="199" t="n">
        <v>8229.5</v>
      </c>
      <c r="I96" s="200" t="n">
        <v>0</v>
      </c>
      <c r="J96" s="199" t="n">
        <v>0</v>
      </c>
      <c r="K96" s="200" t="n">
        <v>0</v>
      </c>
      <c r="L96" s="200" t="n">
        <v>0</v>
      </c>
      <c r="M96" s="199" t="n">
        <v>0</v>
      </c>
      <c r="N96" s="200" t="n">
        <v>10782.306452</v>
      </c>
      <c r="O96" s="201"/>
      <c r="P96" s="202"/>
      <c r="Q96" s="202"/>
      <c r="R96" s="202"/>
      <c r="S96" s="202"/>
      <c r="T96" s="202"/>
      <c r="U96" s="202"/>
      <c r="V96" s="203"/>
      <c r="W96" s="204"/>
      <c r="X96" s="204"/>
      <c r="Y96" s="204"/>
      <c r="Z96" s="204"/>
      <c r="AA96" s="205"/>
      <c r="AB96" s="205"/>
    </row>
    <row r="97" s="78" customFormat="true" ht="14.25" hidden="false" customHeight="false" outlineLevel="0" collapsed="false">
      <c r="A97" s="206" t="s">
        <v>97</v>
      </c>
      <c r="B97" s="152" t="n">
        <v>1078.387097</v>
      </c>
      <c r="C97" s="207" t="n">
        <v>1025.633333</v>
      </c>
      <c r="D97" s="207" t="n">
        <v>1009.806452</v>
      </c>
      <c r="E97" s="207" t="n">
        <v>997.451613</v>
      </c>
      <c r="F97" s="207" t="n">
        <v>936.571429</v>
      </c>
      <c r="G97" s="207" t="n">
        <v>858.16129</v>
      </c>
      <c r="H97" s="207" t="n">
        <v>813.5</v>
      </c>
      <c r="I97" s="207" t="n">
        <v>0</v>
      </c>
      <c r="J97" s="207" t="n">
        <v>0</v>
      </c>
      <c r="K97" s="207" t="n">
        <v>0</v>
      </c>
      <c r="L97" s="207" t="n">
        <v>0</v>
      </c>
      <c r="M97" s="207" t="n">
        <v>0</v>
      </c>
      <c r="N97" s="207" t="n">
        <v>981.209677</v>
      </c>
      <c r="O97" s="90"/>
      <c r="P97" s="202"/>
      <c r="Q97" s="202"/>
      <c r="R97" s="202"/>
      <c r="S97" s="202"/>
      <c r="T97" s="202"/>
      <c r="U97" s="114"/>
      <c r="V97" s="203"/>
      <c r="W97" s="204"/>
      <c r="X97" s="204"/>
      <c r="Y97" s="204"/>
      <c r="Z97" s="204"/>
      <c r="AA97" s="205"/>
      <c r="AB97" s="205"/>
      <c r="AC97" s="205"/>
      <c r="AD97" s="205"/>
      <c r="AE97" s="205"/>
      <c r="AF97" s="205"/>
      <c r="AG97" s="205"/>
    </row>
    <row r="98" s="78" customFormat="true" ht="14.25" hidden="false" customHeight="false" outlineLevel="0" collapsed="false">
      <c r="A98" s="208" t="s">
        <v>98</v>
      </c>
      <c r="B98" s="152" t="n">
        <v>1538.612903</v>
      </c>
      <c r="C98" s="207" t="n">
        <v>1733.233333</v>
      </c>
      <c r="D98" s="207" t="n">
        <v>1889.193548</v>
      </c>
      <c r="E98" s="207" t="n">
        <v>1889.354839</v>
      </c>
      <c r="F98" s="207" t="n">
        <v>1804.392857</v>
      </c>
      <c r="G98" s="207" t="n">
        <v>1632.516129</v>
      </c>
      <c r="H98" s="207" t="n">
        <v>1518</v>
      </c>
      <c r="I98" s="207" t="n">
        <v>0</v>
      </c>
      <c r="J98" s="207" t="n">
        <v>0</v>
      </c>
      <c r="K98" s="207" t="n">
        <v>0</v>
      </c>
      <c r="L98" s="207" t="n">
        <v>0</v>
      </c>
      <c r="M98" s="207" t="n">
        <v>0</v>
      </c>
      <c r="N98" s="207" t="n">
        <v>1742.107527</v>
      </c>
      <c r="O98" s="90"/>
      <c r="P98" s="174"/>
      <c r="Q98" s="174"/>
      <c r="R98" s="174"/>
      <c r="S98" s="174"/>
      <c r="T98" s="174"/>
      <c r="U98" s="174"/>
      <c r="V98" s="196"/>
      <c r="W98" s="135"/>
      <c r="X98" s="135"/>
      <c r="Y98" s="135"/>
      <c r="Z98" s="135"/>
      <c r="AA98" s="205"/>
      <c r="AB98" s="205"/>
      <c r="AC98" s="205"/>
      <c r="AG98" s="205"/>
    </row>
    <row r="99" s="210" customFormat="true" ht="14.25" hidden="false" customHeight="false" outlineLevel="0" collapsed="false">
      <c r="A99" s="208" t="s">
        <v>100</v>
      </c>
      <c r="B99" s="152" t="n">
        <v>10002.129032</v>
      </c>
      <c r="C99" s="207" t="n">
        <v>9162.2</v>
      </c>
      <c r="D99" s="207" t="n">
        <v>8351.709677</v>
      </c>
      <c r="E99" s="207" t="n">
        <v>7807.483871</v>
      </c>
      <c r="F99" s="207" t="n">
        <v>7025.107143</v>
      </c>
      <c r="G99" s="207" t="n">
        <v>6219.677419</v>
      </c>
      <c r="H99" s="207" t="n">
        <v>5898</v>
      </c>
      <c r="I99" s="207" t="n">
        <v>0</v>
      </c>
      <c r="J99" s="207" t="n">
        <v>0</v>
      </c>
      <c r="K99" s="207" t="n">
        <v>0</v>
      </c>
      <c r="L99" s="207" t="n">
        <v>0</v>
      </c>
      <c r="M99" s="207" t="n">
        <v>0</v>
      </c>
      <c r="N99" s="207" t="n">
        <v>8058.989247</v>
      </c>
      <c r="O99" s="202"/>
      <c r="P99" s="202"/>
      <c r="Q99" s="202"/>
      <c r="R99" s="202"/>
      <c r="S99" s="202"/>
      <c r="T99" s="202"/>
      <c r="U99" s="202"/>
      <c r="V99" s="203"/>
      <c r="W99" s="209"/>
      <c r="X99" s="209"/>
      <c r="Y99" s="209"/>
      <c r="Z99" s="209"/>
      <c r="AA99" s="209"/>
      <c r="AB99" s="209"/>
      <c r="AC99" s="209"/>
      <c r="AD99" s="209"/>
      <c r="AE99" s="209"/>
      <c r="AF99" s="209"/>
      <c r="AG99" s="209"/>
    </row>
    <row r="100" s="78" customFormat="true" ht="14.25" hidden="false" customHeight="false" outlineLevel="0" collapsed="false">
      <c r="A100" s="197" t="s">
        <v>124</v>
      </c>
      <c r="B100" s="198" t="n">
        <v>50556.451613</v>
      </c>
      <c r="C100" s="199" t="n">
        <v>54688.066667</v>
      </c>
      <c r="D100" s="200" t="n">
        <v>58282.548387</v>
      </c>
      <c r="E100" s="199" t="n">
        <v>61235.193548</v>
      </c>
      <c r="F100" s="200" t="n">
        <v>58454.107143</v>
      </c>
      <c r="G100" s="199" t="n">
        <v>54566.258065</v>
      </c>
      <c r="H100" s="199" t="n">
        <v>52799.25</v>
      </c>
      <c r="I100" s="200" t="n">
        <v>0</v>
      </c>
      <c r="J100" s="199" t="n">
        <v>0</v>
      </c>
      <c r="K100" s="200" t="n">
        <v>0</v>
      </c>
      <c r="L100" s="200" t="n">
        <v>0</v>
      </c>
      <c r="M100" s="199" t="n">
        <v>0</v>
      </c>
      <c r="N100" s="200" t="n">
        <v>56195.741935</v>
      </c>
      <c r="O100" s="90"/>
      <c r="P100" s="202"/>
      <c r="Q100" s="202"/>
      <c r="R100" s="202"/>
      <c r="S100" s="202"/>
      <c r="T100" s="202"/>
      <c r="U100" s="202"/>
      <c r="V100" s="203"/>
      <c r="W100" s="205"/>
      <c r="X100" s="205"/>
      <c r="Y100" s="205"/>
      <c r="Z100" s="205"/>
      <c r="AA100" s="205"/>
      <c r="AB100" s="205"/>
      <c r="AC100" s="205"/>
      <c r="AD100" s="205"/>
      <c r="AE100" s="205"/>
      <c r="AF100" s="205"/>
      <c r="AG100" s="205"/>
    </row>
    <row r="101" s="78" customFormat="true" ht="14.25" hidden="false" customHeight="false" outlineLevel="0" collapsed="false">
      <c r="A101" s="206" t="s">
        <v>97</v>
      </c>
      <c r="B101" s="152" t="n">
        <v>16530</v>
      </c>
      <c r="C101" s="207" t="n">
        <v>16820.833333</v>
      </c>
      <c r="D101" s="207" t="n">
        <v>17363.387097</v>
      </c>
      <c r="E101" s="207" t="n">
        <v>17614.516129</v>
      </c>
      <c r="F101" s="207" t="n">
        <v>17477.571429</v>
      </c>
      <c r="G101" s="207" t="n">
        <v>17027.387097</v>
      </c>
      <c r="H101" s="207" t="n">
        <v>16928.25</v>
      </c>
      <c r="I101" s="207" t="n">
        <v>0</v>
      </c>
      <c r="J101" s="207" t="n">
        <v>0</v>
      </c>
      <c r="K101" s="207" t="n">
        <v>0</v>
      </c>
      <c r="L101" s="207" t="n">
        <v>0</v>
      </c>
      <c r="M101" s="207" t="n">
        <v>0</v>
      </c>
      <c r="N101" s="207" t="n">
        <v>17130.666667</v>
      </c>
      <c r="O101" s="90"/>
      <c r="P101" s="202"/>
      <c r="Q101" s="202"/>
      <c r="R101" s="202"/>
      <c r="S101" s="202"/>
      <c r="T101" s="202"/>
      <c r="U101" s="202"/>
      <c r="V101" s="203"/>
      <c r="W101" s="205"/>
      <c r="X101" s="205"/>
      <c r="Y101" s="205"/>
      <c r="Z101" s="205"/>
      <c r="AA101" s="205"/>
      <c r="AB101" s="205"/>
      <c r="AC101" s="139"/>
      <c r="AD101" s="205"/>
      <c r="AE101" s="205"/>
      <c r="AF101" s="205"/>
      <c r="AG101" s="205"/>
    </row>
    <row r="102" s="78" customFormat="true" ht="14.25" hidden="false" customHeight="false" outlineLevel="0" collapsed="false">
      <c r="A102" s="208" t="s">
        <v>98</v>
      </c>
      <c r="B102" s="152" t="n">
        <v>16080.096774</v>
      </c>
      <c r="C102" s="207" t="n">
        <v>17103.266667</v>
      </c>
      <c r="D102" s="207" t="n">
        <v>17846.129032</v>
      </c>
      <c r="E102" s="207" t="n">
        <v>18595.870968</v>
      </c>
      <c r="F102" s="207" t="n">
        <v>18137.857143</v>
      </c>
      <c r="G102" s="207" t="n">
        <v>17756.645161</v>
      </c>
      <c r="H102" s="207" t="n">
        <v>17431</v>
      </c>
      <c r="I102" s="207" t="n">
        <v>0</v>
      </c>
      <c r="J102" s="207" t="n">
        <v>0</v>
      </c>
      <c r="K102" s="207" t="n">
        <v>0</v>
      </c>
      <c r="L102" s="207" t="n">
        <v>0</v>
      </c>
      <c r="M102" s="207" t="n">
        <v>0</v>
      </c>
      <c r="N102" s="207" t="n">
        <v>17577.005376</v>
      </c>
      <c r="O102" s="90"/>
      <c r="P102" s="202"/>
      <c r="Q102" s="202"/>
      <c r="R102" s="202"/>
      <c r="S102" s="202"/>
      <c r="T102" s="114"/>
      <c r="U102" s="202"/>
      <c r="V102" s="203"/>
      <c r="W102" s="205"/>
      <c r="X102" s="205"/>
      <c r="Y102" s="205"/>
      <c r="Z102" s="205"/>
      <c r="AA102" s="205"/>
      <c r="AB102" s="205"/>
      <c r="AC102" s="205"/>
      <c r="AD102" s="205"/>
      <c r="AE102" s="205"/>
      <c r="AF102" s="205"/>
      <c r="AG102" s="205"/>
    </row>
    <row r="103" s="78" customFormat="true" ht="14.25" hidden="false" customHeight="false" outlineLevel="0" collapsed="false">
      <c r="A103" s="208" t="s">
        <v>100</v>
      </c>
      <c r="B103" s="207" t="n">
        <v>17946.354839</v>
      </c>
      <c r="C103" s="207" t="n">
        <v>20763.966667</v>
      </c>
      <c r="D103" s="207" t="n">
        <v>23073.032258</v>
      </c>
      <c r="E103" s="207" t="n">
        <v>25024.806452</v>
      </c>
      <c r="F103" s="207" t="n">
        <v>22838.678571</v>
      </c>
      <c r="G103" s="207" t="n">
        <v>19782.225806</v>
      </c>
      <c r="H103" s="207" t="n">
        <v>18440</v>
      </c>
      <c r="I103" s="207" t="n">
        <v>0</v>
      </c>
      <c r="J103" s="207" t="n">
        <v>0</v>
      </c>
      <c r="K103" s="207" t="n">
        <v>0</v>
      </c>
      <c r="L103" s="207" t="n">
        <v>0</v>
      </c>
      <c r="M103" s="207" t="n">
        <v>0</v>
      </c>
      <c r="N103" s="207" t="n">
        <v>21488.069892</v>
      </c>
      <c r="O103" s="90"/>
      <c r="P103" s="202"/>
      <c r="Q103" s="202"/>
      <c r="R103" s="202"/>
      <c r="S103" s="202"/>
      <c r="T103" s="202"/>
      <c r="U103" s="202"/>
      <c r="V103" s="203"/>
      <c r="W103" s="205"/>
      <c r="X103" s="205"/>
      <c r="Y103" s="205"/>
      <c r="Z103" s="139"/>
      <c r="AA103" s="205"/>
      <c r="AB103" s="205"/>
      <c r="AC103" s="205"/>
      <c r="AD103" s="205"/>
      <c r="AG103" s="205"/>
    </row>
    <row r="104" s="78" customFormat="true" ht="14.25" hidden="false" customHeight="false" outlineLevel="0" collapsed="false">
      <c r="A104" s="197" t="s">
        <v>125</v>
      </c>
      <c r="B104" s="198" t="n">
        <v>63175.580645</v>
      </c>
      <c r="C104" s="199" t="n">
        <v>66609.133333</v>
      </c>
      <c r="D104" s="200" t="n">
        <v>69533.258065</v>
      </c>
      <c r="E104" s="199" t="n">
        <v>71929.483871</v>
      </c>
      <c r="F104" s="200" t="n">
        <v>68220.178571</v>
      </c>
      <c r="G104" s="199" t="n">
        <v>63276.612903</v>
      </c>
      <c r="H104" s="199" t="n">
        <v>61028.75</v>
      </c>
      <c r="I104" s="200" t="n">
        <v>0</v>
      </c>
      <c r="J104" s="199" t="n">
        <v>0</v>
      </c>
      <c r="K104" s="200" t="n">
        <v>0</v>
      </c>
      <c r="L104" s="200" t="n">
        <v>0</v>
      </c>
      <c r="M104" s="199" t="n">
        <v>0</v>
      </c>
      <c r="N104" s="200" t="n">
        <v>66978.048387</v>
      </c>
      <c r="O104" s="90"/>
      <c r="P104" s="202"/>
      <c r="Q104" s="202"/>
      <c r="R104" s="202"/>
      <c r="S104" s="202"/>
      <c r="T104" s="202"/>
      <c r="U104" s="202"/>
      <c r="V104" s="203"/>
      <c r="W104" s="205"/>
      <c r="X104" s="205"/>
      <c r="Y104" s="205"/>
      <c r="Z104" s="205"/>
      <c r="AA104" s="205"/>
      <c r="AB104" s="205"/>
      <c r="AC104" s="205"/>
      <c r="AD104" s="205"/>
      <c r="AG104" s="205"/>
    </row>
    <row r="105" s="78" customFormat="true" ht="14.25" hidden="false" customHeight="false" outlineLevel="0" collapsed="false">
      <c r="A105" s="206" t="s">
        <v>97</v>
      </c>
      <c r="B105" s="152" t="n">
        <v>17608.387097</v>
      </c>
      <c r="C105" s="207" t="n">
        <v>17846.466667</v>
      </c>
      <c r="D105" s="207" t="n">
        <v>18373.193548</v>
      </c>
      <c r="E105" s="207" t="n">
        <v>18611.967742</v>
      </c>
      <c r="F105" s="207" t="n">
        <v>18414.142857</v>
      </c>
      <c r="G105" s="207" t="n">
        <v>17885.548387</v>
      </c>
      <c r="H105" s="207" t="n">
        <v>17741.75</v>
      </c>
      <c r="I105" s="207" t="n">
        <v>0</v>
      </c>
      <c r="J105" s="207" t="n">
        <v>0</v>
      </c>
      <c r="K105" s="207" t="n">
        <v>0</v>
      </c>
      <c r="L105" s="207" t="n">
        <v>0</v>
      </c>
      <c r="M105" s="207" t="n">
        <v>0</v>
      </c>
      <c r="N105" s="207" t="n">
        <v>18111.876344</v>
      </c>
      <c r="O105" s="90"/>
      <c r="P105" s="202"/>
      <c r="Q105" s="202"/>
      <c r="R105" s="205"/>
      <c r="S105" s="202"/>
      <c r="T105" s="202"/>
      <c r="U105" s="202"/>
      <c r="V105" s="203"/>
      <c r="W105" s="205"/>
      <c r="X105" s="205"/>
      <c r="Y105" s="205"/>
      <c r="Z105" s="205"/>
      <c r="AA105" s="205"/>
      <c r="AB105" s="205"/>
    </row>
    <row r="106" s="78" customFormat="true" ht="14.25" hidden="false" customHeight="false" outlineLevel="0" collapsed="false">
      <c r="A106" s="208" t="s">
        <v>98</v>
      </c>
      <c r="B106" s="152" t="n">
        <v>17618.709677</v>
      </c>
      <c r="C106" s="207" t="n">
        <v>18836.5</v>
      </c>
      <c r="D106" s="207" t="n">
        <v>19735.322581</v>
      </c>
      <c r="E106" s="207" t="n">
        <v>20485.225806</v>
      </c>
      <c r="F106" s="207" t="n">
        <v>19942.25</v>
      </c>
      <c r="G106" s="207" t="n">
        <v>19389.16129</v>
      </c>
      <c r="H106" s="207" t="n">
        <v>18949</v>
      </c>
      <c r="I106" s="207" t="n">
        <v>0</v>
      </c>
      <c r="J106" s="207" t="n">
        <v>0</v>
      </c>
      <c r="K106" s="207" t="n">
        <v>0</v>
      </c>
      <c r="L106" s="207" t="n">
        <v>0</v>
      </c>
      <c r="M106" s="207" t="n">
        <v>0</v>
      </c>
      <c r="N106" s="207" t="n">
        <v>19319.112903</v>
      </c>
      <c r="O106" s="90"/>
      <c r="P106" s="202"/>
      <c r="Q106" s="202"/>
      <c r="R106" s="114"/>
      <c r="S106" s="202"/>
      <c r="T106" s="202"/>
      <c r="U106" s="202"/>
      <c r="V106" s="203"/>
      <c r="W106" s="205"/>
      <c r="X106" s="205"/>
      <c r="Y106" s="205"/>
      <c r="Z106" s="205"/>
      <c r="AA106" s="205"/>
      <c r="AB106" s="205"/>
    </row>
    <row r="107" s="78" customFormat="true" ht="14.25" hidden="false" customHeight="false" outlineLevel="0" collapsed="false">
      <c r="A107" s="208" t="s">
        <v>100</v>
      </c>
      <c r="B107" s="152" t="n">
        <v>27948.483871</v>
      </c>
      <c r="C107" s="207" t="n">
        <v>29926.166667</v>
      </c>
      <c r="D107" s="207" t="n">
        <v>31424.741935</v>
      </c>
      <c r="E107" s="207" t="n">
        <v>32832.290323</v>
      </c>
      <c r="F107" s="207" t="n">
        <v>29863.785714</v>
      </c>
      <c r="G107" s="207" t="n">
        <v>26001.903226</v>
      </c>
      <c r="H107" s="207" t="n">
        <v>24338</v>
      </c>
      <c r="I107" s="207" t="n">
        <v>0</v>
      </c>
      <c r="J107" s="207" t="n">
        <v>0</v>
      </c>
      <c r="K107" s="207" t="n">
        <v>0</v>
      </c>
      <c r="L107" s="207" t="n">
        <v>0</v>
      </c>
      <c r="M107" s="207" t="n">
        <v>0</v>
      </c>
      <c r="N107" s="207" t="n">
        <v>29547.05914</v>
      </c>
      <c r="O107" s="90"/>
      <c r="P107" s="202"/>
      <c r="Q107" s="202"/>
      <c r="R107" s="114"/>
      <c r="S107" s="114"/>
      <c r="T107" s="202"/>
      <c r="U107" s="202"/>
      <c r="V107" s="203"/>
      <c r="W107" s="205"/>
      <c r="X107" s="205"/>
      <c r="Y107" s="205"/>
      <c r="Z107" s="205"/>
      <c r="AA107" s="205"/>
      <c r="AB107" s="205"/>
    </row>
    <row r="108" s="78" customFormat="true" ht="14.25" hidden="false" customHeight="false" outlineLevel="0" collapsed="false">
      <c r="A108" s="155"/>
      <c r="F108" s="75"/>
      <c r="G108" s="75"/>
      <c r="H108" s="75"/>
      <c r="I108" s="75"/>
      <c r="J108" s="75"/>
      <c r="K108" s="75"/>
      <c r="L108" s="90"/>
      <c r="M108" s="90"/>
      <c r="N108" s="90"/>
      <c r="O108" s="90"/>
      <c r="P108" s="202"/>
      <c r="Q108" s="202"/>
      <c r="R108" s="202"/>
      <c r="S108" s="114"/>
      <c r="T108" s="202"/>
      <c r="U108" s="202"/>
      <c r="V108" s="203"/>
      <c r="W108" s="205"/>
      <c r="X108" s="205"/>
      <c r="Y108" s="205"/>
      <c r="Z108" s="205"/>
      <c r="AA108" s="205"/>
      <c r="AB108" s="205"/>
    </row>
    <row r="109" s="78" customFormat="true" ht="12" hidden="false" customHeight="true" outlineLevel="0" collapsed="false">
      <c r="A109" s="211"/>
      <c r="B109" s="211"/>
      <c r="C109" s="211"/>
      <c r="D109" s="211"/>
      <c r="E109" s="211"/>
      <c r="F109" s="211"/>
      <c r="G109" s="211"/>
      <c r="H109" s="211"/>
      <c r="I109" s="211"/>
      <c r="J109" s="211"/>
      <c r="K109" s="211"/>
      <c r="L109" s="211"/>
      <c r="M109" s="211"/>
      <c r="N109" s="211"/>
      <c r="O109" s="211"/>
      <c r="P109" s="211"/>
      <c r="Q109" s="211"/>
      <c r="R109" s="211"/>
      <c r="S109" s="211"/>
      <c r="T109" s="211"/>
      <c r="U109" s="211"/>
      <c r="V109" s="211"/>
    </row>
    <row r="110" s="78" customFormat="true" ht="14.25" hidden="false" customHeight="false" outlineLevel="0" collapsed="false">
      <c r="A110" s="155"/>
      <c r="F110" s="75"/>
      <c r="G110" s="75"/>
      <c r="H110" s="75"/>
      <c r="I110" s="75"/>
      <c r="J110" s="75"/>
      <c r="K110" s="75"/>
      <c r="L110" s="90"/>
      <c r="M110" s="90"/>
      <c r="N110" s="90"/>
      <c r="O110" s="90"/>
      <c r="P110" s="90"/>
      <c r="Q110" s="90"/>
      <c r="R110" s="90"/>
      <c r="S110" s="90"/>
      <c r="T110" s="90"/>
      <c r="U110" s="90"/>
      <c r="V110" s="154"/>
      <c r="AA110" s="138"/>
      <c r="AB110" s="138"/>
      <c r="AC110" s="138"/>
      <c r="AD110" s="138"/>
      <c r="AE110" s="138"/>
      <c r="AF110" s="138"/>
      <c r="AG110" s="138"/>
    </row>
    <row r="111" s="78" customFormat="true" ht="24.75" hidden="false" customHeight="true" outlineLevel="0" collapsed="false">
      <c r="A111" s="195" t="s">
        <v>126</v>
      </c>
      <c r="B111" s="195"/>
      <c r="C111" s="195"/>
      <c r="D111" s="195"/>
      <c r="E111" s="195"/>
      <c r="F111" s="195"/>
      <c r="G111" s="195"/>
      <c r="H111" s="195"/>
      <c r="I111" s="195"/>
      <c r="J111" s="195"/>
      <c r="K111" s="195"/>
      <c r="L111" s="195"/>
      <c r="M111" s="195"/>
      <c r="N111" s="195"/>
      <c r="O111" s="90"/>
      <c r="P111" s="90"/>
      <c r="Q111" s="174"/>
      <c r="R111" s="174"/>
      <c r="S111" s="174"/>
      <c r="T111" s="174"/>
      <c r="U111" s="174"/>
      <c r="V111" s="196"/>
      <c r="W111" s="138"/>
      <c r="X111" s="138"/>
      <c r="Y111" s="138"/>
      <c r="Z111" s="138"/>
      <c r="AA111" s="138"/>
      <c r="AB111" s="138"/>
    </row>
    <row r="112" s="78" customFormat="true" ht="14.25" hidden="false" customHeight="false" outlineLevel="0" collapsed="false">
      <c r="A112" s="101" t="s">
        <v>84</v>
      </c>
      <c r="B112" s="101" t="s">
        <v>85</v>
      </c>
      <c r="C112" s="101" t="s">
        <v>86</v>
      </c>
      <c r="D112" s="101" t="s">
        <v>87</v>
      </c>
      <c r="E112" s="101" t="s">
        <v>88</v>
      </c>
      <c r="F112" s="101" t="s">
        <v>89</v>
      </c>
      <c r="G112" s="101" t="s">
        <v>90</v>
      </c>
      <c r="H112" s="101" t="s">
        <v>91</v>
      </c>
      <c r="I112" s="101" t="s">
        <v>92</v>
      </c>
      <c r="J112" s="101" t="s">
        <v>93</v>
      </c>
      <c r="K112" s="101" t="s">
        <v>94</v>
      </c>
      <c r="L112" s="101" t="s">
        <v>95</v>
      </c>
      <c r="M112" s="101" t="s">
        <v>96</v>
      </c>
      <c r="N112" s="101" t="s">
        <v>122</v>
      </c>
      <c r="O112" s="90"/>
      <c r="P112" s="174"/>
      <c r="Q112" s="174"/>
      <c r="R112" s="174"/>
      <c r="S112" s="174"/>
      <c r="T112" s="174"/>
      <c r="U112" s="174"/>
      <c r="V112" s="196"/>
      <c r="W112" s="138"/>
      <c r="X112" s="138"/>
      <c r="Y112" s="138"/>
      <c r="Z112" s="138"/>
      <c r="AA112" s="138"/>
      <c r="AB112" s="138"/>
      <c r="AC112" s="205"/>
      <c r="AD112" s="205"/>
      <c r="AE112" s="205"/>
      <c r="AF112" s="205"/>
      <c r="AG112" s="205"/>
      <c r="AH112" s="205"/>
    </row>
    <row r="113" s="78" customFormat="true" ht="12.75" hidden="false" customHeight="true" outlineLevel="0" collapsed="false">
      <c r="A113" s="197" t="s">
        <v>123</v>
      </c>
      <c r="B113" s="212" t="n">
        <v>74.7056597281954</v>
      </c>
      <c r="C113" s="213" t="n">
        <v>92.0932055749128</v>
      </c>
      <c r="D113" s="214" t="n">
        <v>96.1851094293311</v>
      </c>
      <c r="E113" s="213" t="n">
        <v>100.374651810584</v>
      </c>
      <c r="F113" s="214" t="n">
        <v>94.4614805520702</v>
      </c>
      <c r="G113" s="213" t="n">
        <v>97.8602421796165</v>
      </c>
      <c r="H113" s="213" t="n">
        <v>88.287072243346</v>
      </c>
      <c r="I113" s="214" t="n">
        <v>0</v>
      </c>
      <c r="J113" s="213" t="n">
        <v>0</v>
      </c>
      <c r="K113" s="214" t="n">
        <v>0</v>
      </c>
      <c r="L113" s="214" t="n">
        <v>0</v>
      </c>
      <c r="M113" s="213" t="n">
        <v>0</v>
      </c>
      <c r="N113" s="214" t="n">
        <v>91.5555436834419</v>
      </c>
      <c r="O113" s="90"/>
      <c r="P113" s="90"/>
      <c r="Q113" s="174"/>
      <c r="R113" s="174"/>
      <c r="S113" s="174"/>
      <c r="T113" s="174"/>
      <c r="U113" s="174"/>
      <c r="V113" s="196"/>
      <c r="W113" s="138"/>
      <c r="X113" s="138"/>
      <c r="Y113" s="138"/>
      <c r="Z113" s="138"/>
      <c r="AA113" s="138"/>
      <c r="AB113" s="138"/>
      <c r="AC113" s="205"/>
      <c r="AD113" s="205"/>
      <c r="AE113" s="205"/>
      <c r="AF113" s="205"/>
      <c r="AG113" s="205"/>
      <c r="AH113" s="205"/>
    </row>
    <row r="114" s="78" customFormat="true" ht="14.25" hidden="false" customHeight="false" outlineLevel="0" collapsed="false">
      <c r="A114" s="206" t="s">
        <v>97</v>
      </c>
      <c r="B114" s="215" t="n">
        <v>32.780303030303</v>
      </c>
      <c r="C114" s="216" t="n">
        <v>38.0445609436435</v>
      </c>
      <c r="D114" s="216" t="n">
        <v>34.8331539289558</v>
      </c>
      <c r="E114" s="216" t="n">
        <v>45.7702888583218</v>
      </c>
      <c r="F114" s="216" t="n">
        <v>56.2247557003257</v>
      </c>
      <c r="G114" s="216" t="n">
        <v>67.2222222222222</v>
      </c>
      <c r="H114" s="216" t="n">
        <v>59.4086021505376</v>
      </c>
      <c r="I114" s="216" t="n">
        <v>0</v>
      </c>
      <c r="J114" s="216" t="n">
        <v>0</v>
      </c>
      <c r="K114" s="216" t="n">
        <v>0</v>
      </c>
      <c r="L114" s="216" t="n">
        <v>0</v>
      </c>
      <c r="M114" s="216" t="n">
        <v>0</v>
      </c>
      <c r="N114" s="216" t="n">
        <v>43.3185802865084</v>
      </c>
      <c r="O114" s="90"/>
      <c r="P114" s="90"/>
      <c r="Q114" s="90"/>
      <c r="R114" s="174"/>
      <c r="S114" s="174"/>
      <c r="T114" s="174"/>
      <c r="U114" s="174"/>
      <c r="V114" s="196"/>
      <c r="W114" s="138"/>
      <c r="X114" s="138"/>
      <c r="Y114" s="138"/>
      <c r="Z114" s="138"/>
      <c r="AA114" s="205"/>
      <c r="AB114" s="205"/>
      <c r="AC114" s="139"/>
      <c r="AD114" s="205"/>
      <c r="AE114" s="205"/>
      <c r="AF114" s="205"/>
      <c r="AH114" s="205"/>
    </row>
    <row r="115" s="78" customFormat="true" ht="14.25" hidden="false" customHeight="false" outlineLevel="0" collapsed="false">
      <c r="A115" s="208" t="s">
        <v>98</v>
      </c>
      <c r="B115" s="215" t="n">
        <v>38.6749192680301</v>
      </c>
      <c r="C115" s="216" t="n">
        <v>41.7237136465324</v>
      </c>
      <c r="D115" s="216" t="n">
        <v>46.5362462760675</v>
      </c>
      <c r="E115" s="216" t="n">
        <v>51.9755826859045</v>
      </c>
      <c r="F115" s="216" t="n">
        <v>58.2808460634547</v>
      </c>
      <c r="G115" s="216" t="n">
        <v>62.1716247139588</v>
      </c>
      <c r="H115" s="216" t="n">
        <v>47.5959595959596</v>
      </c>
      <c r="I115" s="216" t="n">
        <v>0</v>
      </c>
      <c r="J115" s="216" t="n">
        <v>0</v>
      </c>
      <c r="K115" s="216" t="n">
        <v>0</v>
      </c>
      <c r="L115" s="216" t="n">
        <v>0</v>
      </c>
      <c r="M115" s="216" t="n">
        <v>0</v>
      </c>
      <c r="N115" s="216" t="n">
        <v>49.6073807380738</v>
      </c>
      <c r="O115" s="90"/>
      <c r="P115" s="90"/>
      <c r="Q115" s="174"/>
      <c r="R115" s="174"/>
      <c r="S115" s="174"/>
      <c r="T115" s="174"/>
      <c r="U115" s="174"/>
      <c r="V115" s="196"/>
      <c r="W115" s="138"/>
      <c r="X115" s="138"/>
      <c r="AA115" s="205"/>
      <c r="AB115" s="205"/>
      <c r="AC115" s="205"/>
      <c r="AD115" s="205"/>
      <c r="AE115" s="205"/>
      <c r="AF115" s="205"/>
      <c r="AG115" s="205"/>
      <c r="AH115" s="205"/>
    </row>
    <row r="116" s="78" customFormat="true" ht="14.25" hidden="false" customHeight="false" outlineLevel="0" collapsed="false">
      <c r="A116" s="208" t="s">
        <v>100</v>
      </c>
      <c r="B116" s="215" t="n">
        <v>95.0154127481713</v>
      </c>
      <c r="C116" s="216" t="n">
        <v>121.486541737649</v>
      </c>
      <c r="D116" s="216" t="n">
        <v>132.416864205892</v>
      </c>
      <c r="E116" s="216" t="n">
        <v>131.458582089552</v>
      </c>
      <c r="F116" s="216" t="n">
        <v>115.996031746031</v>
      </c>
      <c r="G116" s="216" t="n">
        <v>115.724470134874</v>
      </c>
      <c r="H116" s="216" t="n">
        <v>108.389221556886</v>
      </c>
      <c r="I116" s="216" t="n">
        <v>0</v>
      </c>
      <c r="J116" s="216" t="n">
        <v>0</v>
      </c>
      <c r="K116" s="216" t="n">
        <v>0</v>
      </c>
      <c r="L116" s="216" t="n">
        <v>0</v>
      </c>
      <c r="M116" s="216" t="n">
        <v>0</v>
      </c>
      <c r="N116" s="216" t="n">
        <v>117.256094144017</v>
      </c>
      <c r="O116" s="90"/>
      <c r="P116" s="174"/>
      <c r="Q116" s="174"/>
      <c r="R116" s="174"/>
      <c r="S116" s="174"/>
      <c r="T116" s="174"/>
      <c r="U116" s="174"/>
      <c r="V116" s="196"/>
      <c r="W116" s="138"/>
      <c r="X116" s="138"/>
      <c r="Y116" s="138"/>
      <c r="Z116" s="138"/>
    </row>
    <row r="117" s="78" customFormat="true" ht="14.25" hidden="false" customHeight="false" outlineLevel="0" collapsed="false">
      <c r="A117" s="197" t="s">
        <v>124</v>
      </c>
      <c r="B117" s="212" t="n">
        <v>42.2944569542552</v>
      </c>
      <c r="C117" s="213" t="n">
        <v>41.225124915181</v>
      </c>
      <c r="D117" s="214" t="n">
        <v>40.3824075686342</v>
      </c>
      <c r="E117" s="213" t="n">
        <v>44.963657332111</v>
      </c>
      <c r="F117" s="214" t="n">
        <v>47.4073506431061</v>
      </c>
      <c r="G117" s="213" t="n">
        <v>50.7181490205432</v>
      </c>
      <c r="H117" s="213" t="n">
        <v>45.2385575589459</v>
      </c>
      <c r="I117" s="214" t="n">
        <v>0</v>
      </c>
      <c r="J117" s="213" t="n">
        <v>0</v>
      </c>
      <c r="K117" s="214" t="n">
        <v>0</v>
      </c>
      <c r="L117" s="214" t="n">
        <v>0</v>
      </c>
      <c r="M117" s="213" t="n">
        <v>0</v>
      </c>
      <c r="N117" s="214" t="n">
        <v>44.5200161150852</v>
      </c>
      <c r="O117" s="90"/>
      <c r="P117" s="174"/>
      <c r="Q117" s="174"/>
      <c r="R117" s="202"/>
      <c r="S117" s="202"/>
      <c r="T117" s="202"/>
      <c r="U117" s="202"/>
      <c r="V117" s="154"/>
      <c r="Z117" s="138"/>
      <c r="AA117" s="138"/>
      <c r="AB117" s="138"/>
      <c r="AC117" s="138"/>
      <c r="AD117" s="138"/>
      <c r="AE117" s="138"/>
      <c r="AF117" s="138"/>
    </row>
    <row r="118" s="78" customFormat="true" ht="14.25" hidden="false" customHeight="false" outlineLevel="0" collapsed="false">
      <c r="A118" s="206" t="s">
        <v>97</v>
      </c>
      <c r="B118" s="215" t="n">
        <v>48.2560639208598</v>
      </c>
      <c r="C118" s="216" t="n">
        <v>47.0091373550795</v>
      </c>
      <c r="D118" s="216" t="n">
        <v>44.9416674661805</v>
      </c>
      <c r="E118" s="216" t="n">
        <v>46.4253990994678</v>
      </c>
      <c r="F118" s="216" t="n">
        <v>46.0062602627257</v>
      </c>
      <c r="G118" s="216" t="n">
        <v>51.5860659822585</v>
      </c>
      <c r="H118" s="216" t="n">
        <v>43.3111298482293</v>
      </c>
      <c r="I118" s="216" t="n">
        <v>0</v>
      </c>
      <c r="J118" s="216" t="n">
        <v>0</v>
      </c>
      <c r="K118" s="216" t="n">
        <v>0</v>
      </c>
      <c r="L118" s="216" t="n">
        <v>0</v>
      </c>
      <c r="M118" s="216" t="n">
        <v>0</v>
      </c>
      <c r="N118" s="216" t="n">
        <v>47.2939902019434</v>
      </c>
      <c r="O118" s="90"/>
      <c r="P118" s="174"/>
      <c r="Q118" s="174"/>
      <c r="R118" s="174"/>
      <c r="S118" s="174"/>
      <c r="T118" s="174"/>
      <c r="U118" s="202"/>
      <c r="V118" s="196"/>
      <c r="W118" s="138"/>
      <c r="X118" s="138"/>
      <c r="Y118" s="138"/>
      <c r="Z118" s="138"/>
      <c r="AA118" s="138"/>
      <c r="AB118" s="138"/>
      <c r="AC118" s="138"/>
    </row>
    <row r="119" s="78" customFormat="true" ht="12" hidden="false" customHeight="true" outlineLevel="0" collapsed="false">
      <c r="A119" s="208" t="s">
        <v>98</v>
      </c>
      <c r="B119" s="215" t="n">
        <v>44.329607280641</v>
      </c>
      <c r="C119" s="216" t="n">
        <v>44.3821479811436</v>
      </c>
      <c r="D119" s="216" t="n">
        <v>43.8692674210839</v>
      </c>
      <c r="E119" s="216" t="n">
        <v>47.7990459758449</v>
      </c>
      <c r="F119" s="216" t="n">
        <v>48.0583591485959</v>
      </c>
      <c r="G119" s="216" t="n">
        <v>49.6565023273487</v>
      </c>
      <c r="H119" s="216" t="n">
        <v>44.6157894736842</v>
      </c>
      <c r="I119" s="216" t="n">
        <v>0</v>
      </c>
      <c r="J119" s="216" t="n">
        <v>0</v>
      </c>
      <c r="K119" s="216" t="n">
        <v>0</v>
      </c>
      <c r="L119" s="216" t="n">
        <v>0</v>
      </c>
      <c r="M119" s="216" t="n">
        <v>0</v>
      </c>
      <c r="N119" s="216" t="n">
        <v>46.3432680419079</v>
      </c>
      <c r="O119" s="90"/>
      <c r="P119" s="174"/>
      <c r="Q119" s="174"/>
      <c r="R119" s="202"/>
      <c r="S119" s="202"/>
      <c r="T119" s="202"/>
      <c r="U119" s="202"/>
      <c r="V119" s="196"/>
      <c r="W119" s="138"/>
      <c r="X119" s="138"/>
      <c r="Y119" s="138"/>
      <c r="Z119" s="138"/>
      <c r="AA119" s="138"/>
      <c r="AB119" s="138"/>
    </row>
    <row r="120" s="78" customFormat="true" ht="14.25" hidden="false" customHeight="false" outlineLevel="0" collapsed="false">
      <c r="A120" s="208" t="s">
        <v>100</v>
      </c>
      <c r="B120" s="215" t="n">
        <v>35.2377723149953</v>
      </c>
      <c r="C120" s="216" t="n">
        <v>34.0430081691494</v>
      </c>
      <c r="D120" s="216" t="n">
        <v>34.462502686054</v>
      </c>
      <c r="E120" s="216" t="n">
        <v>41.9886555806087</v>
      </c>
      <c r="F120" s="216" t="n">
        <v>47.9350831792976</v>
      </c>
      <c r="G120" s="216" t="n">
        <v>50.9083134293859</v>
      </c>
      <c r="H120" s="216" t="n">
        <v>47.5809225957779</v>
      </c>
      <c r="I120" s="216" t="n">
        <v>0</v>
      </c>
      <c r="J120" s="216" t="n">
        <v>0</v>
      </c>
      <c r="K120" s="216" t="n">
        <v>0</v>
      </c>
      <c r="L120" s="216" t="n">
        <v>0</v>
      </c>
      <c r="M120" s="216" t="n">
        <v>0</v>
      </c>
      <c r="N120" s="216" t="n">
        <v>40.9842057367955</v>
      </c>
      <c r="O120" s="90"/>
      <c r="P120" s="174"/>
      <c r="Q120" s="174"/>
      <c r="R120" s="174"/>
      <c r="S120" s="174"/>
      <c r="T120" s="174"/>
      <c r="U120" s="174"/>
      <c r="V120" s="196"/>
      <c r="W120" s="138"/>
      <c r="X120" s="138"/>
      <c r="Y120" s="138"/>
      <c r="Z120" s="138"/>
      <c r="AA120" s="138"/>
      <c r="AB120" s="138"/>
    </row>
    <row r="121" s="78" customFormat="true" ht="14.25" hidden="false" customHeight="false" outlineLevel="0" collapsed="false">
      <c r="A121" s="197" t="s">
        <v>125</v>
      </c>
      <c r="B121" s="212" t="n">
        <v>47.222431471019</v>
      </c>
      <c r="C121" s="213" t="n">
        <v>47.5358783163127</v>
      </c>
      <c r="D121" s="214" t="n">
        <v>47.3160850890792</v>
      </c>
      <c r="E121" s="213" t="n">
        <v>51.2249180327868</v>
      </c>
      <c r="F121" s="214" t="n">
        <v>52.439709079198</v>
      </c>
      <c r="G121" s="213" t="n">
        <v>55.7009839212863</v>
      </c>
      <c r="H121" s="213" t="n">
        <v>50.719922536916</v>
      </c>
      <c r="I121" s="214" t="n">
        <v>0</v>
      </c>
      <c r="J121" s="213" t="n">
        <v>0</v>
      </c>
      <c r="K121" s="214" t="n">
        <v>0</v>
      </c>
      <c r="L121" s="214" t="n">
        <v>0</v>
      </c>
      <c r="M121" s="213" t="n">
        <v>0</v>
      </c>
      <c r="N121" s="214" t="n">
        <v>50.221839879454</v>
      </c>
      <c r="O121" s="90"/>
      <c r="P121" s="90"/>
      <c r="Q121" s="90"/>
      <c r="R121" s="90"/>
      <c r="S121" s="90"/>
      <c r="T121" s="90"/>
      <c r="U121" s="90"/>
      <c r="V121" s="154"/>
    </row>
    <row r="122" s="78" customFormat="true" ht="14.25" hidden="false" customHeight="false" outlineLevel="0" collapsed="false">
      <c r="A122" s="206" t="s">
        <v>97</v>
      </c>
      <c r="B122" s="215" t="n">
        <v>46.8434609732906</v>
      </c>
      <c r="C122" s="216" t="n">
        <v>46.3839685586326</v>
      </c>
      <c r="D122" s="216" t="n">
        <v>44.1144291754756</v>
      </c>
      <c r="E122" s="216" t="n">
        <v>46.3800361939232</v>
      </c>
      <c r="F122" s="216" t="n">
        <v>46.6119907318015</v>
      </c>
      <c r="G122" s="216" t="n">
        <v>52.3212386018237</v>
      </c>
      <c r="H122" s="216" t="n">
        <v>44.4816262705238</v>
      </c>
      <c r="I122" s="216" t="n">
        <v>0</v>
      </c>
      <c r="J122" s="216" t="n">
        <v>0</v>
      </c>
      <c r="K122" s="216" t="n">
        <v>0</v>
      </c>
      <c r="L122" s="216" t="n">
        <v>0</v>
      </c>
      <c r="M122" s="216" t="n">
        <v>0</v>
      </c>
      <c r="N122" s="216" t="n">
        <v>47.0145056068304</v>
      </c>
      <c r="O122" s="90"/>
      <c r="P122" s="90"/>
      <c r="Q122" s="90"/>
      <c r="R122" s="90"/>
      <c r="S122" s="90"/>
      <c r="T122" s="90"/>
      <c r="U122" s="90"/>
      <c r="V122" s="154"/>
    </row>
    <row r="123" s="78" customFormat="true" ht="14.25" hidden="false" customHeight="false" outlineLevel="0" collapsed="false">
      <c r="A123" s="208" t="s">
        <v>98</v>
      </c>
      <c r="B123" s="215" t="n">
        <v>43.8536872621851</v>
      </c>
      <c r="C123" s="216" t="n">
        <v>44.1590311678558</v>
      </c>
      <c r="D123" s="216" t="n">
        <v>44.1116325241404</v>
      </c>
      <c r="E123" s="216" t="n">
        <v>48.1489678259252</v>
      </c>
      <c r="F123" s="216" t="n">
        <v>48.8595505617977</v>
      </c>
      <c r="G123" s="216" t="n">
        <v>50.61591088501</v>
      </c>
      <c r="H123" s="216" t="n">
        <v>44.8539144471347</v>
      </c>
      <c r="I123" s="216" t="n">
        <v>0</v>
      </c>
      <c r="J123" s="216" t="n">
        <v>0</v>
      </c>
      <c r="K123" s="216" t="n">
        <v>0</v>
      </c>
      <c r="L123" s="216" t="n">
        <v>0</v>
      </c>
      <c r="M123" s="216" t="n">
        <v>0</v>
      </c>
      <c r="N123" s="216" t="n">
        <v>46.613804216463</v>
      </c>
      <c r="O123" s="90"/>
      <c r="P123" s="90"/>
      <c r="Q123" s="90"/>
      <c r="R123" s="90"/>
      <c r="S123" s="90"/>
      <c r="T123" s="90"/>
      <c r="U123" s="90"/>
      <c r="V123" s="154"/>
    </row>
    <row r="124" s="78" customFormat="true" ht="14.25" hidden="false" customHeight="false" outlineLevel="0" collapsed="false">
      <c r="A124" s="208" t="s">
        <v>100</v>
      </c>
      <c r="B124" s="215" t="n">
        <v>49.882816</v>
      </c>
      <c r="C124" s="216" t="n">
        <v>50.6856883470592</v>
      </c>
      <c r="D124" s="216" t="n">
        <v>51.5642662882819</v>
      </c>
      <c r="E124" s="216" t="n">
        <v>56.2003319108582</v>
      </c>
      <c r="F124" s="216" t="n">
        <v>58.6246182611405</v>
      </c>
      <c r="G124" s="216" t="n">
        <v>61.7082316681648</v>
      </c>
      <c r="H124" s="216" t="n">
        <v>60.1723496590204</v>
      </c>
      <c r="I124" s="216" t="n">
        <v>0</v>
      </c>
      <c r="J124" s="216" t="n">
        <v>0</v>
      </c>
      <c r="K124" s="216" t="n">
        <v>0</v>
      </c>
      <c r="L124" s="216" t="n">
        <v>0</v>
      </c>
      <c r="M124" s="216" t="n">
        <v>0</v>
      </c>
      <c r="N124" s="216" t="n">
        <v>54.8636298743677</v>
      </c>
      <c r="O124" s="90"/>
      <c r="P124" s="90"/>
      <c r="Q124" s="90"/>
      <c r="R124" s="90"/>
      <c r="S124" s="90"/>
      <c r="T124" s="90"/>
      <c r="U124" s="90"/>
      <c r="V124" s="154"/>
    </row>
    <row r="125" s="78" customFormat="true" ht="14.25" hidden="false" customHeight="false" outlineLevel="0" collapsed="false">
      <c r="A125" s="155"/>
      <c r="F125" s="75"/>
      <c r="G125" s="75"/>
      <c r="H125" s="75"/>
      <c r="I125" s="75"/>
      <c r="J125" s="75"/>
      <c r="K125" s="75"/>
      <c r="L125" s="90"/>
      <c r="M125" s="90"/>
      <c r="N125" s="90"/>
      <c r="O125" s="90"/>
      <c r="P125" s="90"/>
      <c r="Q125" s="90"/>
      <c r="R125" s="90"/>
      <c r="S125" s="90"/>
      <c r="T125" s="90"/>
      <c r="U125" s="90"/>
      <c r="V125" s="154"/>
    </row>
    <row r="126" s="78" customFormat="true" ht="14.25" hidden="false" customHeight="false" outlineLevel="0" collapsed="false">
      <c r="A126" s="211"/>
      <c r="B126" s="211"/>
      <c r="C126" s="211"/>
      <c r="D126" s="211"/>
      <c r="E126" s="211"/>
      <c r="F126" s="211"/>
      <c r="G126" s="211"/>
      <c r="H126" s="211"/>
      <c r="I126" s="211"/>
      <c r="J126" s="211"/>
      <c r="K126" s="211"/>
      <c r="L126" s="211"/>
      <c r="M126" s="211"/>
      <c r="N126" s="211"/>
      <c r="O126" s="211"/>
      <c r="P126" s="211"/>
      <c r="Q126" s="211"/>
      <c r="R126" s="211"/>
      <c r="S126" s="211"/>
      <c r="T126" s="211"/>
      <c r="U126" s="211"/>
      <c r="V126" s="211"/>
    </row>
    <row r="127" s="78" customFormat="true" ht="14.25" hidden="false" customHeight="false" outlineLevel="0" collapsed="false">
      <c r="A127" s="155"/>
      <c r="F127" s="75"/>
      <c r="G127" s="75"/>
      <c r="H127" s="75"/>
      <c r="I127" s="75"/>
      <c r="J127" s="75"/>
      <c r="K127" s="75"/>
      <c r="L127" s="90"/>
      <c r="M127" s="90"/>
      <c r="N127" s="90"/>
      <c r="O127" s="90"/>
      <c r="P127" s="90"/>
      <c r="Q127" s="90"/>
      <c r="R127" s="90"/>
      <c r="S127" s="174"/>
      <c r="T127" s="174"/>
      <c r="U127" s="174"/>
      <c r="V127" s="196"/>
    </row>
    <row r="128" s="75" customFormat="true" ht="24.75" hidden="false" customHeight="true" outlineLevel="0" collapsed="false">
      <c r="A128" s="217" t="s">
        <v>127</v>
      </c>
      <c r="B128" s="217"/>
      <c r="C128" s="217"/>
      <c r="D128" s="217"/>
      <c r="E128" s="217"/>
      <c r="F128" s="217"/>
      <c r="G128" s="217"/>
      <c r="H128" s="217"/>
      <c r="I128" s="217"/>
      <c r="J128" s="217"/>
      <c r="K128" s="217"/>
      <c r="L128" s="217"/>
      <c r="M128" s="217"/>
      <c r="N128" s="217"/>
      <c r="O128" s="90"/>
      <c r="P128" s="174"/>
      <c r="Q128" s="174"/>
      <c r="R128" s="174"/>
      <c r="S128" s="174"/>
      <c r="T128" s="174"/>
      <c r="U128" s="174"/>
      <c r="V128" s="196"/>
      <c r="W128" s="163"/>
      <c r="X128" s="163"/>
      <c r="Y128" s="163"/>
      <c r="Z128" s="163"/>
      <c r="AA128" s="163"/>
      <c r="AB128" s="163"/>
    </row>
    <row r="129" s="78" customFormat="true" ht="14.25" hidden="false" customHeight="false" outlineLevel="0" collapsed="false">
      <c r="A129" s="100" t="s">
        <v>104</v>
      </c>
      <c r="B129" s="101" t="s">
        <v>85</v>
      </c>
      <c r="C129" s="101" t="s">
        <v>86</v>
      </c>
      <c r="D129" s="101" t="s">
        <v>87</v>
      </c>
      <c r="E129" s="101" t="s">
        <v>88</v>
      </c>
      <c r="F129" s="101" t="s">
        <v>89</v>
      </c>
      <c r="G129" s="101" t="s">
        <v>90</v>
      </c>
      <c r="H129" s="101" t="s">
        <v>91</v>
      </c>
      <c r="I129" s="101" t="s">
        <v>92</v>
      </c>
      <c r="J129" s="101" t="s">
        <v>93</v>
      </c>
      <c r="K129" s="101" t="s">
        <v>94</v>
      </c>
      <c r="L129" s="101" t="s">
        <v>95</v>
      </c>
      <c r="M129" s="101" t="s">
        <v>96</v>
      </c>
      <c r="N129" s="101" t="s">
        <v>122</v>
      </c>
      <c r="O129" s="90"/>
      <c r="P129" s="202"/>
      <c r="Q129" s="174"/>
      <c r="R129" s="174"/>
      <c r="S129" s="174"/>
      <c r="T129" s="174"/>
      <c r="U129" s="174"/>
      <c r="V129" s="196"/>
      <c r="W129" s="138"/>
      <c r="X129" s="138"/>
      <c r="Y129" s="138"/>
      <c r="Z129" s="138"/>
      <c r="AA129" s="138"/>
      <c r="AB129" s="138"/>
      <c r="AC129" s="138"/>
      <c r="AD129" s="138"/>
      <c r="AE129" s="138"/>
      <c r="AF129" s="138"/>
    </row>
    <row r="130" s="78" customFormat="true" ht="12.75" hidden="false" customHeight="true" outlineLevel="0" collapsed="false">
      <c r="A130" s="106" t="s">
        <v>19</v>
      </c>
      <c r="B130" s="198" t="n">
        <v>63175.580645</v>
      </c>
      <c r="C130" s="199" t="n">
        <v>66609.133333</v>
      </c>
      <c r="D130" s="200" t="n">
        <v>69533.258065</v>
      </c>
      <c r="E130" s="199" t="n">
        <v>71929.483871</v>
      </c>
      <c r="F130" s="200" t="n">
        <v>68220.178571</v>
      </c>
      <c r="G130" s="199" t="n">
        <v>63276.612903</v>
      </c>
      <c r="H130" s="199" t="n">
        <v>61028.75</v>
      </c>
      <c r="I130" s="200" t="n">
        <v>0</v>
      </c>
      <c r="J130" s="199" t="n">
        <v>0</v>
      </c>
      <c r="K130" s="200" t="n">
        <v>0</v>
      </c>
      <c r="L130" s="200" t="n">
        <v>0</v>
      </c>
      <c r="M130" s="199" t="n">
        <v>0</v>
      </c>
      <c r="N130" s="198" t="n">
        <v>66978.048387</v>
      </c>
      <c r="O130" s="90"/>
      <c r="P130" s="202"/>
      <c r="Q130" s="202"/>
      <c r="R130" s="202"/>
      <c r="S130" s="202"/>
      <c r="T130" s="114"/>
      <c r="U130" s="202"/>
      <c r="V130" s="203"/>
      <c r="W130" s="205"/>
      <c r="X130" s="205"/>
      <c r="Y130" s="205"/>
      <c r="Z130" s="205"/>
      <c r="AA130" s="205"/>
      <c r="AB130" s="205"/>
    </row>
    <row r="131" s="78" customFormat="true" ht="14.25" hidden="false" customHeight="false" outlineLevel="0" collapsed="false">
      <c r="A131" s="115" t="s">
        <v>67</v>
      </c>
      <c r="B131" s="152" t="n">
        <v>424.096774</v>
      </c>
      <c r="C131" s="207" t="n">
        <v>600</v>
      </c>
      <c r="D131" s="207" t="n">
        <v>860.548387</v>
      </c>
      <c r="E131" s="207" t="n">
        <v>926.645161</v>
      </c>
      <c r="F131" s="207" t="n">
        <v>452.714286</v>
      </c>
      <c r="G131" s="207" t="n">
        <v>143</v>
      </c>
      <c r="H131" s="207" t="n">
        <v>136</v>
      </c>
      <c r="I131" s="207" t="n">
        <v>0</v>
      </c>
      <c r="J131" s="207" t="n">
        <v>0</v>
      </c>
      <c r="K131" s="207" t="n">
        <v>0</v>
      </c>
      <c r="L131" s="207" t="n">
        <v>0</v>
      </c>
      <c r="M131" s="207" t="n">
        <v>0</v>
      </c>
      <c r="N131" s="207" t="n">
        <v>560.231183</v>
      </c>
      <c r="O131" s="90"/>
      <c r="P131" s="202"/>
      <c r="Q131" s="202"/>
      <c r="R131" s="202"/>
      <c r="S131" s="202"/>
      <c r="T131" s="202"/>
      <c r="U131" s="202"/>
      <c r="V131" s="203"/>
      <c r="W131" s="205"/>
      <c r="X131" s="205"/>
      <c r="Y131" s="205"/>
      <c r="Z131" s="205"/>
      <c r="AA131" s="138"/>
      <c r="AB131" s="205"/>
      <c r="AF131" s="205"/>
      <c r="AG131" s="205"/>
    </row>
    <row r="132" s="78" customFormat="true" ht="14.25" hidden="false" customHeight="false" outlineLevel="0" collapsed="false">
      <c r="A132" s="122" t="s">
        <v>68</v>
      </c>
      <c r="B132" s="152" t="n">
        <v>62751.483871</v>
      </c>
      <c r="C132" s="207" t="n">
        <v>66009.133333</v>
      </c>
      <c r="D132" s="207" t="n">
        <v>68672.709677</v>
      </c>
      <c r="E132" s="207" t="n">
        <v>71002.83871</v>
      </c>
      <c r="F132" s="207" t="n">
        <v>67767.464286</v>
      </c>
      <c r="G132" s="207" t="n">
        <v>63133.612903</v>
      </c>
      <c r="H132" s="207" t="n">
        <v>60892.75</v>
      </c>
      <c r="I132" s="207" t="n">
        <v>0</v>
      </c>
      <c r="J132" s="207" t="n">
        <v>0</v>
      </c>
      <c r="K132" s="207" t="n">
        <v>0</v>
      </c>
      <c r="L132" s="207" t="n">
        <v>0</v>
      </c>
      <c r="M132" s="207" t="n">
        <v>0</v>
      </c>
      <c r="N132" s="152" t="n">
        <v>66417.817204</v>
      </c>
      <c r="O132" s="90"/>
      <c r="P132" s="202"/>
      <c r="Q132" s="202"/>
      <c r="R132" s="202"/>
      <c r="S132" s="202"/>
      <c r="T132" s="202"/>
      <c r="U132" s="202"/>
      <c r="V132" s="203"/>
      <c r="W132" s="205"/>
      <c r="X132" s="205"/>
      <c r="Y132" s="205"/>
      <c r="Z132" s="205"/>
      <c r="AA132" s="138"/>
      <c r="AB132" s="205"/>
      <c r="AF132" s="205"/>
      <c r="AG132" s="205"/>
    </row>
    <row r="133" s="219" customFormat="true" ht="23.25" hidden="false" customHeight="true" outlineLevel="0" collapsed="false">
      <c r="A133" s="155"/>
      <c r="B133" s="78"/>
      <c r="C133" s="78"/>
      <c r="D133" s="78"/>
      <c r="E133" s="78"/>
      <c r="F133" s="75"/>
      <c r="G133" s="75"/>
      <c r="H133" s="75"/>
      <c r="I133" s="75"/>
      <c r="J133" s="75"/>
      <c r="K133" s="75"/>
      <c r="L133" s="90"/>
      <c r="M133" s="90"/>
      <c r="N133" s="90"/>
      <c r="O133" s="90"/>
      <c r="P133" s="202"/>
      <c r="Q133" s="202"/>
      <c r="R133" s="202"/>
      <c r="S133" s="202"/>
      <c r="T133" s="202"/>
      <c r="U133" s="202"/>
      <c r="V133" s="203"/>
      <c r="W133" s="218"/>
      <c r="X133" s="218"/>
      <c r="Y133" s="218"/>
      <c r="Z133" s="218"/>
      <c r="AA133" s="218"/>
      <c r="AB133" s="218"/>
      <c r="AC133" s="218"/>
      <c r="AD133" s="218"/>
      <c r="AE133" s="218"/>
      <c r="AF133" s="218"/>
      <c r="AG133" s="218"/>
    </row>
    <row r="134" s="78" customFormat="true" ht="12.75" hidden="false" customHeight="true" outlineLevel="0" collapsed="false">
      <c r="A134" s="217" t="s">
        <v>128</v>
      </c>
      <c r="B134" s="217"/>
      <c r="C134" s="217"/>
      <c r="D134" s="217"/>
      <c r="E134" s="217"/>
      <c r="F134" s="217"/>
      <c r="G134" s="217"/>
      <c r="H134" s="217"/>
      <c r="I134" s="217"/>
      <c r="J134" s="217"/>
      <c r="K134" s="217"/>
      <c r="L134" s="217"/>
      <c r="M134" s="217"/>
      <c r="N134" s="217"/>
      <c r="O134" s="90"/>
      <c r="P134" s="90"/>
      <c r="Q134" s="202"/>
      <c r="R134" s="202"/>
      <c r="S134" s="174"/>
      <c r="T134" s="174"/>
      <c r="U134" s="174"/>
      <c r="V134" s="203"/>
      <c r="W134" s="205"/>
      <c r="X134" s="205"/>
      <c r="Y134" s="205"/>
      <c r="Z134" s="205"/>
      <c r="AA134" s="205"/>
    </row>
    <row r="135" s="78" customFormat="true" ht="12.75" hidden="false" customHeight="true" outlineLevel="0" collapsed="false">
      <c r="A135" s="100" t="s">
        <v>104</v>
      </c>
      <c r="B135" s="101" t="s">
        <v>85</v>
      </c>
      <c r="C135" s="101" t="s">
        <v>86</v>
      </c>
      <c r="D135" s="101" t="s">
        <v>87</v>
      </c>
      <c r="E135" s="101" t="s">
        <v>88</v>
      </c>
      <c r="F135" s="101" t="s">
        <v>89</v>
      </c>
      <c r="G135" s="101" t="s">
        <v>90</v>
      </c>
      <c r="H135" s="101" t="s">
        <v>91</v>
      </c>
      <c r="I135" s="101" t="s">
        <v>92</v>
      </c>
      <c r="J135" s="101" t="s">
        <v>93</v>
      </c>
      <c r="K135" s="101" t="s">
        <v>94</v>
      </c>
      <c r="L135" s="101" t="s">
        <v>95</v>
      </c>
      <c r="M135" s="101" t="s">
        <v>96</v>
      </c>
      <c r="N135" s="101" t="s">
        <v>122</v>
      </c>
      <c r="O135" s="90"/>
      <c r="P135" s="174"/>
      <c r="Q135" s="174"/>
      <c r="R135" s="174"/>
      <c r="S135" s="174"/>
      <c r="T135" s="174"/>
      <c r="U135" s="174"/>
      <c r="V135" s="196"/>
      <c r="W135" s="138"/>
      <c r="X135" s="138"/>
      <c r="Y135" s="138"/>
      <c r="Z135" s="138"/>
      <c r="AA135" s="138"/>
      <c r="AB135" s="138"/>
      <c r="AC135" s="138"/>
      <c r="AD135" s="138"/>
      <c r="AE135" s="138"/>
      <c r="AF135" s="138"/>
    </row>
    <row r="136" s="75" customFormat="true" ht="14.25" hidden="false" customHeight="true" outlineLevel="0" collapsed="false">
      <c r="A136" s="106" t="s">
        <v>19</v>
      </c>
      <c r="B136" s="212" t="n">
        <v>47.222431471019</v>
      </c>
      <c r="C136" s="213" t="n">
        <v>47.5358783163127</v>
      </c>
      <c r="D136" s="214" t="n">
        <v>47.3160850890792</v>
      </c>
      <c r="E136" s="213" t="n">
        <v>51.2249180327868</v>
      </c>
      <c r="F136" s="214" t="n">
        <v>52.439709079198</v>
      </c>
      <c r="G136" s="213" t="n">
        <v>55.7009839212863</v>
      </c>
      <c r="H136" s="213" t="n">
        <v>50.719922536916</v>
      </c>
      <c r="I136" s="214" t="n">
        <v>0</v>
      </c>
      <c r="J136" s="213" t="n">
        <v>0</v>
      </c>
      <c r="K136" s="214" t="n">
        <v>0</v>
      </c>
      <c r="L136" s="214" t="n">
        <v>0</v>
      </c>
      <c r="M136" s="213" t="n">
        <v>0</v>
      </c>
      <c r="N136" s="214" t="n">
        <v>50.221839879454</v>
      </c>
      <c r="P136" s="163"/>
      <c r="Q136" s="163"/>
      <c r="R136" s="163"/>
      <c r="S136" s="163"/>
      <c r="T136" s="163"/>
      <c r="U136" s="163"/>
      <c r="V136" s="220"/>
      <c r="W136" s="163"/>
      <c r="X136" s="163"/>
      <c r="Y136" s="163"/>
      <c r="Z136" s="163"/>
      <c r="AA136" s="221"/>
      <c r="AB136" s="163"/>
    </row>
    <row r="137" s="78" customFormat="true" ht="12.75" hidden="false" customHeight="true" outlineLevel="0" collapsed="false">
      <c r="A137" s="115" t="s">
        <v>67</v>
      </c>
      <c r="B137" s="215" t="n">
        <v>29.5</v>
      </c>
      <c r="C137" s="216" t="n">
        <v>11.6666666666666</v>
      </c>
      <c r="D137" s="216" t="n">
        <v>23.3888888888888</v>
      </c>
      <c r="E137" s="216" t="n">
        <v>39.0714285714285</v>
      </c>
      <c r="F137" s="216" t="n">
        <v>28.875</v>
      </c>
      <c r="G137" s="216" t="n">
        <v>0</v>
      </c>
      <c r="H137" s="216" t="n">
        <v>0</v>
      </c>
      <c r="I137" s="216" t="n">
        <v>0</v>
      </c>
      <c r="J137" s="216" t="n">
        <v>0</v>
      </c>
      <c r="K137" s="216" t="n">
        <v>0</v>
      </c>
      <c r="L137" s="216" t="n">
        <v>0</v>
      </c>
      <c r="M137" s="216" t="n">
        <v>0</v>
      </c>
      <c r="N137" s="216" t="n">
        <v>28.7333333333333</v>
      </c>
      <c r="O137" s="90"/>
      <c r="P137" s="90"/>
      <c r="Q137" s="90"/>
      <c r="R137" s="174"/>
      <c r="S137" s="174"/>
      <c r="T137" s="174"/>
      <c r="U137" s="174"/>
      <c r="V137" s="222"/>
      <c r="W137" s="138"/>
      <c r="X137" s="138"/>
      <c r="Y137" s="138"/>
      <c r="Z137" s="138"/>
      <c r="AA137" s="138"/>
      <c r="AB137" s="138"/>
      <c r="AC137" s="138"/>
    </row>
    <row r="138" s="78" customFormat="true" ht="12.75" hidden="false" customHeight="true" outlineLevel="0" collapsed="false">
      <c r="A138" s="122" t="s">
        <v>68</v>
      </c>
      <c r="B138" s="215" t="n">
        <v>47.2233586188856</v>
      </c>
      <c r="C138" s="216" t="n">
        <v>47.5387857663937</v>
      </c>
      <c r="D138" s="216" t="n">
        <v>47.327036029393</v>
      </c>
      <c r="E138" s="216" t="n">
        <v>51.2293825929521</v>
      </c>
      <c r="F138" s="216" t="n">
        <v>52.4447695487611</v>
      </c>
      <c r="G138" s="216" t="n">
        <v>55.7009839212863</v>
      </c>
      <c r="H138" s="216" t="n">
        <v>50.719922536916</v>
      </c>
      <c r="I138" s="216" t="n">
        <v>0</v>
      </c>
      <c r="J138" s="216" t="n">
        <v>0</v>
      </c>
      <c r="K138" s="216" t="n">
        <v>0</v>
      </c>
      <c r="L138" s="216" t="n">
        <v>0</v>
      </c>
      <c r="M138" s="216" t="n">
        <v>0</v>
      </c>
      <c r="N138" s="216" t="n">
        <v>50.2260156843778</v>
      </c>
      <c r="O138" s="90"/>
      <c r="P138" s="90"/>
      <c r="Q138" s="90"/>
      <c r="R138" s="174"/>
      <c r="S138" s="174"/>
      <c r="T138" s="174"/>
      <c r="U138" s="174"/>
      <c r="V138" s="222"/>
      <c r="W138" s="138"/>
      <c r="X138" s="138"/>
      <c r="Y138" s="138"/>
      <c r="Z138" s="138"/>
      <c r="AA138" s="138"/>
      <c r="AB138" s="138"/>
      <c r="AC138" s="138"/>
    </row>
    <row r="139" s="78" customFormat="true" ht="12.75" hidden="false" customHeight="true" outlineLevel="0" collapsed="false">
      <c r="A139" s="128"/>
      <c r="B139" s="223"/>
      <c r="C139" s="223"/>
      <c r="D139" s="223"/>
      <c r="E139" s="223"/>
      <c r="F139" s="223"/>
      <c r="G139" s="223"/>
      <c r="H139" s="223"/>
      <c r="I139" s="223"/>
      <c r="J139" s="223"/>
      <c r="K139" s="223"/>
      <c r="L139" s="223"/>
      <c r="M139" s="223"/>
      <c r="N139" s="223"/>
      <c r="O139" s="90"/>
      <c r="P139" s="90"/>
      <c r="Q139" s="90"/>
      <c r="R139" s="90"/>
      <c r="S139" s="90"/>
      <c r="T139" s="90"/>
      <c r="U139" s="90"/>
      <c r="V139" s="224"/>
    </row>
    <row r="140" s="78" customFormat="true" ht="14.25" hidden="false" customHeight="false" outlineLevel="0" collapsed="false">
      <c r="A140" s="217" t="s">
        <v>129</v>
      </c>
      <c r="B140" s="217"/>
      <c r="C140" s="217"/>
      <c r="D140" s="217"/>
      <c r="E140" s="217"/>
      <c r="F140" s="217"/>
      <c r="G140" s="217"/>
      <c r="H140" s="217"/>
      <c r="I140" s="217"/>
      <c r="J140" s="217"/>
      <c r="K140" s="217"/>
      <c r="L140" s="217"/>
      <c r="M140" s="217"/>
      <c r="N140" s="217"/>
      <c r="O140" s="90"/>
      <c r="P140" s="90"/>
      <c r="Q140" s="90"/>
      <c r="R140" s="174"/>
      <c r="S140" s="174"/>
      <c r="T140" s="174"/>
      <c r="U140" s="174"/>
      <c r="V140" s="222"/>
      <c r="W140" s="138"/>
      <c r="X140" s="138"/>
      <c r="Y140" s="138"/>
      <c r="Z140" s="138"/>
      <c r="AA140" s="138"/>
      <c r="AB140" s="138"/>
      <c r="AC140" s="138"/>
    </row>
    <row r="141" s="78" customFormat="true" ht="14.25" hidden="false" customHeight="false" outlineLevel="0" collapsed="false">
      <c r="A141" s="100" t="s">
        <v>130</v>
      </c>
      <c r="B141" s="101" t="s">
        <v>85</v>
      </c>
      <c r="C141" s="101" t="s">
        <v>86</v>
      </c>
      <c r="D141" s="101" t="s">
        <v>87</v>
      </c>
      <c r="E141" s="101" t="s">
        <v>88</v>
      </c>
      <c r="F141" s="101" t="s">
        <v>89</v>
      </c>
      <c r="G141" s="101" t="s">
        <v>90</v>
      </c>
      <c r="H141" s="101" t="s">
        <v>91</v>
      </c>
      <c r="I141" s="101" t="s">
        <v>92</v>
      </c>
      <c r="J141" s="101" t="s">
        <v>93</v>
      </c>
      <c r="K141" s="101" t="s">
        <v>94</v>
      </c>
      <c r="L141" s="101" t="s">
        <v>95</v>
      </c>
      <c r="M141" s="101" t="s">
        <v>96</v>
      </c>
      <c r="N141" s="101" t="s">
        <v>122</v>
      </c>
      <c r="O141" s="90"/>
      <c r="P141" s="90"/>
      <c r="Q141" s="90"/>
      <c r="R141" s="174"/>
      <c r="S141" s="174"/>
      <c r="T141" s="174"/>
      <c r="U141" s="174"/>
      <c r="V141" s="222"/>
      <c r="W141" s="138"/>
      <c r="X141" s="138"/>
      <c r="Y141" s="138"/>
      <c r="Z141" s="138"/>
      <c r="AA141" s="138"/>
      <c r="AB141" s="138"/>
      <c r="AC141" s="138"/>
    </row>
    <row r="142" customFormat="false" ht="14.25" hidden="false" customHeight="false" outlineLevel="0" collapsed="false">
      <c r="A142" s="106" t="s">
        <v>19</v>
      </c>
      <c r="B142" s="212" t="n">
        <v>47.222431471019</v>
      </c>
      <c r="C142" s="213" t="n">
        <v>47.5358783163127</v>
      </c>
      <c r="D142" s="214" t="n">
        <v>47.3160850890792</v>
      </c>
      <c r="E142" s="213" t="n">
        <v>51.2249180327868</v>
      </c>
      <c r="F142" s="214" t="n">
        <v>52.439709079198</v>
      </c>
      <c r="G142" s="213" t="n">
        <v>55.7009839212863</v>
      </c>
      <c r="H142" s="213" t="n">
        <v>50.719922536916</v>
      </c>
      <c r="I142" s="214" t="n">
        <v>0</v>
      </c>
      <c r="J142" s="213" t="n">
        <v>0</v>
      </c>
      <c r="K142" s="214" t="n">
        <v>0</v>
      </c>
      <c r="L142" s="214" t="n">
        <v>0</v>
      </c>
      <c r="M142" s="213" t="n">
        <v>0</v>
      </c>
      <c r="N142" s="214" t="n">
        <v>50.221839879454</v>
      </c>
      <c r="V142" s="224"/>
    </row>
    <row r="143" customFormat="false" ht="14.25" hidden="false" customHeight="false" outlineLevel="0" collapsed="false">
      <c r="A143" s="115" t="s">
        <v>82</v>
      </c>
      <c r="B143" s="215" t="n">
        <v>74.7056597281954</v>
      </c>
      <c r="C143" s="216" t="n">
        <v>92.0932055749128</v>
      </c>
      <c r="D143" s="216" t="n">
        <v>96.1851094293311</v>
      </c>
      <c r="E143" s="216" t="n">
        <v>100.374651810584</v>
      </c>
      <c r="F143" s="216" t="n">
        <v>94.4614805520702</v>
      </c>
      <c r="G143" s="216" t="n">
        <v>97.8602421796165</v>
      </c>
      <c r="H143" s="216" t="n">
        <v>88.287072243346</v>
      </c>
      <c r="I143" s="216" t="n">
        <v>0</v>
      </c>
      <c r="J143" s="216" t="n">
        <v>0</v>
      </c>
      <c r="K143" s="216" t="n">
        <v>0</v>
      </c>
      <c r="L143" s="216" t="n">
        <v>0</v>
      </c>
      <c r="M143" s="216" t="n">
        <v>0</v>
      </c>
      <c r="N143" s="216" t="n">
        <v>91.5555436834419</v>
      </c>
      <c r="V143" s="224"/>
    </row>
    <row r="144" customFormat="false" ht="14.25" hidden="false" customHeight="false" outlineLevel="0" collapsed="false">
      <c r="A144" s="122" t="s">
        <v>80</v>
      </c>
      <c r="B144" s="215" t="n">
        <v>42.2944569542552</v>
      </c>
      <c r="C144" s="216" t="n">
        <v>41.225124915181</v>
      </c>
      <c r="D144" s="216" t="n">
        <v>40.3824075686342</v>
      </c>
      <c r="E144" s="216" t="n">
        <v>44.963657332111</v>
      </c>
      <c r="F144" s="216" t="n">
        <v>47.4073506431061</v>
      </c>
      <c r="G144" s="216" t="n">
        <v>50.7181490205432</v>
      </c>
      <c r="H144" s="216" t="n">
        <v>45.2385575589459</v>
      </c>
      <c r="I144" s="216" t="n">
        <v>0</v>
      </c>
      <c r="J144" s="216" t="n">
        <v>0</v>
      </c>
      <c r="K144" s="216" t="n">
        <v>0</v>
      </c>
      <c r="L144" s="216" t="n">
        <v>0</v>
      </c>
      <c r="M144" s="216" t="n">
        <v>0</v>
      </c>
      <c r="N144" s="216" t="n">
        <v>44.5200161150852</v>
      </c>
      <c r="O144" s="225"/>
      <c r="V144" s="224"/>
    </row>
    <row r="145" customFormat="false" ht="14.25" hidden="false" customHeight="false" outlineLevel="0" collapsed="false">
      <c r="A145" s="129"/>
      <c r="B145" s="223"/>
      <c r="C145" s="223"/>
      <c r="D145" s="223"/>
      <c r="E145" s="223"/>
      <c r="F145" s="223"/>
      <c r="G145" s="223"/>
      <c r="H145" s="223"/>
      <c r="I145" s="223"/>
      <c r="J145" s="223"/>
      <c r="K145" s="226"/>
      <c r="L145" s="223"/>
      <c r="M145" s="223"/>
      <c r="N145" s="227"/>
      <c r="O145" s="225"/>
      <c r="V145" s="224"/>
    </row>
    <row r="146" customFormat="false" ht="14.25" hidden="false" customHeight="false" outlineLevel="0" collapsed="false">
      <c r="A146" s="228" t="s">
        <v>131</v>
      </c>
      <c r="B146" s="223"/>
      <c r="C146" s="223"/>
      <c r="D146" s="223"/>
      <c r="E146" s="223"/>
      <c r="F146" s="223"/>
      <c r="G146" s="223"/>
      <c r="H146" s="223"/>
      <c r="I146" s="223"/>
      <c r="J146" s="223"/>
      <c r="K146" s="226"/>
      <c r="L146" s="223"/>
      <c r="M146" s="223"/>
      <c r="N146" s="227"/>
      <c r="O146" s="225"/>
      <c r="V146" s="224"/>
    </row>
    <row r="147" customFormat="false" ht="14.25" hidden="false" customHeight="false" outlineLevel="0" collapsed="false">
      <c r="A147" s="100" t="s">
        <v>132</v>
      </c>
      <c r="B147" s="229" t="s">
        <v>85</v>
      </c>
      <c r="C147" s="229" t="s">
        <v>86</v>
      </c>
      <c r="D147" s="229" t="s">
        <v>87</v>
      </c>
      <c r="E147" s="229" t="s">
        <v>88</v>
      </c>
      <c r="F147" s="229" t="s">
        <v>89</v>
      </c>
      <c r="G147" s="229" t="s">
        <v>90</v>
      </c>
      <c r="H147" s="229" t="s">
        <v>91</v>
      </c>
      <c r="I147" s="229" t="s">
        <v>92</v>
      </c>
      <c r="J147" s="229" t="s">
        <v>93</v>
      </c>
      <c r="K147" s="229" t="s">
        <v>94</v>
      </c>
      <c r="L147" s="229" t="s">
        <v>95</v>
      </c>
      <c r="M147" s="229" t="s">
        <v>96</v>
      </c>
      <c r="N147" s="229" t="s">
        <v>122</v>
      </c>
      <c r="O147" s="225"/>
      <c r="V147" s="224"/>
      <c r="W147" s="78"/>
    </row>
    <row r="148" customFormat="false" ht="14.25" hidden="false" customHeight="false" outlineLevel="0" collapsed="false">
      <c r="A148" s="230" t="s">
        <v>72</v>
      </c>
      <c r="B148" s="152" t="n">
        <v>2</v>
      </c>
      <c r="C148" s="207" t="n">
        <v>2</v>
      </c>
      <c r="D148" s="207" t="n">
        <v>3</v>
      </c>
      <c r="E148" s="207" t="n">
        <v>0</v>
      </c>
      <c r="F148" s="207" t="n">
        <v>0</v>
      </c>
      <c r="G148" s="207" t="n">
        <v>2</v>
      </c>
      <c r="H148" s="207" t="n">
        <v>0</v>
      </c>
      <c r="I148" s="207" t="n">
        <v>0</v>
      </c>
      <c r="J148" s="207" t="n">
        <v>0</v>
      </c>
      <c r="K148" s="207" t="n">
        <v>0</v>
      </c>
      <c r="L148" s="207" t="n">
        <v>0</v>
      </c>
      <c r="M148" s="207" t="n">
        <v>0</v>
      </c>
      <c r="N148" s="207" t="n">
        <f aca="false">SUM(B148:M148)</f>
        <v>9</v>
      </c>
      <c r="O148" s="225"/>
      <c r="V148" s="224"/>
      <c r="W148" s="78"/>
    </row>
    <row r="149" customFormat="false" ht="14.25" hidden="false" customHeight="false" outlineLevel="0" collapsed="false">
      <c r="A149" s="230" t="s">
        <v>133</v>
      </c>
      <c r="B149" s="152" t="n">
        <v>0</v>
      </c>
      <c r="C149" s="207" t="n">
        <v>0</v>
      </c>
      <c r="D149" s="207" t="n">
        <v>0</v>
      </c>
      <c r="E149" s="207" t="n">
        <v>0</v>
      </c>
      <c r="F149" s="207" t="n">
        <v>0</v>
      </c>
      <c r="G149" s="207" t="n">
        <v>0</v>
      </c>
      <c r="H149" s="207" t="n">
        <v>0</v>
      </c>
      <c r="I149" s="207" t="n">
        <v>0</v>
      </c>
      <c r="J149" s="207" t="n">
        <v>0</v>
      </c>
      <c r="K149" s="207" t="n">
        <v>0</v>
      </c>
      <c r="L149" s="207" t="n">
        <v>0</v>
      </c>
      <c r="M149" s="207" t="n">
        <v>0</v>
      </c>
      <c r="N149" s="207" t="n">
        <f aca="false">SUM(B149:M149)</f>
        <v>0</v>
      </c>
      <c r="O149" s="225"/>
      <c r="V149" s="224"/>
      <c r="W149" s="78"/>
    </row>
    <row r="150" customFormat="false" ht="14.25" hidden="false" customHeight="false" outlineLevel="0" collapsed="false">
      <c r="A150" s="231" t="s">
        <v>134</v>
      </c>
      <c r="B150" s="152" t="n">
        <v>409</v>
      </c>
      <c r="C150" s="207" t="n">
        <v>444</v>
      </c>
      <c r="D150" s="207" t="n">
        <v>512</v>
      </c>
      <c r="E150" s="207" t="n">
        <v>640</v>
      </c>
      <c r="F150" s="207" t="n">
        <v>629</v>
      </c>
      <c r="G150" s="207" t="n">
        <v>622</v>
      </c>
      <c r="H150" s="207" t="n">
        <v>632</v>
      </c>
      <c r="I150" s="207" t="n">
        <v>512</v>
      </c>
      <c r="J150" s="207" t="n">
        <v>524</v>
      </c>
      <c r="K150" s="207" t="n">
        <v>553</v>
      </c>
      <c r="L150" s="207" t="n">
        <v>877</v>
      </c>
      <c r="M150" s="207" t="n">
        <v>697</v>
      </c>
      <c r="N150" s="207" t="n">
        <f aca="false">SUM(B150:M150)</f>
        <v>7051</v>
      </c>
      <c r="O150" s="225"/>
      <c r="V150" s="224"/>
      <c r="W150" s="78"/>
    </row>
    <row r="151" customFormat="false" ht="14.25" hidden="false" customHeight="false" outlineLevel="0" collapsed="false">
      <c r="A151" s="232"/>
      <c r="B151" s="129"/>
      <c r="C151" s="233"/>
      <c r="D151" s="233"/>
      <c r="E151" s="233"/>
      <c r="F151" s="233"/>
      <c r="G151" s="233"/>
      <c r="H151" s="233"/>
      <c r="I151" s="233"/>
      <c r="J151" s="233"/>
      <c r="K151" s="233"/>
      <c r="L151" s="226"/>
      <c r="M151" s="233"/>
      <c r="N151" s="233"/>
      <c r="O151" s="225"/>
      <c r="P151" s="225"/>
      <c r="V151" s="224"/>
      <c r="W151" s="78"/>
    </row>
    <row r="152" customFormat="false" ht="14.25" hidden="false" customHeight="false" outlineLevel="0" collapsed="false">
      <c r="A152" s="228" t="s">
        <v>135</v>
      </c>
      <c r="B152" s="223"/>
      <c r="C152" s="223"/>
      <c r="D152" s="223"/>
      <c r="E152" s="223"/>
      <c r="F152" s="223"/>
      <c r="G152" s="223"/>
      <c r="H152" s="223"/>
      <c r="I152" s="223"/>
      <c r="J152" s="223"/>
      <c r="K152" s="226"/>
      <c r="L152" s="223"/>
      <c r="M152" s="223"/>
      <c r="N152" s="227"/>
      <c r="O152" s="225"/>
      <c r="V152" s="224"/>
    </row>
    <row r="153" customFormat="false" ht="14.25" hidden="false" customHeight="false" outlineLevel="0" collapsed="false">
      <c r="A153" s="100" t="s">
        <v>132</v>
      </c>
      <c r="B153" s="100" t="s">
        <v>136</v>
      </c>
      <c r="C153" s="229" t="s">
        <v>85</v>
      </c>
      <c r="D153" s="229" t="s">
        <v>86</v>
      </c>
      <c r="E153" s="229" t="s">
        <v>87</v>
      </c>
      <c r="F153" s="229" t="s">
        <v>88</v>
      </c>
      <c r="G153" s="229" t="s">
        <v>89</v>
      </c>
      <c r="H153" s="229" t="s">
        <v>90</v>
      </c>
      <c r="I153" s="229" t="s">
        <v>91</v>
      </c>
      <c r="J153" s="229" t="s">
        <v>92</v>
      </c>
      <c r="K153" s="229" t="s">
        <v>93</v>
      </c>
      <c r="L153" s="229" t="s">
        <v>94</v>
      </c>
      <c r="M153" s="229" t="s">
        <v>95</v>
      </c>
      <c r="N153" s="229" t="s">
        <v>96</v>
      </c>
      <c r="O153" s="229" t="s">
        <v>122</v>
      </c>
      <c r="P153" s="225"/>
      <c r="V153" s="224"/>
    </row>
    <row r="154" customFormat="false" ht="14.25" hidden="false" customHeight="false" outlineLevel="0" collapsed="false">
      <c r="A154" s="234" t="s">
        <v>72</v>
      </c>
      <c r="B154" s="124" t="s">
        <v>137</v>
      </c>
      <c r="C154" s="152" t="n">
        <v>0</v>
      </c>
      <c r="D154" s="207" t="n">
        <v>0</v>
      </c>
      <c r="E154" s="207" t="n">
        <v>0</v>
      </c>
      <c r="F154" s="207" t="n">
        <v>0</v>
      </c>
      <c r="G154" s="207" t="n">
        <v>0</v>
      </c>
      <c r="H154" s="207" t="n">
        <v>0</v>
      </c>
      <c r="I154" s="207" t="n">
        <v>0</v>
      </c>
      <c r="J154" s="207" t="n">
        <v>0</v>
      </c>
      <c r="K154" s="207" t="n">
        <v>0</v>
      </c>
      <c r="L154" s="207" t="n">
        <v>0</v>
      </c>
      <c r="M154" s="207" t="n">
        <v>0</v>
      </c>
      <c r="N154" s="207" t="n">
        <v>0</v>
      </c>
      <c r="O154" s="235" t="n">
        <f aca="false">SUM(C154:N154)</f>
        <v>0</v>
      </c>
      <c r="P154" s="225"/>
      <c r="V154" s="224"/>
    </row>
    <row r="155" customFormat="false" ht="14.25" hidden="false" customHeight="false" outlineLevel="0" collapsed="false">
      <c r="A155" s="234"/>
      <c r="B155" s="124" t="s">
        <v>138</v>
      </c>
      <c r="C155" s="152" t="n">
        <v>1</v>
      </c>
      <c r="D155" s="207" t="n">
        <v>3</v>
      </c>
      <c r="E155" s="207" t="n">
        <v>2</v>
      </c>
      <c r="F155" s="207" t="n">
        <v>0</v>
      </c>
      <c r="G155" s="207" t="n">
        <v>0</v>
      </c>
      <c r="H155" s="207" t="n">
        <v>2</v>
      </c>
      <c r="I155" s="207" t="n">
        <v>0</v>
      </c>
      <c r="J155" s="207" t="n">
        <v>0</v>
      </c>
      <c r="K155" s="207" t="n">
        <v>0</v>
      </c>
      <c r="L155" s="207" t="n">
        <v>0</v>
      </c>
      <c r="M155" s="207" t="n">
        <v>0</v>
      </c>
      <c r="N155" s="207" t="n">
        <v>0</v>
      </c>
      <c r="O155" s="235" t="n">
        <f aca="false">SUM(C155:N155)</f>
        <v>8</v>
      </c>
      <c r="P155" s="225"/>
      <c r="V155" s="224"/>
    </row>
    <row r="156" customFormat="false" ht="14.25" hidden="false" customHeight="false" outlineLevel="0" collapsed="false">
      <c r="A156" s="234" t="s">
        <v>133</v>
      </c>
      <c r="B156" s="124" t="s">
        <v>137</v>
      </c>
      <c r="C156" s="152" t="n">
        <v>0</v>
      </c>
      <c r="D156" s="207" t="n">
        <v>0</v>
      </c>
      <c r="E156" s="207" t="n">
        <v>0</v>
      </c>
      <c r="F156" s="207" t="n">
        <v>0</v>
      </c>
      <c r="G156" s="207" t="n">
        <v>0</v>
      </c>
      <c r="H156" s="207" t="n">
        <v>0</v>
      </c>
      <c r="I156" s="207" t="n">
        <v>0</v>
      </c>
      <c r="J156" s="207" t="n">
        <v>0</v>
      </c>
      <c r="K156" s="207" t="n">
        <v>0</v>
      </c>
      <c r="L156" s="207" t="n">
        <v>0</v>
      </c>
      <c r="M156" s="207" t="n">
        <v>0</v>
      </c>
      <c r="N156" s="207" t="n">
        <v>0</v>
      </c>
      <c r="O156" s="235" t="n">
        <f aca="false">SUM(C156:N156)</f>
        <v>0</v>
      </c>
      <c r="P156" s="225"/>
      <c r="V156" s="224"/>
    </row>
    <row r="157" customFormat="false" ht="14.25" hidden="false" customHeight="false" outlineLevel="0" collapsed="false">
      <c r="A157" s="234"/>
      <c r="B157" s="124" t="s">
        <v>138</v>
      </c>
      <c r="C157" s="152" t="n">
        <v>0</v>
      </c>
      <c r="D157" s="207" t="n">
        <v>0</v>
      </c>
      <c r="E157" s="207" t="n">
        <v>0</v>
      </c>
      <c r="F157" s="207" t="n">
        <v>0</v>
      </c>
      <c r="G157" s="207" t="n">
        <v>0</v>
      </c>
      <c r="H157" s="207" t="n">
        <v>0</v>
      </c>
      <c r="I157" s="207" t="n">
        <v>0</v>
      </c>
      <c r="J157" s="207" t="n">
        <v>0</v>
      </c>
      <c r="K157" s="207" t="n">
        <v>0</v>
      </c>
      <c r="L157" s="207" t="n">
        <v>0</v>
      </c>
      <c r="M157" s="207" t="n">
        <v>0</v>
      </c>
      <c r="N157" s="207" t="n">
        <v>0</v>
      </c>
      <c r="O157" s="235" t="n">
        <f aca="false">SUM(C157:N157)</f>
        <v>0</v>
      </c>
      <c r="P157" s="225"/>
      <c r="V157" s="224"/>
    </row>
    <row r="158" customFormat="false" ht="14.25" hidden="false" customHeight="false" outlineLevel="0" collapsed="false">
      <c r="A158" s="234" t="s">
        <v>134</v>
      </c>
      <c r="B158" s="124" t="s">
        <v>137</v>
      </c>
      <c r="C158" s="152" t="n">
        <v>322</v>
      </c>
      <c r="D158" s="207" t="n">
        <v>355</v>
      </c>
      <c r="E158" s="207" t="n">
        <v>351</v>
      </c>
      <c r="F158" s="207" t="n">
        <v>388</v>
      </c>
      <c r="G158" s="207" t="n">
        <v>376</v>
      </c>
      <c r="H158" s="207" t="n">
        <v>452</v>
      </c>
      <c r="I158" s="207" t="n">
        <v>434</v>
      </c>
      <c r="J158" s="207" t="n">
        <v>332</v>
      </c>
      <c r="K158" s="207" t="n">
        <v>354</v>
      </c>
      <c r="L158" s="207" t="n">
        <v>323</v>
      </c>
      <c r="M158" s="207" t="n">
        <v>575</v>
      </c>
      <c r="N158" s="207" t="n">
        <v>409</v>
      </c>
      <c r="O158" s="235" t="n">
        <f aca="false">SUM(C158:N158)</f>
        <v>4671</v>
      </c>
      <c r="P158" s="225"/>
      <c r="V158" s="224"/>
    </row>
    <row r="159" customFormat="false" ht="14.25" hidden="false" customHeight="false" outlineLevel="0" collapsed="false">
      <c r="A159" s="234"/>
      <c r="B159" s="124" t="s">
        <v>138</v>
      </c>
      <c r="C159" s="152" t="n">
        <v>54</v>
      </c>
      <c r="D159" s="207" t="n">
        <v>66</v>
      </c>
      <c r="E159" s="207" t="n">
        <v>54</v>
      </c>
      <c r="F159" s="207" t="n">
        <v>71</v>
      </c>
      <c r="G159" s="207" t="n">
        <v>101</v>
      </c>
      <c r="H159" s="207" t="n">
        <v>79</v>
      </c>
      <c r="I159" s="207" t="n">
        <v>123</v>
      </c>
      <c r="J159" s="207" t="n">
        <v>115</v>
      </c>
      <c r="K159" s="207" t="n">
        <v>112</v>
      </c>
      <c r="L159" s="207" t="n">
        <v>167</v>
      </c>
      <c r="M159" s="207" t="n">
        <v>196</v>
      </c>
      <c r="N159" s="207" t="n">
        <v>222</v>
      </c>
      <c r="O159" s="235" t="n">
        <f aca="false">SUM(C159:N159)</f>
        <v>1360</v>
      </c>
      <c r="P159" s="225"/>
      <c r="V159" s="224"/>
    </row>
    <row r="160" customFormat="false" ht="14.25" hidden="false" customHeight="false" outlineLevel="0" collapsed="false">
      <c r="B160" s="225"/>
      <c r="C160" s="225"/>
      <c r="D160" s="225"/>
      <c r="E160" s="225"/>
      <c r="F160" s="225"/>
      <c r="G160" s="225"/>
      <c r="H160" s="225"/>
      <c r="I160" s="225"/>
      <c r="J160" s="225"/>
      <c r="K160" s="225"/>
      <c r="L160" s="225"/>
      <c r="M160" s="225"/>
      <c r="V160" s="224"/>
    </row>
    <row r="161" customFormat="false" ht="14.25" hidden="false" customHeight="false" outlineLevel="0" collapsed="false">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7"/>
    </row>
    <row r="162" customFormat="false" ht="14.25" hidden="false" customHeight="false" outlineLevel="0" collapsed="false">
      <c r="B162" s="238"/>
      <c r="C162" s="238"/>
      <c r="D162" s="238"/>
      <c r="E162" s="238"/>
      <c r="F162" s="238"/>
      <c r="G162" s="238"/>
      <c r="H162" s="238"/>
      <c r="I162" s="238"/>
      <c r="J162" s="238"/>
      <c r="K162" s="238"/>
      <c r="L162" s="238"/>
      <c r="M162" s="238"/>
      <c r="P162" s="238"/>
    </row>
    <row r="163" customFormat="false" ht="14.25" hidden="false" customHeight="false" outlineLevel="0" collapsed="false">
      <c r="A163" s="239" t="s">
        <v>139</v>
      </c>
      <c r="B163" s="239"/>
      <c r="C163" s="239"/>
      <c r="D163" s="239"/>
      <c r="E163" s="239"/>
      <c r="F163" s="239"/>
      <c r="G163" s="239"/>
      <c r="H163" s="239"/>
      <c r="I163" s="239"/>
      <c r="J163" s="239"/>
      <c r="K163" s="239"/>
      <c r="L163" s="239"/>
      <c r="M163" s="239"/>
      <c r="N163" s="239"/>
    </row>
    <row r="164" customFormat="false" ht="14.25" hidden="false" customHeight="false" outlineLevel="0" collapsed="false">
      <c r="A164" s="240" t="s">
        <v>140</v>
      </c>
      <c r="B164" s="241" t="s">
        <v>141</v>
      </c>
      <c r="C164" s="242" t="s">
        <v>19</v>
      </c>
      <c r="D164" s="238"/>
      <c r="E164" s="238"/>
      <c r="F164" s="238"/>
      <c r="G164" s="238"/>
      <c r="H164" s="238"/>
      <c r="I164" s="238"/>
      <c r="J164" s="238"/>
      <c r="K164" s="238"/>
      <c r="L164" s="238"/>
      <c r="M164" s="225"/>
      <c r="P164" s="238"/>
    </row>
    <row r="165" customFormat="false" ht="14.25" hidden="false" customHeight="false" outlineLevel="0" collapsed="false">
      <c r="A165" s="243" t="s">
        <v>19</v>
      </c>
      <c r="B165" s="244"/>
      <c r="C165" s="245" t="n">
        <f aca="false">SUM(C166:C206)</f>
        <v>76</v>
      </c>
      <c r="D165" s="238"/>
      <c r="E165" s="238"/>
      <c r="F165" s="238"/>
      <c r="G165" s="238"/>
      <c r="H165" s="225"/>
      <c r="I165" s="225"/>
    </row>
    <row r="166" customFormat="false" ht="14.25" hidden="false" customHeight="false" outlineLevel="0" collapsed="false">
      <c r="A166" s="246" t="s">
        <v>142</v>
      </c>
      <c r="B166" s="145" t="s">
        <v>143</v>
      </c>
      <c r="C166" s="247" t="n">
        <v>2</v>
      </c>
      <c r="D166" s="225"/>
      <c r="E166" s="238"/>
      <c r="F166" s="225"/>
    </row>
    <row r="167" customFormat="false" ht="14.25" hidden="false" customHeight="false" outlineLevel="0" collapsed="false">
      <c r="A167" s="248" t="s">
        <v>144</v>
      </c>
      <c r="B167" s="150" t="s">
        <v>145</v>
      </c>
      <c r="C167" s="249" t="n">
        <v>3</v>
      </c>
    </row>
    <row r="168" customFormat="false" ht="14.25" hidden="false" customHeight="false" outlineLevel="0" collapsed="false">
      <c r="A168" s="248" t="s">
        <v>146</v>
      </c>
      <c r="B168" s="150" t="s">
        <v>147</v>
      </c>
      <c r="C168" s="249" t="n">
        <v>3</v>
      </c>
    </row>
    <row r="169" customFormat="false" ht="14.25" hidden="false" customHeight="false" outlineLevel="0" collapsed="false">
      <c r="A169" s="250" t="s">
        <v>148</v>
      </c>
      <c r="B169" s="251" t="s">
        <v>149</v>
      </c>
      <c r="C169" s="252" t="n">
        <v>1</v>
      </c>
    </row>
    <row r="170" customFormat="false" ht="14.25" hidden="false" customHeight="false" outlineLevel="0" collapsed="false">
      <c r="A170" s="250" t="s">
        <v>150</v>
      </c>
      <c r="B170" s="251" t="s">
        <v>151</v>
      </c>
      <c r="C170" s="252" t="n">
        <v>2</v>
      </c>
    </row>
    <row r="171" customFormat="false" ht="14.25" hidden="false" customHeight="false" outlineLevel="0" collapsed="false">
      <c r="A171" s="250" t="s">
        <v>152</v>
      </c>
      <c r="B171" s="251" t="s">
        <v>153</v>
      </c>
      <c r="C171" s="252" t="n">
        <v>3</v>
      </c>
    </row>
    <row r="172" customFormat="false" ht="14.25" hidden="false" customHeight="false" outlineLevel="0" collapsed="false">
      <c r="A172" s="250" t="s">
        <v>154</v>
      </c>
      <c r="B172" s="251" t="s">
        <v>155</v>
      </c>
      <c r="C172" s="252" t="n">
        <v>2</v>
      </c>
    </row>
    <row r="173" customFormat="false" ht="14.25" hidden="false" customHeight="false" outlineLevel="0" collapsed="false">
      <c r="A173" s="250" t="s">
        <v>156</v>
      </c>
      <c r="B173" s="251" t="s">
        <v>157</v>
      </c>
      <c r="C173" s="252" t="n">
        <v>2</v>
      </c>
    </row>
    <row r="174" customFormat="false" ht="14.25" hidden="false" customHeight="false" outlineLevel="0" collapsed="false">
      <c r="A174" s="250" t="s">
        <v>158</v>
      </c>
      <c r="B174" s="251" t="s">
        <v>159</v>
      </c>
      <c r="C174" s="252" t="n">
        <v>1</v>
      </c>
    </row>
    <row r="175" customFormat="false" ht="14.25" hidden="false" customHeight="false" outlineLevel="0" collapsed="false">
      <c r="A175" s="250" t="s">
        <v>160</v>
      </c>
      <c r="B175" s="251" t="s">
        <v>161</v>
      </c>
      <c r="C175" s="252" t="n">
        <v>2</v>
      </c>
    </row>
    <row r="176" customFormat="false" ht="14.25" hidden="false" customHeight="false" outlineLevel="0" collapsed="false">
      <c r="A176" s="250" t="s">
        <v>162</v>
      </c>
      <c r="B176" s="251" t="s">
        <v>163</v>
      </c>
      <c r="C176" s="252" t="n">
        <v>1</v>
      </c>
    </row>
    <row r="177" customFormat="false" ht="14.25" hidden="false" customHeight="false" outlineLevel="0" collapsed="false">
      <c r="A177" s="250" t="s">
        <v>164</v>
      </c>
      <c r="B177" s="251" t="s">
        <v>165</v>
      </c>
      <c r="C177" s="252" t="n">
        <v>2</v>
      </c>
    </row>
    <row r="178" customFormat="false" ht="14.25" hidden="false" customHeight="false" outlineLevel="0" collapsed="false">
      <c r="A178" s="250" t="s">
        <v>166</v>
      </c>
      <c r="B178" s="251" t="s">
        <v>167</v>
      </c>
      <c r="C178" s="252" t="n">
        <v>1</v>
      </c>
    </row>
    <row r="179" customFormat="false" ht="14.25" hidden="false" customHeight="false" outlineLevel="0" collapsed="false">
      <c r="A179" s="250" t="s">
        <v>168</v>
      </c>
      <c r="B179" s="251" t="s">
        <v>169</v>
      </c>
      <c r="C179" s="252" t="n">
        <v>2</v>
      </c>
    </row>
    <row r="180" customFormat="false" ht="14.25" hidden="false" customHeight="false" outlineLevel="0" collapsed="false">
      <c r="A180" s="250" t="s">
        <v>170</v>
      </c>
      <c r="B180" s="251" t="s">
        <v>171</v>
      </c>
      <c r="C180" s="252" t="n">
        <v>2</v>
      </c>
    </row>
    <row r="181" customFormat="false" ht="14.25" hidden="false" customHeight="false" outlineLevel="0" collapsed="false">
      <c r="A181" s="250" t="s">
        <v>172</v>
      </c>
      <c r="B181" s="251" t="s">
        <v>173</v>
      </c>
      <c r="C181" s="252" t="n">
        <v>3</v>
      </c>
    </row>
    <row r="182" customFormat="false" ht="14.25" hidden="false" customHeight="false" outlineLevel="0" collapsed="false">
      <c r="A182" s="250" t="s">
        <v>174</v>
      </c>
      <c r="B182" s="251" t="s">
        <v>175</v>
      </c>
      <c r="C182" s="252" t="n">
        <v>1</v>
      </c>
    </row>
    <row r="183" customFormat="false" ht="14.25" hidden="false" customHeight="false" outlineLevel="0" collapsed="false">
      <c r="A183" s="250" t="s">
        <v>176</v>
      </c>
      <c r="B183" s="251" t="s">
        <v>177</v>
      </c>
      <c r="C183" s="252" t="n">
        <v>3</v>
      </c>
    </row>
    <row r="184" customFormat="false" ht="14.25" hidden="false" customHeight="false" outlineLevel="0" collapsed="false">
      <c r="A184" s="250" t="s">
        <v>178</v>
      </c>
      <c r="B184" s="251" t="s">
        <v>179</v>
      </c>
      <c r="C184" s="252" t="n">
        <v>2</v>
      </c>
    </row>
    <row r="185" customFormat="false" ht="14.25" hidden="false" customHeight="false" outlineLevel="0" collapsed="false">
      <c r="A185" s="250" t="s">
        <v>180</v>
      </c>
      <c r="B185" s="251" t="s">
        <v>181</v>
      </c>
      <c r="C185" s="252" t="n">
        <v>1</v>
      </c>
    </row>
    <row r="186" customFormat="false" ht="14.25" hidden="false" customHeight="false" outlineLevel="0" collapsed="false">
      <c r="A186" s="250" t="s">
        <v>182</v>
      </c>
      <c r="B186" s="251" t="s">
        <v>183</v>
      </c>
      <c r="C186" s="252" t="n">
        <v>1</v>
      </c>
    </row>
    <row r="187" customFormat="false" ht="14.25" hidden="false" customHeight="false" outlineLevel="0" collapsed="false">
      <c r="A187" s="250" t="s">
        <v>184</v>
      </c>
      <c r="B187" s="251" t="s">
        <v>185</v>
      </c>
      <c r="C187" s="252" t="n">
        <v>1</v>
      </c>
    </row>
    <row r="188" customFormat="false" ht="14.25" hidden="false" customHeight="false" outlineLevel="0" collapsed="false">
      <c r="A188" s="250" t="s">
        <v>186</v>
      </c>
      <c r="B188" s="251" t="s">
        <v>187</v>
      </c>
      <c r="C188" s="252" t="n">
        <v>1</v>
      </c>
    </row>
    <row r="189" customFormat="false" ht="14.25" hidden="false" customHeight="false" outlineLevel="0" collapsed="false">
      <c r="A189" s="250" t="s">
        <v>188</v>
      </c>
      <c r="B189" s="251" t="s">
        <v>189</v>
      </c>
      <c r="C189" s="252" t="n">
        <v>3</v>
      </c>
    </row>
    <row r="190" customFormat="false" ht="14.25" hidden="false" customHeight="false" outlineLevel="0" collapsed="false">
      <c r="A190" s="250" t="s">
        <v>190</v>
      </c>
      <c r="B190" s="251" t="s">
        <v>191</v>
      </c>
      <c r="C190" s="252" t="n">
        <v>1</v>
      </c>
    </row>
    <row r="191" customFormat="false" ht="14.25" hidden="false" customHeight="false" outlineLevel="0" collapsed="false">
      <c r="A191" s="250" t="s">
        <v>192</v>
      </c>
      <c r="B191" s="251" t="s">
        <v>193</v>
      </c>
      <c r="C191" s="252" t="n">
        <v>2</v>
      </c>
    </row>
    <row r="192" customFormat="false" ht="14.25" hidden="false" customHeight="false" outlineLevel="0" collapsed="false">
      <c r="A192" s="250" t="s">
        <v>194</v>
      </c>
      <c r="B192" s="251" t="s">
        <v>195</v>
      </c>
      <c r="C192" s="252" t="n">
        <v>2</v>
      </c>
    </row>
    <row r="193" customFormat="false" ht="14.25" hidden="false" customHeight="false" outlineLevel="0" collapsed="false">
      <c r="A193" s="250" t="s">
        <v>196</v>
      </c>
      <c r="B193" s="251" t="s">
        <v>197</v>
      </c>
      <c r="C193" s="252" t="n">
        <v>2</v>
      </c>
    </row>
    <row r="194" customFormat="false" ht="14.25" hidden="false" customHeight="false" outlineLevel="0" collapsed="false">
      <c r="A194" s="250" t="s">
        <v>198</v>
      </c>
      <c r="B194" s="251" t="s">
        <v>199</v>
      </c>
      <c r="C194" s="252" t="n">
        <v>2</v>
      </c>
    </row>
    <row r="195" customFormat="false" ht="14.25" hidden="false" customHeight="false" outlineLevel="0" collapsed="false">
      <c r="A195" s="250" t="s">
        <v>200</v>
      </c>
      <c r="B195" s="251" t="s">
        <v>201</v>
      </c>
      <c r="C195" s="252" t="n">
        <v>2</v>
      </c>
    </row>
    <row r="196" customFormat="false" ht="14.25" hidden="false" customHeight="false" outlineLevel="0" collapsed="false">
      <c r="A196" s="250" t="s">
        <v>202</v>
      </c>
      <c r="B196" s="251" t="s">
        <v>203</v>
      </c>
      <c r="C196" s="252" t="n">
        <v>1</v>
      </c>
    </row>
    <row r="197" customFormat="false" ht="14.25" hidden="false" customHeight="false" outlineLevel="0" collapsed="false">
      <c r="A197" s="250" t="s">
        <v>204</v>
      </c>
      <c r="B197" s="251" t="s">
        <v>205</v>
      </c>
      <c r="C197" s="252" t="n">
        <v>1</v>
      </c>
    </row>
    <row r="198" customFormat="false" ht="14.25" hidden="false" customHeight="false" outlineLevel="0" collapsed="false">
      <c r="A198" s="250" t="s">
        <v>206</v>
      </c>
      <c r="B198" s="251" t="s">
        <v>207</v>
      </c>
      <c r="C198" s="252" t="n">
        <v>1</v>
      </c>
    </row>
    <row r="199" customFormat="false" ht="14.25" hidden="false" customHeight="false" outlineLevel="0" collapsed="false">
      <c r="A199" s="250" t="s">
        <v>208</v>
      </c>
      <c r="B199" s="251" t="s">
        <v>209</v>
      </c>
      <c r="C199" s="252" t="n">
        <v>3</v>
      </c>
    </row>
    <row r="200" customFormat="false" ht="14.25" hidden="false" customHeight="false" outlineLevel="0" collapsed="false">
      <c r="A200" s="250" t="s">
        <v>210</v>
      </c>
      <c r="B200" s="251" t="s">
        <v>211</v>
      </c>
      <c r="C200" s="252" t="n">
        <v>2</v>
      </c>
    </row>
    <row r="201" customFormat="false" ht="14.25" hidden="false" customHeight="false" outlineLevel="0" collapsed="false">
      <c r="A201" s="250" t="s">
        <v>212</v>
      </c>
      <c r="B201" s="251" t="s">
        <v>213</v>
      </c>
      <c r="C201" s="252" t="n">
        <v>1</v>
      </c>
    </row>
    <row r="202" customFormat="false" ht="14.25" hidden="false" customHeight="false" outlineLevel="0" collapsed="false">
      <c r="A202" s="250" t="s">
        <v>214</v>
      </c>
      <c r="B202" s="251" t="s">
        <v>215</v>
      </c>
      <c r="C202" s="252" t="n">
        <v>4</v>
      </c>
    </row>
    <row r="203" customFormat="false" ht="14.25" hidden="false" customHeight="false" outlineLevel="0" collapsed="false">
      <c r="A203" s="250" t="s">
        <v>216</v>
      </c>
      <c r="B203" s="251" t="s">
        <v>217</v>
      </c>
      <c r="C203" s="252" t="n">
        <v>1</v>
      </c>
    </row>
    <row r="204" customFormat="false" ht="14.25" hidden="false" customHeight="false" outlineLevel="0" collapsed="false">
      <c r="A204" s="250" t="s">
        <v>218</v>
      </c>
      <c r="B204" s="251" t="s">
        <v>219</v>
      </c>
      <c r="C204" s="252" t="n">
        <v>1</v>
      </c>
    </row>
    <row r="205" customFormat="false" ht="14.25" hidden="false" customHeight="false" outlineLevel="0" collapsed="false">
      <c r="A205" s="250" t="s">
        <v>220</v>
      </c>
      <c r="B205" s="251" t="s">
        <v>221</v>
      </c>
      <c r="C205" s="252" t="n">
        <v>2</v>
      </c>
    </row>
    <row r="206" customFormat="false" ht="14.25" hidden="false" customHeight="false" outlineLevel="0" collapsed="false">
      <c r="A206" s="253" t="s">
        <v>222</v>
      </c>
      <c r="B206" s="254" t="s">
        <v>223</v>
      </c>
      <c r="C206" s="255" t="n">
        <v>3</v>
      </c>
    </row>
  </sheetData>
  <mergeCells count="46">
    <mergeCell ref="A1:D1"/>
    <mergeCell ref="A2:D2"/>
    <mergeCell ref="E2:H2"/>
    <mergeCell ref="I2:L2"/>
    <mergeCell ref="M2:P2"/>
    <mergeCell ref="A3:D3"/>
    <mergeCell ref="A4:V4"/>
    <mergeCell ref="A6:V6"/>
    <mergeCell ref="A8:D8"/>
    <mergeCell ref="G8:K8"/>
    <mergeCell ref="N8:R8"/>
    <mergeCell ref="G9:H9"/>
    <mergeCell ref="N9:O9"/>
    <mergeCell ref="G10:H10"/>
    <mergeCell ref="N10:O10"/>
    <mergeCell ref="F11:G11"/>
    <mergeCell ref="N11:O11"/>
    <mergeCell ref="N12:O12"/>
    <mergeCell ref="A16:V16"/>
    <mergeCell ref="A18:F18"/>
    <mergeCell ref="I18:V18"/>
    <mergeCell ref="A25:V25"/>
    <mergeCell ref="A27:E27"/>
    <mergeCell ref="H27:L27"/>
    <mergeCell ref="N27:R27"/>
    <mergeCell ref="H28:I28"/>
    <mergeCell ref="N28:O28"/>
    <mergeCell ref="H29:I29"/>
    <mergeCell ref="N29:O29"/>
    <mergeCell ref="H30:I30"/>
    <mergeCell ref="N30:O30"/>
    <mergeCell ref="H31:I31"/>
    <mergeCell ref="A33:V33"/>
    <mergeCell ref="A36:E36"/>
    <mergeCell ref="A92:V92"/>
    <mergeCell ref="A94:N94"/>
    <mergeCell ref="A109:V109"/>
    <mergeCell ref="A111:N111"/>
    <mergeCell ref="A126:V126"/>
    <mergeCell ref="A128:N128"/>
    <mergeCell ref="A134:N134"/>
    <mergeCell ref="A140:N140"/>
    <mergeCell ref="A154:A155"/>
    <mergeCell ref="A156:A157"/>
    <mergeCell ref="A158:A159"/>
    <mergeCell ref="A163:N163"/>
  </mergeCells>
  <printOptions headings="false" gridLines="false" gridLinesSet="true" horizontalCentered="false" verticalCentered="false"/>
  <pageMargins left="0.25" right="0.25" top="0.5" bottom="0.25" header="0.511811023622047" footer="0.511811023622047"/>
  <pageSetup paperSize="1"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48"/>
  <sheetViews>
    <sheetView showFormulas="false" showGridLines="false" showRowColHeaders="true" showZeros="true" rightToLeft="false" tabSelected="false" showOutlineSymbols="true" defaultGridColor="true" view="normal" topLeftCell="A22" colorId="64" zoomScale="90" zoomScaleNormal="90" zoomScalePageLayoutView="100" workbookViewId="0">
      <pane xSplit="1" ySplit="0" topLeftCell="BE22" activePane="topRight" state="frozen"/>
      <selection pane="topLeft" activeCell="A22" activeCellId="0" sqref="A22"/>
      <selection pane="topRight" activeCell="BP42" activeCellId="0" sqref="BP42"/>
    </sheetView>
  </sheetViews>
  <sheetFormatPr defaultColWidth="9.2109375" defaultRowHeight="15" customHeight="false" zeroHeight="false" outlineLevelRow="0" outlineLevelCol="0"/>
  <cols>
    <col collapsed="false" customWidth="true" hidden="false" outlineLevel="0" max="1" min="1" style="256" width="71.22"/>
    <col collapsed="false" customWidth="false" hidden="false" outlineLevel="0" max="43" min="2" style="256" width="9.21"/>
    <col collapsed="false" customWidth="true" hidden="false" outlineLevel="0" max="51" min="44" style="256" width="8.76"/>
    <col collapsed="false" customWidth="false" hidden="false" outlineLevel="0" max="16384" min="52" style="256" width="9.21"/>
  </cols>
  <sheetData>
    <row r="1" customFormat="false" ht="15" hidden="false" customHeight="false" outlineLevel="0" collapsed="false">
      <c r="A1" s="257" t="s">
        <v>224</v>
      </c>
    </row>
    <row r="2" customFormat="false" ht="15" hidden="false" customHeight="false" outlineLevel="0" collapsed="false">
      <c r="A2" s="257"/>
    </row>
    <row r="3" customFormat="false" ht="15" hidden="false" customHeight="false" outlineLevel="0" collapsed="false">
      <c r="A3" s="257"/>
    </row>
    <row r="4" customFormat="false" ht="15" hidden="false" customHeight="false" outlineLevel="0" collapsed="false">
      <c r="A4" s="258" t="s">
        <v>225</v>
      </c>
      <c r="B4" s="259" t="n">
        <v>2023</v>
      </c>
      <c r="C4" s="260"/>
      <c r="D4" s="260"/>
      <c r="E4" s="260"/>
      <c r="F4" s="260"/>
      <c r="G4" s="260"/>
      <c r="H4" s="260"/>
      <c r="I4" s="260"/>
      <c r="J4" s="260"/>
      <c r="K4" s="260"/>
      <c r="L4" s="260"/>
      <c r="M4" s="260"/>
      <c r="N4" s="260"/>
      <c r="O4" s="260"/>
      <c r="P4" s="260"/>
      <c r="Q4" s="260"/>
      <c r="R4" s="260"/>
      <c r="S4" s="260"/>
      <c r="T4" s="260"/>
      <c r="U4" s="260"/>
      <c r="V4" s="260"/>
      <c r="W4" s="260"/>
      <c r="X4" s="260"/>
      <c r="Y4" s="261"/>
      <c r="Z4" s="262" t="n">
        <v>2024</v>
      </c>
      <c r="AA4" s="262"/>
      <c r="AB4" s="262"/>
      <c r="AC4" s="262"/>
      <c r="AD4" s="262"/>
      <c r="AE4" s="262"/>
      <c r="AF4" s="262"/>
      <c r="AG4" s="262"/>
      <c r="AH4" s="262"/>
      <c r="AI4" s="262"/>
      <c r="AJ4" s="262"/>
      <c r="AK4" s="262"/>
      <c r="AL4" s="262"/>
      <c r="AM4" s="262"/>
      <c r="AN4" s="262"/>
      <c r="AO4" s="262"/>
      <c r="AP4" s="262"/>
      <c r="AQ4" s="262"/>
      <c r="AR4" s="262"/>
      <c r="AS4" s="262"/>
      <c r="AT4" s="262"/>
      <c r="AU4" s="262"/>
      <c r="AV4" s="262"/>
      <c r="AW4" s="263"/>
      <c r="AX4" s="264" t="n">
        <v>2025</v>
      </c>
      <c r="AY4" s="264"/>
      <c r="AZ4" s="264"/>
      <c r="BA4" s="264"/>
      <c r="BB4" s="264"/>
      <c r="BC4" s="264"/>
      <c r="BD4" s="264"/>
      <c r="BE4" s="264"/>
      <c r="BF4" s="264"/>
      <c r="BG4" s="264"/>
      <c r="BH4" s="264"/>
      <c r="BI4" s="264"/>
      <c r="BJ4" s="264"/>
      <c r="BK4" s="264"/>
      <c r="BL4" s="264"/>
      <c r="BM4" s="264"/>
      <c r="BN4" s="264"/>
      <c r="BO4" s="264"/>
      <c r="BP4" s="264"/>
      <c r="BQ4" s="264"/>
      <c r="BR4" s="264"/>
      <c r="BS4" s="264"/>
      <c r="BT4" s="264"/>
      <c r="BU4" s="265"/>
      <c r="BV4" s="266"/>
      <c r="BW4" s="266"/>
      <c r="BX4" s="266"/>
      <c r="BY4" s="266"/>
      <c r="BZ4" s="266"/>
      <c r="CA4" s="267"/>
    </row>
    <row r="5" customFormat="false" ht="15" hidden="false" customHeight="false" outlineLevel="0" collapsed="false">
      <c r="A5" s="258"/>
      <c r="B5" s="268" t="s">
        <v>226</v>
      </c>
      <c r="C5" s="268"/>
      <c r="D5" s="268" t="s">
        <v>227</v>
      </c>
      <c r="E5" s="268"/>
      <c r="F5" s="268" t="s">
        <v>228</v>
      </c>
      <c r="G5" s="268"/>
      <c r="H5" s="268" t="s">
        <v>229</v>
      </c>
      <c r="I5" s="268"/>
      <c r="J5" s="268" t="s">
        <v>92</v>
      </c>
      <c r="K5" s="268"/>
      <c r="L5" s="268" t="s">
        <v>230</v>
      </c>
      <c r="M5" s="268"/>
      <c r="N5" s="268" t="s">
        <v>231</v>
      </c>
      <c r="O5" s="268"/>
      <c r="P5" s="268" t="s">
        <v>232</v>
      </c>
      <c r="Q5" s="268"/>
      <c r="R5" s="268" t="s">
        <v>233</v>
      </c>
      <c r="S5" s="268"/>
      <c r="T5" s="268" t="s">
        <v>234</v>
      </c>
      <c r="U5" s="268"/>
      <c r="V5" s="268" t="s">
        <v>235</v>
      </c>
      <c r="W5" s="268"/>
      <c r="X5" s="268" t="s">
        <v>236</v>
      </c>
      <c r="Y5" s="268"/>
      <c r="Z5" s="269" t="s">
        <v>226</v>
      </c>
      <c r="AA5" s="269"/>
      <c r="AB5" s="269" t="s">
        <v>227</v>
      </c>
      <c r="AC5" s="269"/>
      <c r="AD5" s="269" t="s">
        <v>228</v>
      </c>
      <c r="AE5" s="269"/>
      <c r="AF5" s="269" t="s">
        <v>229</v>
      </c>
      <c r="AG5" s="269"/>
      <c r="AH5" s="269" t="s">
        <v>92</v>
      </c>
      <c r="AI5" s="269"/>
      <c r="AJ5" s="269" t="s">
        <v>230</v>
      </c>
      <c r="AK5" s="269"/>
      <c r="AL5" s="269" t="s">
        <v>231</v>
      </c>
      <c r="AM5" s="269"/>
      <c r="AN5" s="269" t="s">
        <v>232</v>
      </c>
      <c r="AO5" s="269"/>
      <c r="AP5" s="269" t="s">
        <v>233</v>
      </c>
      <c r="AQ5" s="269"/>
      <c r="AR5" s="269" t="s">
        <v>234</v>
      </c>
      <c r="AS5" s="269"/>
      <c r="AT5" s="269" t="s">
        <v>235</v>
      </c>
      <c r="AU5" s="269"/>
      <c r="AV5" s="269" t="s">
        <v>236</v>
      </c>
      <c r="AW5" s="269"/>
      <c r="AX5" s="270" t="s">
        <v>226</v>
      </c>
      <c r="AY5" s="270"/>
      <c r="AZ5" s="270" t="s">
        <v>227</v>
      </c>
      <c r="BA5" s="270"/>
      <c r="BB5" s="270" t="s">
        <v>228</v>
      </c>
      <c r="BC5" s="270"/>
      <c r="BD5" s="270" t="s">
        <v>229</v>
      </c>
      <c r="BE5" s="270"/>
      <c r="BF5" s="270" t="s">
        <v>92</v>
      </c>
      <c r="BG5" s="270"/>
      <c r="BH5" s="270" t="s">
        <v>230</v>
      </c>
      <c r="BI5" s="270"/>
      <c r="BJ5" s="270" t="s">
        <v>231</v>
      </c>
      <c r="BK5" s="270"/>
      <c r="BL5" s="270" t="s">
        <v>232</v>
      </c>
      <c r="BM5" s="270"/>
      <c r="BN5" s="270" t="s">
        <v>233</v>
      </c>
      <c r="BO5" s="270"/>
      <c r="BP5" s="270" t="s">
        <v>234</v>
      </c>
      <c r="BQ5" s="270"/>
      <c r="BR5" s="270" t="s">
        <v>235</v>
      </c>
      <c r="BS5" s="270"/>
      <c r="BT5" s="270" t="s">
        <v>236</v>
      </c>
      <c r="BU5" s="270"/>
      <c r="BV5" s="271" t="s">
        <v>226</v>
      </c>
      <c r="BW5" s="271"/>
      <c r="BX5" s="271" t="s">
        <v>227</v>
      </c>
      <c r="BY5" s="271"/>
      <c r="BZ5" s="271" t="s">
        <v>228</v>
      </c>
      <c r="CA5" s="271"/>
    </row>
    <row r="6" customFormat="false" ht="15" hidden="false" customHeight="false" outlineLevel="0" collapsed="false">
      <c r="A6" s="258"/>
      <c r="B6" s="272" t="s">
        <v>237</v>
      </c>
      <c r="C6" s="272" t="s">
        <v>238</v>
      </c>
      <c r="D6" s="272" t="s">
        <v>237</v>
      </c>
      <c r="E6" s="272" t="s">
        <v>238</v>
      </c>
      <c r="F6" s="272" t="s">
        <v>237</v>
      </c>
      <c r="G6" s="272" t="s">
        <v>238</v>
      </c>
      <c r="H6" s="272" t="s">
        <v>237</v>
      </c>
      <c r="I6" s="272" t="s">
        <v>238</v>
      </c>
      <c r="J6" s="272" t="s">
        <v>237</v>
      </c>
      <c r="K6" s="272" t="s">
        <v>238</v>
      </c>
      <c r="L6" s="272" t="s">
        <v>237</v>
      </c>
      <c r="M6" s="272" t="s">
        <v>238</v>
      </c>
      <c r="N6" s="272" t="s">
        <v>237</v>
      </c>
      <c r="O6" s="272" t="s">
        <v>238</v>
      </c>
      <c r="P6" s="272" t="s">
        <v>237</v>
      </c>
      <c r="Q6" s="272" t="s">
        <v>238</v>
      </c>
      <c r="R6" s="272" t="s">
        <v>237</v>
      </c>
      <c r="S6" s="272" t="s">
        <v>238</v>
      </c>
      <c r="T6" s="272" t="s">
        <v>237</v>
      </c>
      <c r="U6" s="272" t="s">
        <v>238</v>
      </c>
      <c r="V6" s="272" t="s">
        <v>237</v>
      </c>
      <c r="W6" s="272" t="s">
        <v>238</v>
      </c>
      <c r="X6" s="272" t="s">
        <v>237</v>
      </c>
      <c r="Y6" s="272" t="s">
        <v>238</v>
      </c>
      <c r="Z6" s="273" t="s">
        <v>237</v>
      </c>
      <c r="AA6" s="273" t="s">
        <v>238</v>
      </c>
      <c r="AB6" s="273" t="s">
        <v>237</v>
      </c>
      <c r="AC6" s="273" t="s">
        <v>238</v>
      </c>
      <c r="AD6" s="273" t="s">
        <v>237</v>
      </c>
      <c r="AE6" s="273" t="s">
        <v>238</v>
      </c>
      <c r="AF6" s="273" t="s">
        <v>237</v>
      </c>
      <c r="AG6" s="273" t="s">
        <v>238</v>
      </c>
      <c r="AH6" s="273" t="s">
        <v>237</v>
      </c>
      <c r="AI6" s="273" t="s">
        <v>238</v>
      </c>
      <c r="AJ6" s="273" t="s">
        <v>237</v>
      </c>
      <c r="AK6" s="273" t="s">
        <v>238</v>
      </c>
      <c r="AL6" s="273" t="s">
        <v>237</v>
      </c>
      <c r="AM6" s="273" t="s">
        <v>238</v>
      </c>
      <c r="AN6" s="273" t="s">
        <v>237</v>
      </c>
      <c r="AO6" s="273" t="s">
        <v>238</v>
      </c>
      <c r="AP6" s="273" t="s">
        <v>237</v>
      </c>
      <c r="AQ6" s="273" t="s">
        <v>238</v>
      </c>
      <c r="AR6" s="273" t="s">
        <v>237</v>
      </c>
      <c r="AS6" s="273" t="s">
        <v>238</v>
      </c>
      <c r="AT6" s="273" t="s">
        <v>237</v>
      </c>
      <c r="AU6" s="273" t="s">
        <v>238</v>
      </c>
      <c r="AV6" s="273" t="s">
        <v>237</v>
      </c>
      <c r="AW6" s="273" t="s">
        <v>238</v>
      </c>
      <c r="AX6" s="274" t="s">
        <v>237</v>
      </c>
      <c r="AY6" s="274" t="s">
        <v>238</v>
      </c>
      <c r="AZ6" s="274" t="s">
        <v>237</v>
      </c>
      <c r="BA6" s="274" t="s">
        <v>238</v>
      </c>
      <c r="BB6" s="274" t="s">
        <v>237</v>
      </c>
      <c r="BC6" s="274" t="s">
        <v>238</v>
      </c>
      <c r="BD6" s="274" t="s">
        <v>237</v>
      </c>
      <c r="BE6" s="274" t="s">
        <v>238</v>
      </c>
      <c r="BF6" s="274" t="s">
        <v>237</v>
      </c>
      <c r="BG6" s="274" t="s">
        <v>238</v>
      </c>
      <c r="BH6" s="274" t="s">
        <v>237</v>
      </c>
      <c r="BI6" s="274" t="s">
        <v>238</v>
      </c>
      <c r="BJ6" s="274" t="s">
        <v>237</v>
      </c>
      <c r="BK6" s="274" t="s">
        <v>238</v>
      </c>
      <c r="BL6" s="274" t="s">
        <v>237</v>
      </c>
      <c r="BM6" s="274" t="s">
        <v>238</v>
      </c>
      <c r="BN6" s="274" t="s">
        <v>237</v>
      </c>
      <c r="BO6" s="274" t="s">
        <v>238</v>
      </c>
      <c r="BP6" s="274" t="s">
        <v>237</v>
      </c>
      <c r="BQ6" s="274" t="s">
        <v>238</v>
      </c>
      <c r="BR6" s="274" t="s">
        <v>237</v>
      </c>
      <c r="BS6" s="274" t="s">
        <v>238</v>
      </c>
      <c r="BT6" s="274" t="s">
        <v>237</v>
      </c>
      <c r="BU6" s="274" t="s">
        <v>238</v>
      </c>
      <c r="BV6" s="275" t="s">
        <v>237</v>
      </c>
      <c r="BW6" s="275" t="s">
        <v>238</v>
      </c>
      <c r="BX6" s="275" t="s">
        <v>237</v>
      </c>
      <c r="BY6" s="275" t="s">
        <v>238</v>
      </c>
      <c r="BZ6" s="275" t="s">
        <v>237</v>
      </c>
      <c r="CA6" s="275" t="s">
        <v>238</v>
      </c>
    </row>
    <row r="7" customFormat="false" ht="15" hidden="false" customHeight="false" outlineLevel="0" collapsed="false">
      <c r="A7" s="276" t="s">
        <v>239</v>
      </c>
      <c r="B7" s="277" t="n">
        <v>50.0776584262733</v>
      </c>
      <c r="C7" s="277" t="n">
        <v>43.6823595651609</v>
      </c>
      <c r="D7" s="277" t="n">
        <v>42.8849597689292</v>
      </c>
      <c r="E7" s="277" t="n">
        <v>42.7934314283391</v>
      </c>
      <c r="F7" s="277" t="n">
        <v>43.0198621142482</v>
      </c>
      <c r="G7" s="277" t="n">
        <v>45.3216673903604</v>
      </c>
      <c r="H7" s="277" t="n">
        <v>48.5125441453011</v>
      </c>
      <c r="I7" s="277" t="n">
        <v>50.2720724325947</v>
      </c>
      <c r="J7" s="277" t="n">
        <v>43.2686149470111</v>
      </c>
      <c r="K7" s="277" t="n">
        <v>35.5159607010472</v>
      </c>
      <c r="L7" s="277" t="n">
        <v>38.07807084747</v>
      </c>
      <c r="M7" s="277" t="n">
        <v>39.270787586005</v>
      </c>
      <c r="N7" s="277" t="n">
        <v>42.1362040288302</v>
      </c>
      <c r="O7" s="277" t="n">
        <v>42.786277168933</v>
      </c>
      <c r="P7" s="277" t="n">
        <v>39.8080131225352</v>
      </c>
      <c r="Q7" s="277" t="n">
        <v>38.7751424065909</v>
      </c>
      <c r="R7" s="277" t="n">
        <v>39.5924269346241</v>
      </c>
      <c r="S7" s="277" t="n">
        <v>41.8759552319634</v>
      </c>
      <c r="T7" s="277" t="n">
        <v>42.9138738536613</v>
      </c>
      <c r="U7" s="277" t="n">
        <v>43.5469610362368</v>
      </c>
      <c r="V7" s="277" t="n">
        <v>45.120786661849</v>
      </c>
      <c r="W7" s="277" t="n">
        <v>49.7311650885138</v>
      </c>
      <c r="X7" s="277" t="n">
        <v>47.5223670403711</v>
      </c>
      <c r="Y7" s="277" t="n">
        <v>51.7719312760266</v>
      </c>
      <c r="Z7" s="277" t="n">
        <v>52.9799358186126</v>
      </c>
      <c r="AA7" s="277" t="n">
        <v>50.7915335463259</v>
      </c>
      <c r="AB7" s="277" t="n">
        <v>49.79112716763</v>
      </c>
      <c r="AC7" s="277" t="n">
        <v>49.9767350157729</v>
      </c>
      <c r="AD7" s="277" t="n">
        <v>52.2437946080273</v>
      </c>
      <c r="AE7" s="277" t="n">
        <v>57.4749833433802</v>
      </c>
      <c r="AF7" s="277" t="n">
        <v>57.4653049351992</v>
      </c>
      <c r="AG7" s="277" t="n">
        <v>53.0382291281292</v>
      </c>
      <c r="AH7" s="277" t="n">
        <v>51.0968213699448</v>
      </c>
      <c r="AI7" s="277" t="n">
        <v>48.6899994229327</v>
      </c>
      <c r="AJ7" s="277" t="n">
        <v>48.9435872433177</v>
      </c>
      <c r="AK7" s="277" t="n">
        <v>51.5071372043263</v>
      </c>
      <c r="AL7" s="277" t="n">
        <v>53.0085668182485</v>
      </c>
      <c r="AM7" s="277" t="n">
        <v>53.8983598707051</v>
      </c>
      <c r="AN7" s="277" t="n">
        <v>54.1313277321047</v>
      </c>
      <c r="AO7" s="277" t="n">
        <v>53.9207662559583</v>
      </c>
      <c r="AP7" s="277" t="n">
        <v>54.4722439859551</v>
      </c>
      <c r="AQ7" s="277" t="n">
        <v>56.1551868417256</v>
      </c>
      <c r="AR7" s="277" t="n">
        <v>0</v>
      </c>
      <c r="AS7" s="277" t="n">
        <v>0</v>
      </c>
      <c r="AT7" s="277" t="n">
        <v>0</v>
      </c>
      <c r="AU7" s="277" t="n">
        <v>0</v>
      </c>
      <c r="AV7" s="277" t="n">
        <v>0</v>
      </c>
      <c r="AW7" s="277" t="n">
        <v>0</v>
      </c>
      <c r="AX7" s="277" t="n">
        <v>0</v>
      </c>
      <c r="AY7" s="277" t="n">
        <v>0</v>
      </c>
      <c r="AZ7" s="277" t="n">
        <v>0</v>
      </c>
      <c r="BA7" s="277" t="n">
        <v>0</v>
      </c>
      <c r="BB7" s="277" t="n">
        <v>0</v>
      </c>
      <c r="BC7" s="277" t="n">
        <v>0</v>
      </c>
      <c r="BD7" s="277" t="n">
        <v>0</v>
      </c>
      <c r="BE7" s="277" t="n">
        <v>0</v>
      </c>
      <c r="BF7" s="277" t="n">
        <v>0</v>
      </c>
      <c r="BG7" s="277" t="n">
        <v>0</v>
      </c>
      <c r="BH7" s="277" t="n">
        <v>0</v>
      </c>
      <c r="BI7" s="277" t="n">
        <v>0</v>
      </c>
      <c r="BJ7" s="277" t="n">
        <v>0</v>
      </c>
      <c r="BK7" s="277" t="n">
        <v>0</v>
      </c>
      <c r="BL7" s="277" t="n">
        <v>0</v>
      </c>
      <c r="BM7" s="277" t="n">
        <v>0</v>
      </c>
      <c r="BN7" s="277" t="n">
        <v>0</v>
      </c>
      <c r="BO7" s="277" t="n">
        <v>0</v>
      </c>
      <c r="BP7" s="277" t="n">
        <v>68.7178967224711</v>
      </c>
      <c r="BQ7" s="277" t="n">
        <v>67.1483306213463</v>
      </c>
      <c r="BR7" s="277" t="n">
        <v>67.4521397841346</v>
      </c>
      <c r="BS7" s="277" t="n">
        <v>69.0031734997657</v>
      </c>
      <c r="BT7" s="277" t="n">
        <v>65.047033110515</v>
      </c>
      <c r="BU7" s="277" t="n">
        <v>70.5308336229869</v>
      </c>
      <c r="BV7" s="277" t="n">
        <v>68.231268596159</v>
      </c>
      <c r="BW7" s="277" t="n">
        <v>70.0137842670684</v>
      </c>
      <c r="BX7" s="277" t="n">
        <v>72.9569093392471</v>
      </c>
      <c r="BY7" s="277" t="n">
        <v>74.7311803571158</v>
      </c>
      <c r="BZ7" s="277" t="n">
        <v>77.9265219659484</v>
      </c>
      <c r="CA7" s="277" t="n">
        <v>80.1266530201124</v>
      </c>
    </row>
    <row r="8" customFormat="false" ht="15" hidden="false" customHeight="false" outlineLevel="0" collapsed="false">
      <c r="A8" s="276" t="s">
        <v>240</v>
      </c>
      <c r="B8" s="277" t="n">
        <v>0</v>
      </c>
      <c r="C8" s="277" t="n">
        <v>0</v>
      </c>
      <c r="D8" s="277" t="n">
        <v>0</v>
      </c>
      <c r="E8" s="277" t="n">
        <v>0</v>
      </c>
      <c r="F8" s="277" t="n">
        <v>0</v>
      </c>
      <c r="G8" s="277" t="n">
        <v>0</v>
      </c>
      <c r="H8" s="277" t="n">
        <v>0</v>
      </c>
      <c r="I8" s="277" t="n">
        <v>0</v>
      </c>
      <c r="J8" s="277" t="n">
        <v>0</v>
      </c>
      <c r="K8" s="277" t="n">
        <v>0</v>
      </c>
      <c r="L8" s="277" t="n">
        <v>0</v>
      </c>
      <c r="M8" s="277" t="n">
        <v>0</v>
      </c>
      <c r="N8" s="277" t="n">
        <v>0</v>
      </c>
      <c r="O8" s="277" t="n">
        <v>0</v>
      </c>
      <c r="P8" s="277" t="n">
        <v>0</v>
      </c>
      <c r="Q8" s="277" t="n">
        <v>0</v>
      </c>
      <c r="R8" s="277" t="n">
        <v>0</v>
      </c>
      <c r="S8" s="277" t="n">
        <v>0</v>
      </c>
      <c r="T8" s="277" t="n">
        <v>0</v>
      </c>
      <c r="U8" s="277" t="n">
        <v>0</v>
      </c>
      <c r="V8" s="277" t="n">
        <v>0</v>
      </c>
      <c r="W8" s="277" t="n">
        <v>0</v>
      </c>
      <c r="X8" s="277" t="n">
        <v>0</v>
      </c>
      <c r="Y8" s="277" t="n">
        <v>0</v>
      </c>
      <c r="Z8" s="277" t="n">
        <v>0</v>
      </c>
      <c r="AA8" s="277" t="n">
        <v>0</v>
      </c>
      <c r="AB8" s="277" t="n">
        <v>0</v>
      </c>
      <c r="AC8" s="277" t="n">
        <v>0</v>
      </c>
      <c r="AD8" s="277" t="n">
        <v>0</v>
      </c>
      <c r="AE8" s="277" t="n">
        <v>0</v>
      </c>
      <c r="AF8" s="277" t="n">
        <v>0</v>
      </c>
      <c r="AG8" s="277" t="n">
        <v>0</v>
      </c>
      <c r="AH8" s="277" t="n">
        <v>0</v>
      </c>
      <c r="AI8" s="277" t="n">
        <v>0</v>
      </c>
      <c r="AJ8" s="277" t="n">
        <v>0</v>
      </c>
      <c r="AK8" s="277" t="n">
        <v>0</v>
      </c>
      <c r="AL8" s="277" t="n">
        <v>0</v>
      </c>
      <c r="AM8" s="277" t="n">
        <v>0</v>
      </c>
      <c r="AN8" s="277" t="n">
        <v>0</v>
      </c>
      <c r="AO8" s="277" t="n">
        <v>0</v>
      </c>
      <c r="AP8" s="277" t="n">
        <v>0</v>
      </c>
      <c r="AQ8" s="277" t="n">
        <v>0</v>
      </c>
      <c r="AR8" s="277" t="n">
        <v>0</v>
      </c>
      <c r="AS8" s="277" t="n">
        <v>0</v>
      </c>
      <c r="AT8" s="277" t="n">
        <v>0</v>
      </c>
      <c r="AU8" s="277" t="n">
        <v>0</v>
      </c>
      <c r="AV8" s="277" t="n">
        <v>0</v>
      </c>
      <c r="AW8" s="277" t="n">
        <v>0</v>
      </c>
      <c r="AX8" s="277" t="n">
        <v>0</v>
      </c>
      <c r="AY8" s="277" t="n">
        <v>0</v>
      </c>
      <c r="AZ8" s="277" t="n">
        <v>0</v>
      </c>
      <c r="BA8" s="277" t="n">
        <v>0</v>
      </c>
      <c r="BB8" s="277" t="n">
        <v>0</v>
      </c>
      <c r="BC8" s="277" t="n">
        <v>0</v>
      </c>
      <c r="BD8" s="277" t="n">
        <v>0</v>
      </c>
      <c r="BE8" s="277" t="n">
        <v>0</v>
      </c>
      <c r="BF8" s="277" t="n">
        <v>0</v>
      </c>
      <c r="BG8" s="277" t="n">
        <v>0</v>
      </c>
      <c r="BH8" s="277" t="n">
        <v>0</v>
      </c>
      <c r="BI8" s="277" t="n">
        <v>0</v>
      </c>
      <c r="BJ8" s="277" t="n">
        <v>0</v>
      </c>
      <c r="BK8" s="277" t="n">
        <v>0</v>
      </c>
      <c r="BL8" s="277" t="n">
        <v>0</v>
      </c>
      <c r="BM8" s="277" t="n">
        <v>0</v>
      </c>
      <c r="BN8" s="277" t="n">
        <v>0</v>
      </c>
      <c r="BO8" s="277" t="n">
        <v>0</v>
      </c>
      <c r="BP8" s="277" t="n">
        <v>15.8801020408163</v>
      </c>
      <c r="BQ8" s="277" t="n">
        <v>13.0330788804071</v>
      </c>
      <c r="BR8" s="277" t="n">
        <v>15.6197183098591</v>
      </c>
      <c r="BS8" s="277" t="n">
        <v>21.9332220367278</v>
      </c>
      <c r="BT8" s="277" t="n">
        <v>22.8359580052493</v>
      </c>
      <c r="BU8" s="277" t="n">
        <v>27.2470588235294</v>
      </c>
      <c r="BV8" s="277" t="n">
        <v>31.9345692475463</v>
      </c>
      <c r="BW8" s="277" t="n">
        <v>33.1123139377537</v>
      </c>
      <c r="BX8" s="277" t="n">
        <v>43.9793814432989</v>
      </c>
      <c r="BY8" s="277" t="n">
        <v>38.7965367965368</v>
      </c>
      <c r="BZ8" s="277" t="n">
        <v>41.752</v>
      </c>
      <c r="CA8" s="277" t="n">
        <v>29.6119402985074</v>
      </c>
    </row>
    <row r="9" customFormat="false" ht="15" hidden="false" customHeight="false" outlineLevel="0" collapsed="false">
      <c r="A9" s="276" t="s">
        <v>241</v>
      </c>
      <c r="B9" s="277" t="n">
        <v>71.9043020193152</v>
      </c>
      <c r="C9" s="277" t="n">
        <v>59.0229132569558</v>
      </c>
      <c r="D9" s="277" t="n">
        <v>58.8048561151079</v>
      </c>
      <c r="E9" s="277" t="n">
        <v>56.031290074378</v>
      </c>
      <c r="F9" s="277" t="n">
        <v>52.5076825931383</v>
      </c>
      <c r="G9" s="277" t="n">
        <v>53.2716579959285</v>
      </c>
      <c r="H9" s="277" t="n">
        <v>55.7661703685624</v>
      </c>
      <c r="I9" s="277" t="n">
        <v>61.2913294797688</v>
      </c>
      <c r="J9" s="277" t="n">
        <v>62.6041450777202</v>
      </c>
      <c r="K9" s="277" t="n">
        <v>53.5251154734411</v>
      </c>
      <c r="L9" s="277" t="n">
        <v>51.4253303415607</v>
      </c>
      <c r="M9" s="277" t="n">
        <v>55.1246619129579</v>
      </c>
      <c r="N9" s="277" t="n">
        <v>56.2574047954866</v>
      </c>
      <c r="O9" s="277" t="n">
        <v>59.815751093826</v>
      </c>
      <c r="P9" s="277" t="n">
        <v>62.8330255869164</v>
      </c>
      <c r="Q9" s="277" t="n">
        <v>64.7552854122622</v>
      </c>
      <c r="R9" s="277" t="n">
        <v>68.1870445344129</v>
      </c>
      <c r="S9" s="277" t="n">
        <v>68.3415574402467</v>
      </c>
      <c r="T9" s="277" t="n">
        <v>74.3146035367941</v>
      </c>
      <c r="U9" s="277" t="n">
        <v>92.0672903922274</v>
      </c>
      <c r="V9" s="277" t="n">
        <v>97.7206509104998</v>
      </c>
      <c r="W9" s="277" t="n">
        <v>113.121052631579</v>
      </c>
      <c r="X9" s="277" t="n">
        <v>129.615623062616</v>
      </c>
      <c r="Y9" s="277" t="n">
        <v>146.553743513714</v>
      </c>
      <c r="Z9" s="277" t="n">
        <v>77.9815264041799</v>
      </c>
      <c r="AA9" s="277" t="n">
        <v>75.9382093316519</v>
      </c>
      <c r="AB9" s="277" t="n">
        <v>76.4702112919986</v>
      </c>
      <c r="AC9" s="277" t="n">
        <v>81.2191731359451</v>
      </c>
      <c r="AD9" s="277" t="n">
        <v>84.9818417639429</v>
      </c>
      <c r="AE9" s="277" t="n">
        <v>85.9477136793363</v>
      </c>
      <c r="AF9" s="277" t="n">
        <v>87.7138511458122</v>
      </c>
      <c r="AG9" s="277" t="n">
        <v>86.285536159601</v>
      </c>
      <c r="AH9" s="277" t="n">
        <v>83.9761392949269</v>
      </c>
      <c r="AI9" s="277" t="n">
        <v>83.4562909419471</v>
      </c>
      <c r="AJ9" s="277" t="n">
        <v>83.8230987246103</v>
      </c>
      <c r="AK9" s="277" t="n">
        <v>83.3429602888087</v>
      </c>
      <c r="AL9" s="277" t="n">
        <v>81.9177954226997</v>
      </c>
      <c r="AM9" s="277" t="n">
        <v>80.8672731513879</v>
      </c>
      <c r="AN9" s="277" t="n">
        <v>79.5391929499072</v>
      </c>
      <c r="AO9" s="277" t="n">
        <v>80.3713527851459</v>
      </c>
      <c r="AP9" s="277" t="n">
        <v>80.3619439071567</v>
      </c>
      <c r="AQ9" s="277" t="n">
        <v>79.2399817850637</v>
      </c>
      <c r="AR9" s="277" t="n">
        <v>0</v>
      </c>
      <c r="AS9" s="277" t="n">
        <v>0</v>
      </c>
      <c r="AT9" s="277" t="n">
        <v>0</v>
      </c>
      <c r="AU9" s="277" t="n">
        <v>0</v>
      </c>
      <c r="AV9" s="277" t="n">
        <v>0</v>
      </c>
      <c r="AW9" s="277" t="n">
        <v>0</v>
      </c>
      <c r="AX9" s="277" t="n">
        <v>0</v>
      </c>
      <c r="AY9" s="277" t="n">
        <v>0</v>
      </c>
      <c r="AZ9" s="277" t="n">
        <v>0</v>
      </c>
      <c r="BA9" s="277" t="n">
        <v>0</v>
      </c>
      <c r="BB9" s="277" t="n">
        <v>0</v>
      </c>
      <c r="BC9" s="277" t="n">
        <v>0</v>
      </c>
      <c r="BD9" s="277" t="n">
        <v>0</v>
      </c>
      <c r="BE9" s="277" t="n">
        <v>0</v>
      </c>
      <c r="BF9" s="277" t="n">
        <v>0</v>
      </c>
      <c r="BG9" s="277" t="n">
        <v>0</v>
      </c>
      <c r="BH9" s="277" t="n">
        <v>0</v>
      </c>
      <c r="BI9" s="277" t="n">
        <v>0</v>
      </c>
      <c r="BJ9" s="277" t="n">
        <v>0</v>
      </c>
      <c r="BK9" s="277" t="n">
        <v>0</v>
      </c>
      <c r="BL9" s="277" t="n">
        <v>0</v>
      </c>
      <c r="BM9" s="277" t="n">
        <v>0</v>
      </c>
      <c r="BN9" s="277" t="n">
        <v>0</v>
      </c>
      <c r="BO9" s="277" t="n">
        <v>0</v>
      </c>
      <c r="BP9" s="277" t="n">
        <v>146.362352941176</v>
      </c>
      <c r="BQ9" s="277" t="n">
        <v>149.37631887456</v>
      </c>
      <c r="BR9" s="277" t="n">
        <v>157.847904191616</v>
      </c>
      <c r="BS9" s="277" t="n">
        <v>163.139194139194</v>
      </c>
      <c r="BT9" s="277" t="n">
        <v>168.321705426356</v>
      </c>
      <c r="BU9" s="277" t="n">
        <v>177.056209150326</v>
      </c>
      <c r="BV9" s="277" t="n">
        <v>183.518666666666</v>
      </c>
      <c r="BW9" s="277" t="n">
        <v>191.39606741573</v>
      </c>
      <c r="BX9" s="277" t="n">
        <v>197.926974664679</v>
      </c>
      <c r="BY9" s="277" t="n">
        <v>207.732612055641</v>
      </c>
      <c r="BZ9" s="277" t="n">
        <v>210.217806041335</v>
      </c>
      <c r="CA9" s="277" t="n">
        <v>218.599673202614</v>
      </c>
    </row>
    <row r="10" customFormat="false" ht="15" hidden="false" customHeight="false" outlineLevel="0" collapsed="false">
      <c r="A10" s="278" t="s">
        <v>242</v>
      </c>
      <c r="B10" s="279" t="n">
        <v>0</v>
      </c>
      <c r="C10" s="279" t="n">
        <v>0</v>
      </c>
      <c r="D10" s="279" t="n">
        <v>0</v>
      </c>
      <c r="E10" s="279" t="n">
        <v>0</v>
      </c>
      <c r="F10" s="279" t="n">
        <v>0</v>
      </c>
      <c r="G10" s="279" t="n">
        <v>0</v>
      </c>
      <c r="H10" s="279" t="n">
        <v>0</v>
      </c>
      <c r="I10" s="279" t="n">
        <v>0</v>
      </c>
      <c r="J10" s="279" t="n">
        <v>0</v>
      </c>
      <c r="K10" s="279" t="n">
        <v>0</v>
      </c>
      <c r="L10" s="279" t="n">
        <v>0</v>
      </c>
      <c r="M10" s="279" t="n">
        <v>0</v>
      </c>
      <c r="N10" s="279" t="n">
        <v>0</v>
      </c>
      <c r="O10" s="279" t="n">
        <v>0</v>
      </c>
      <c r="P10" s="279" t="n">
        <v>0</v>
      </c>
      <c r="Q10" s="279" t="n">
        <v>0</v>
      </c>
      <c r="R10" s="279" t="n">
        <v>0</v>
      </c>
      <c r="S10" s="279" t="n">
        <v>0</v>
      </c>
      <c r="T10" s="279" t="n">
        <v>0</v>
      </c>
      <c r="U10" s="279" t="n">
        <v>0</v>
      </c>
      <c r="V10" s="279" t="n">
        <v>0</v>
      </c>
      <c r="W10" s="279" t="n">
        <v>0</v>
      </c>
      <c r="X10" s="279" t="n">
        <v>0</v>
      </c>
      <c r="Y10" s="279" t="n">
        <v>0</v>
      </c>
      <c r="Z10" s="279" t="n">
        <v>0</v>
      </c>
      <c r="AA10" s="279" t="n">
        <v>0</v>
      </c>
      <c r="AB10" s="279" t="n">
        <v>0</v>
      </c>
      <c r="AC10" s="279" t="n">
        <v>0</v>
      </c>
      <c r="AD10" s="279" t="n">
        <v>0</v>
      </c>
      <c r="AE10" s="279" t="n">
        <v>0</v>
      </c>
      <c r="AF10" s="279" t="n">
        <v>0</v>
      </c>
      <c r="AG10" s="279" t="n">
        <v>0</v>
      </c>
      <c r="AH10" s="279" t="n">
        <v>0</v>
      </c>
      <c r="AI10" s="279" t="n">
        <v>0</v>
      </c>
      <c r="AJ10" s="279" t="n">
        <v>0</v>
      </c>
      <c r="AK10" s="279" t="n">
        <v>0</v>
      </c>
      <c r="AL10" s="279" t="n">
        <v>0</v>
      </c>
      <c r="AM10" s="279" t="n">
        <v>0</v>
      </c>
      <c r="AN10" s="279" t="n">
        <v>0</v>
      </c>
      <c r="AO10" s="279" t="n">
        <v>0</v>
      </c>
      <c r="AP10" s="279" t="n">
        <v>0</v>
      </c>
      <c r="AQ10" s="279" t="n">
        <v>0</v>
      </c>
      <c r="AR10" s="279" t="n">
        <v>0</v>
      </c>
      <c r="AS10" s="279" t="n">
        <v>0</v>
      </c>
      <c r="AT10" s="279" t="n">
        <v>0</v>
      </c>
      <c r="AU10" s="279" t="n">
        <v>0</v>
      </c>
      <c r="AV10" s="279" t="n">
        <v>0</v>
      </c>
      <c r="AW10" s="279" t="n">
        <v>0</v>
      </c>
      <c r="AX10" s="279" t="n">
        <v>0</v>
      </c>
      <c r="AY10" s="279" t="n">
        <v>0</v>
      </c>
      <c r="AZ10" s="279" t="n">
        <v>0</v>
      </c>
      <c r="BA10" s="279" t="n">
        <v>0</v>
      </c>
      <c r="BB10" s="279" t="n">
        <v>0</v>
      </c>
      <c r="BC10" s="279" t="n">
        <v>0</v>
      </c>
      <c r="BD10" s="279" t="n">
        <v>0</v>
      </c>
      <c r="BE10" s="279" t="n">
        <v>0</v>
      </c>
      <c r="BF10" s="279" t="n">
        <v>0</v>
      </c>
      <c r="BG10" s="279" t="n">
        <v>0</v>
      </c>
      <c r="BH10" s="279" t="n">
        <v>0</v>
      </c>
      <c r="BI10" s="279" t="n">
        <v>0</v>
      </c>
      <c r="BJ10" s="279" t="n">
        <v>0</v>
      </c>
      <c r="BK10" s="279" t="n">
        <v>0</v>
      </c>
      <c r="BL10" s="279" t="n">
        <v>0</v>
      </c>
      <c r="BM10" s="279" t="n">
        <v>0</v>
      </c>
      <c r="BN10" s="279" t="n">
        <v>0</v>
      </c>
      <c r="BO10" s="279" t="n">
        <v>0</v>
      </c>
      <c r="BP10" s="279" t="n">
        <v>11.6333333333333</v>
      </c>
      <c r="BQ10" s="279" t="n">
        <v>20.4935064935064</v>
      </c>
      <c r="BR10" s="279" t="n">
        <v>31.0510204081632</v>
      </c>
      <c r="BS10" s="279" t="n">
        <v>41.4159292035398</v>
      </c>
      <c r="BT10" s="279" t="n">
        <v>50.0564516129032</v>
      </c>
      <c r="BU10" s="279" t="n">
        <v>58.1127819548872</v>
      </c>
      <c r="BV10" s="279" t="n">
        <v>68.9097222222222</v>
      </c>
      <c r="BW10" s="279" t="n">
        <v>71.2903225806451</v>
      </c>
      <c r="BX10" s="279" t="n">
        <v>92.25</v>
      </c>
      <c r="BY10" s="279" t="n">
        <v>51.2857142857142</v>
      </c>
      <c r="BZ10" s="279" t="n">
        <v>26.2857142857142</v>
      </c>
      <c r="CA10" s="279" t="n">
        <v>31</v>
      </c>
    </row>
    <row r="11" customFormat="false" ht="15" hidden="false" customHeight="false" outlineLevel="0" collapsed="false">
      <c r="A11" s="280" t="s">
        <v>19</v>
      </c>
      <c r="B11" s="279" t="n">
        <v>52.365263400046</v>
      </c>
      <c r="C11" s="279" t="n">
        <v>45.4749464504284</v>
      </c>
      <c r="D11" s="279" t="n">
        <v>44.8112146820935</v>
      </c>
      <c r="E11" s="279" t="n">
        <v>44.6043998456194</v>
      </c>
      <c r="F11" s="279" t="n">
        <v>44.5678766441155</v>
      </c>
      <c r="G11" s="279" t="n">
        <v>46.6020181414156</v>
      </c>
      <c r="H11" s="279" t="n">
        <v>49.6599613899614</v>
      </c>
      <c r="I11" s="279" t="n">
        <v>51.8978721589698</v>
      </c>
      <c r="J11" s="279" t="n">
        <v>45.5355985744371</v>
      </c>
      <c r="K11" s="279" t="n">
        <v>37.5121756103805</v>
      </c>
      <c r="L11" s="279" t="n">
        <v>39.7818407485201</v>
      </c>
      <c r="M11" s="279" t="n">
        <v>41.3248064731929</v>
      </c>
      <c r="N11" s="279" t="n">
        <v>44.0548724009071</v>
      </c>
      <c r="O11" s="279" t="n">
        <v>45.0176768481065</v>
      </c>
      <c r="P11" s="279" t="n">
        <v>42.4984280606584</v>
      </c>
      <c r="Q11" s="279" t="n">
        <v>41.5954901454514</v>
      </c>
      <c r="R11" s="279" t="n">
        <v>42.5071945415027</v>
      </c>
      <c r="S11" s="279" t="n">
        <v>44.6494653774677</v>
      </c>
      <c r="T11" s="279" t="n">
        <v>45.7249699971912</v>
      </c>
      <c r="U11" s="279" t="n">
        <v>46.8423638096635</v>
      </c>
      <c r="V11" s="279" t="n">
        <v>48.4058121808987</v>
      </c>
      <c r="W11" s="279" t="n">
        <v>53.17009733939</v>
      </c>
      <c r="X11" s="279" t="n">
        <v>51.022946572554</v>
      </c>
      <c r="Y11" s="279" t="n">
        <v>55.1715767083222</v>
      </c>
      <c r="Z11" s="279" t="n">
        <v>56.4418634695881</v>
      </c>
      <c r="AA11" s="279" t="n">
        <v>54.338457629272</v>
      </c>
      <c r="AB11" s="279" t="n">
        <v>53.6065784911081</v>
      </c>
      <c r="AC11" s="279" t="n">
        <v>54.1930901737202</v>
      </c>
      <c r="AD11" s="279" t="n">
        <v>56.6605339466053</v>
      </c>
      <c r="AE11" s="279" t="n">
        <v>61.4958585363195</v>
      </c>
      <c r="AF11" s="279" t="n">
        <v>61.6232995093666</v>
      </c>
      <c r="AG11" s="279" t="n">
        <v>57.3333870274914</v>
      </c>
      <c r="AH11" s="279" t="n">
        <v>55.1053804020232</v>
      </c>
      <c r="AI11" s="279" t="n">
        <v>52.6278367660228</v>
      </c>
      <c r="AJ11" s="279" t="n">
        <v>52.7203723594701</v>
      </c>
      <c r="AK11" s="279" t="n">
        <v>54.9633936036789</v>
      </c>
      <c r="AL11" s="279" t="n">
        <v>56.2350196783694</v>
      </c>
      <c r="AM11" s="279" t="n">
        <v>56.9651714899599</v>
      </c>
      <c r="AN11" s="279" t="n">
        <v>57.0514139502652</v>
      </c>
      <c r="AO11" s="279" t="n">
        <v>56.8455364761092</v>
      </c>
      <c r="AP11" s="279" t="n">
        <v>57.2465476591445</v>
      </c>
      <c r="AQ11" s="279" t="n">
        <v>58.7517606986452</v>
      </c>
      <c r="AR11" s="279" t="n">
        <v>0</v>
      </c>
      <c r="AS11" s="279" t="n">
        <v>0</v>
      </c>
      <c r="AT11" s="279" t="n">
        <v>0</v>
      </c>
      <c r="AU11" s="279" t="n">
        <v>0</v>
      </c>
      <c r="AV11" s="279" t="n">
        <v>0</v>
      </c>
      <c r="AW11" s="279" t="n">
        <v>0</v>
      </c>
      <c r="AX11" s="279" t="n">
        <v>0</v>
      </c>
      <c r="AY11" s="279" t="n">
        <v>0</v>
      </c>
      <c r="AZ11" s="279" t="n">
        <v>0</v>
      </c>
      <c r="BA11" s="279" t="n">
        <v>0</v>
      </c>
      <c r="BB11" s="279" t="n">
        <v>0</v>
      </c>
      <c r="BC11" s="279" t="n">
        <v>0</v>
      </c>
      <c r="BD11" s="279" t="n">
        <v>0</v>
      </c>
      <c r="BE11" s="279" t="n">
        <v>0</v>
      </c>
      <c r="BF11" s="279" t="n">
        <v>0</v>
      </c>
      <c r="BG11" s="279" t="n">
        <v>0</v>
      </c>
      <c r="BH11" s="279" t="n">
        <v>0</v>
      </c>
      <c r="BI11" s="279" t="n">
        <v>0</v>
      </c>
      <c r="BJ11" s="279" t="n">
        <v>0</v>
      </c>
      <c r="BK11" s="279" t="n">
        <v>0</v>
      </c>
      <c r="BL11" s="279" t="n">
        <v>0</v>
      </c>
      <c r="BM11" s="279" t="n">
        <v>0</v>
      </c>
      <c r="BN11" s="279" t="n">
        <v>0</v>
      </c>
      <c r="BO11" s="279" t="n">
        <v>0</v>
      </c>
      <c r="BP11" s="279" t="n">
        <v>69.3627247100143</v>
      </c>
      <c r="BQ11" s="279" t="n">
        <v>67.817224314942</v>
      </c>
      <c r="BR11" s="279" t="n">
        <v>68.1341115626154</v>
      </c>
      <c r="BS11" s="279" t="n">
        <v>69.6794280987829</v>
      </c>
      <c r="BT11" s="279" t="n">
        <v>65.6836150358425</v>
      </c>
      <c r="BU11" s="279" t="n">
        <v>71.1389061528899</v>
      </c>
      <c r="BV11" s="279" t="n">
        <v>68.934614724558</v>
      </c>
      <c r="BW11" s="279" t="n">
        <v>70.8303876695709</v>
      </c>
      <c r="BX11" s="279" t="n">
        <v>74.014383601249</v>
      </c>
      <c r="BY11" s="279" t="n">
        <v>75.8861754658153</v>
      </c>
      <c r="BZ11" s="279" t="n">
        <v>79.1500515480021</v>
      </c>
      <c r="CA11" s="279" t="n">
        <v>81.3758567003194</v>
      </c>
    </row>
    <row r="13" customFormat="false" ht="15" hidden="false" customHeight="false" outlineLevel="0" collapsed="false">
      <c r="A13" s="257" t="s">
        <v>243</v>
      </c>
    </row>
    <row r="14" customFormat="false" ht="15" hidden="false" customHeight="false" outlineLevel="0" collapsed="false">
      <c r="A14" s="281"/>
    </row>
    <row r="15" customFormat="false" ht="15" hidden="false" customHeight="false" outlineLevel="0" collapsed="false">
      <c r="A15" s="281"/>
    </row>
    <row r="16" customFormat="false" ht="15" hidden="false" customHeight="false" outlineLevel="0" collapsed="false">
      <c r="A16" s="282" t="s">
        <v>225</v>
      </c>
      <c r="B16" s="259" t="n">
        <v>2023</v>
      </c>
      <c r="C16" s="260"/>
      <c r="D16" s="260"/>
      <c r="E16" s="260"/>
      <c r="F16" s="260"/>
      <c r="G16" s="260"/>
      <c r="H16" s="260"/>
      <c r="I16" s="260"/>
      <c r="J16" s="260"/>
      <c r="K16" s="260"/>
      <c r="L16" s="260"/>
      <c r="M16" s="260"/>
      <c r="N16" s="260"/>
      <c r="O16" s="260"/>
      <c r="P16" s="260"/>
      <c r="Q16" s="260"/>
      <c r="R16" s="260"/>
      <c r="S16" s="260"/>
      <c r="T16" s="260"/>
      <c r="U16" s="260"/>
      <c r="V16" s="260"/>
      <c r="W16" s="260"/>
      <c r="X16" s="260"/>
      <c r="Y16" s="261"/>
      <c r="Z16" s="262" t="n">
        <v>2024</v>
      </c>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64" t="n">
        <v>2025</v>
      </c>
      <c r="AY16" s="264"/>
      <c r="AZ16" s="264"/>
      <c r="BA16" s="264"/>
      <c r="BB16" s="264"/>
      <c r="BC16" s="264"/>
      <c r="BD16" s="264"/>
      <c r="BE16" s="264"/>
      <c r="BF16" s="264"/>
      <c r="BG16" s="264"/>
      <c r="BH16" s="264"/>
      <c r="BI16" s="264"/>
      <c r="BJ16" s="264"/>
      <c r="BK16" s="264"/>
      <c r="BL16" s="264"/>
      <c r="BM16" s="264"/>
      <c r="BN16" s="264"/>
      <c r="BO16" s="264"/>
      <c r="BP16" s="264"/>
      <c r="BQ16" s="264"/>
      <c r="BR16" s="264"/>
      <c r="BS16" s="264"/>
      <c r="BT16" s="264"/>
      <c r="BU16" s="265"/>
      <c r="BV16" s="266"/>
      <c r="BW16" s="266"/>
      <c r="BX16" s="266"/>
      <c r="BY16" s="266"/>
      <c r="BZ16" s="266"/>
      <c r="CA16" s="267"/>
    </row>
    <row r="17" customFormat="false" ht="15" hidden="false" customHeight="false" outlineLevel="0" collapsed="false">
      <c r="A17" s="282"/>
      <c r="B17" s="268" t="s">
        <v>226</v>
      </c>
      <c r="C17" s="268"/>
      <c r="D17" s="268" t="s">
        <v>227</v>
      </c>
      <c r="E17" s="268"/>
      <c r="F17" s="268" t="s">
        <v>228</v>
      </c>
      <c r="G17" s="268"/>
      <c r="H17" s="268" t="s">
        <v>229</v>
      </c>
      <c r="I17" s="268"/>
      <c r="J17" s="268" t="s">
        <v>92</v>
      </c>
      <c r="K17" s="268"/>
      <c r="L17" s="268" t="s">
        <v>230</v>
      </c>
      <c r="M17" s="268"/>
      <c r="N17" s="268" t="s">
        <v>231</v>
      </c>
      <c r="O17" s="268"/>
      <c r="P17" s="268" t="s">
        <v>232</v>
      </c>
      <c r="Q17" s="268"/>
      <c r="R17" s="268" t="s">
        <v>233</v>
      </c>
      <c r="S17" s="268"/>
      <c r="T17" s="268" t="s">
        <v>234</v>
      </c>
      <c r="U17" s="268"/>
      <c r="V17" s="268" t="s">
        <v>235</v>
      </c>
      <c r="W17" s="268"/>
      <c r="X17" s="268" t="s">
        <v>236</v>
      </c>
      <c r="Y17" s="268"/>
      <c r="Z17" s="269" t="s">
        <v>226</v>
      </c>
      <c r="AA17" s="269"/>
      <c r="AB17" s="269" t="s">
        <v>227</v>
      </c>
      <c r="AC17" s="269"/>
      <c r="AD17" s="269" t="s">
        <v>228</v>
      </c>
      <c r="AE17" s="269"/>
      <c r="AF17" s="269" t="s">
        <v>229</v>
      </c>
      <c r="AG17" s="269"/>
      <c r="AH17" s="269" t="s">
        <v>92</v>
      </c>
      <c r="AI17" s="269"/>
      <c r="AJ17" s="269" t="s">
        <v>230</v>
      </c>
      <c r="AK17" s="269"/>
      <c r="AL17" s="269" t="s">
        <v>231</v>
      </c>
      <c r="AM17" s="269"/>
      <c r="AN17" s="269" t="s">
        <v>232</v>
      </c>
      <c r="AO17" s="269"/>
      <c r="AP17" s="269" t="s">
        <v>233</v>
      </c>
      <c r="AQ17" s="269"/>
      <c r="AR17" s="269" t="s">
        <v>234</v>
      </c>
      <c r="AS17" s="269"/>
      <c r="AT17" s="269" t="s">
        <v>235</v>
      </c>
      <c r="AU17" s="269"/>
      <c r="AV17" s="269" t="s">
        <v>236</v>
      </c>
      <c r="AW17" s="269"/>
      <c r="AX17" s="270" t="s">
        <v>226</v>
      </c>
      <c r="AY17" s="270"/>
      <c r="AZ17" s="270" t="s">
        <v>227</v>
      </c>
      <c r="BA17" s="270"/>
      <c r="BB17" s="270" t="s">
        <v>228</v>
      </c>
      <c r="BC17" s="270"/>
      <c r="BD17" s="270" t="s">
        <v>229</v>
      </c>
      <c r="BE17" s="270"/>
      <c r="BF17" s="270" t="s">
        <v>92</v>
      </c>
      <c r="BG17" s="270"/>
      <c r="BH17" s="270" t="s">
        <v>230</v>
      </c>
      <c r="BI17" s="270"/>
      <c r="BJ17" s="270" t="s">
        <v>231</v>
      </c>
      <c r="BK17" s="270"/>
      <c r="BL17" s="270" t="s">
        <v>232</v>
      </c>
      <c r="BM17" s="270"/>
      <c r="BN17" s="270" t="s">
        <v>233</v>
      </c>
      <c r="BO17" s="270"/>
      <c r="BP17" s="270" t="s">
        <v>234</v>
      </c>
      <c r="BQ17" s="270"/>
      <c r="BR17" s="270" t="s">
        <v>235</v>
      </c>
      <c r="BS17" s="270"/>
      <c r="BT17" s="270" t="s">
        <v>236</v>
      </c>
      <c r="BU17" s="270"/>
      <c r="BV17" s="271" t="s">
        <v>226</v>
      </c>
      <c r="BW17" s="271"/>
      <c r="BX17" s="271" t="s">
        <v>227</v>
      </c>
      <c r="BY17" s="271"/>
      <c r="BZ17" s="271" t="s">
        <v>228</v>
      </c>
      <c r="CA17" s="271"/>
    </row>
    <row r="18" customFormat="false" ht="15" hidden="false" customHeight="false" outlineLevel="0" collapsed="false">
      <c r="A18" s="282"/>
      <c r="B18" s="272" t="s">
        <v>237</v>
      </c>
      <c r="C18" s="272" t="s">
        <v>238</v>
      </c>
      <c r="D18" s="272" t="s">
        <v>237</v>
      </c>
      <c r="E18" s="272" t="s">
        <v>238</v>
      </c>
      <c r="F18" s="272" t="s">
        <v>237</v>
      </c>
      <c r="G18" s="272" t="s">
        <v>238</v>
      </c>
      <c r="H18" s="272" t="s">
        <v>237</v>
      </c>
      <c r="I18" s="272" t="s">
        <v>238</v>
      </c>
      <c r="J18" s="272" t="s">
        <v>237</v>
      </c>
      <c r="K18" s="272" t="s">
        <v>238</v>
      </c>
      <c r="L18" s="272" t="s">
        <v>237</v>
      </c>
      <c r="M18" s="272" t="s">
        <v>238</v>
      </c>
      <c r="N18" s="272" t="s">
        <v>237</v>
      </c>
      <c r="O18" s="272" t="s">
        <v>238</v>
      </c>
      <c r="P18" s="272" t="s">
        <v>237</v>
      </c>
      <c r="Q18" s="272" t="s">
        <v>238</v>
      </c>
      <c r="R18" s="272" t="s">
        <v>237</v>
      </c>
      <c r="S18" s="272" t="s">
        <v>238</v>
      </c>
      <c r="T18" s="272" t="s">
        <v>237</v>
      </c>
      <c r="U18" s="272" t="s">
        <v>238</v>
      </c>
      <c r="V18" s="272" t="s">
        <v>237</v>
      </c>
      <c r="W18" s="272" t="s">
        <v>238</v>
      </c>
      <c r="X18" s="272" t="s">
        <v>237</v>
      </c>
      <c r="Y18" s="272" t="s">
        <v>238</v>
      </c>
      <c r="Z18" s="273" t="s">
        <v>237</v>
      </c>
      <c r="AA18" s="273" t="s">
        <v>238</v>
      </c>
      <c r="AB18" s="273" t="s">
        <v>237</v>
      </c>
      <c r="AC18" s="273" t="s">
        <v>238</v>
      </c>
      <c r="AD18" s="273" t="s">
        <v>237</v>
      </c>
      <c r="AE18" s="273" t="s">
        <v>238</v>
      </c>
      <c r="AF18" s="273" t="s">
        <v>237</v>
      </c>
      <c r="AG18" s="273" t="s">
        <v>238</v>
      </c>
      <c r="AH18" s="273" t="s">
        <v>237</v>
      </c>
      <c r="AI18" s="273" t="s">
        <v>238</v>
      </c>
      <c r="AJ18" s="273" t="s">
        <v>237</v>
      </c>
      <c r="AK18" s="273" t="s">
        <v>238</v>
      </c>
      <c r="AL18" s="273" t="s">
        <v>237</v>
      </c>
      <c r="AM18" s="273" t="s">
        <v>238</v>
      </c>
      <c r="AN18" s="273" t="s">
        <v>237</v>
      </c>
      <c r="AO18" s="273" t="s">
        <v>238</v>
      </c>
      <c r="AP18" s="273" t="s">
        <v>237</v>
      </c>
      <c r="AQ18" s="273" t="s">
        <v>238</v>
      </c>
      <c r="AR18" s="273" t="s">
        <v>237</v>
      </c>
      <c r="AS18" s="273" t="s">
        <v>238</v>
      </c>
      <c r="AT18" s="273" t="s">
        <v>237</v>
      </c>
      <c r="AU18" s="273" t="s">
        <v>238</v>
      </c>
      <c r="AV18" s="273" t="s">
        <v>237</v>
      </c>
      <c r="AW18" s="273" t="s">
        <v>238</v>
      </c>
      <c r="AX18" s="274" t="s">
        <v>237</v>
      </c>
      <c r="AY18" s="274" t="s">
        <v>238</v>
      </c>
      <c r="AZ18" s="274" t="s">
        <v>237</v>
      </c>
      <c r="BA18" s="274" t="s">
        <v>238</v>
      </c>
      <c r="BB18" s="274" t="s">
        <v>237</v>
      </c>
      <c r="BC18" s="274" t="s">
        <v>238</v>
      </c>
      <c r="BD18" s="274" t="s">
        <v>237</v>
      </c>
      <c r="BE18" s="274" t="s">
        <v>238</v>
      </c>
      <c r="BF18" s="274" t="s">
        <v>237</v>
      </c>
      <c r="BG18" s="274" t="s">
        <v>238</v>
      </c>
      <c r="BH18" s="274" t="s">
        <v>237</v>
      </c>
      <c r="BI18" s="274" t="s">
        <v>238</v>
      </c>
      <c r="BJ18" s="274" t="s">
        <v>237</v>
      </c>
      <c r="BK18" s="274" t="s">
        <v>238</v>
      </c>
      <c r="BL18" s="274" t="s">
        <v>237</v>
      </c>
      <c r="BM18" s="274" t="s">
        <v>238</v>
      </c>
      <c r="BN18" s="274" t="s">
        <v>237</v>
      </c>
      <c r="BO18" s="274" t="s">
        <v>238</v>
      </c>
      <c r="BP18" s="274" t="s">
        <v>237</v>
      </c>
      <c r="BQ18" s="274" t="s">
        <v>238</v>
      </c>
      <c r="BR18" s="274" t="s">
        <v>237</v>
      </c>
      <c r="BS18" s="274" t="s">
        <v>238</v>
      </c>
      <c r="BT18" s="274" t="s">
        <v>237</v>
      </c>
      <c r="BU18" s="274" t="s">
        <v>238</v>
      </c>
      <c r="BV18" s="275" t="s">
        <v>237</v>
      </c>
      <c r="BW18" s="275" t="s">
        <v>238</v>
      </c>
      <c r="BX18" s="275" t="s">
        <v>237</v>
      </c>
      <c r="BY18" s="275" t="s">
        <v>238</v>
      </c>
      <c r="BZ18" s="275" t="s">
        <v>237</v>
      </c>
      <c r="CA18" s="275" t="s">
        <v>238</v>
      </c>
    </row>
    <row r="19" customFormat="false" ht="15" hidden="false" customHeight="false" outlineLevel="0" collapsed="false">
      <c r="A19" s="283" t="s">
        <v>239</v>
      </c>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row>
    <row r="20" customFormat="false" ht="15" hidden="false" customHeight="false" outlineLevel="0" collapsed="false">
      <c r="A20" s="285" t="s">
        <v>244</v>
      </c>
      <c r="B20" s="285" t="n">
        <v>18356</v>
      </c>
      <c r="C20" s="285" t="n">
        <v>22026</v>
      </c>
      <c r="D20" s="285" t="n">
        <v>23176</v>
      </c>
      <c r="E20" s="285" t="n">
        <v>23562</v>
      </c>
      <c r="F20" s="285" t="n">
        <v>23326</v>
      </c>
      <c r="G20" s="285" t="n">
        <v>21987</v>
      </c>
      <c r="H20" s="285" t="n">
        <v>20755</v>
      </c>
      <c r="I20" s="285" t="n">
        <v>18911</v>
      </c>
      <c r="J20" s="285" t="n">
        <v>20705</v>
      </c>
      <c r="K20" s="285" t="n">
        <v>26752</v>
      </c>
      <c r="L20" s="285" t="n">
        <v>26400</v>
      </c>
      <c r="M20" s="285" t="n">
        <v>26307</v>
      </c>
      <c r="N20" s="285" t="n">
        <v>25999</v>
      </c>
      <c r="O20" s="285" t="n">
        <v>26225</v>
      </c>
      <c r="P20" s="285" t="n">
        <v>27603</v>
      </c>
      <c r="Q20" s="285" t="n">
        <v>29998</v>
      </c>
      <c r="R20" s="285" t="n">
        <v>31502</v>
      </c>
      <c r="S20" s="285" t="n">
        <v>32067</v>
      </c>
      <c r="T20" s="285" t="n">
        <v>34446</v>
      </c>
      <c r="U20" s="285" t="n">
        <v>36891</v>
      </c>
      <c r="V20" s="285" t="n">
        <v>37429</v>
      </c>
      <c r="W20" s="285" t="n">
        <v>35089</v>
      </c>
      <c r="X20" s="285" t="n">
        <v>34834</v>
      </c>
      <c r="Y20" s="285" t="n">
        <v>34821</v>
      </c>
      <c r="Z20" s="285" t="n">
        <v>31681</v>
      </c>
      <c r="AA20" s="285" t="n">
        <v>32131</v>
      </c>
      <c r="AB20" s="285" t="n">
        <v>32888</v>
      </c>
      <c r="AC20" s="285" t="n">
        <v>33774</v>
      </c>
      <c r="AD20" s="285" t="n">
        <v>32724</v>
      </c>
      <c r="AE20" s="285" t="n">
        <v>29535</v>
      </c>
      <c r="AF20" s="285" t="n">
        <v>28840</v>
      </c>
      <c r="AG20" s="285" t="n">
        <v>30296</v>
      </c>
      <c r="AH20" s="285" t="n">
        <v>31358</v>
      </c>
      <c r="AI20" s="285" t="n">
        <v>32608</v>
      </c>
      <c r="AJ20" s="285" t="n">
        <v>32753</v>
      </c>
      <c r="AK20" s="285" t="n">
        <v>31971</v>
      </c>
      <c r="AL20" s="285" t="n">
        <v>31833</v>
      </c>
      <c r="AM20" s="285" t="n">
        <v>31076</v>
      </c>
      <c r="AN20" s="285" t="n">
        <v>30828</v>
      </c>
      <c r="AO20" s="285" t="n">
        <v>31066</v>
      </c>
      <c r="AP20" s="285" t="n">
        <v>32121</v>
      </c>
      <c r="AQ20" s="285" t="n">
        <v>32277</v>
      </c>
      <c r="AR20" s="285" t="n">
        <v>0</v>
      </c>
      <c r="AS20" s="285" t="n">
        <v>0</v>
      </c>
      <c r="AT20" s="285" t="n">
        <v>0</v>
      </c>
      <c r="AU20" s="285" t="n">
        <v>0</v>
      </c>
      <c r="AV20" s="285" t="n">
        <v>0</v>
      </c>
      <c r="AW20" s="285" t="n">
        <v>0</v>
      </c>
      <c r="AX20" s="285" t="n">
        <v>0</v>
      </c>
      <c r="AY20" s="285" t="n">
        <v>0</v>
      </c>
      <c r="AZ20" s="285" t="n">
        <v>0</v>
      </c>
      <c r="BA20" s="285" t="n">
        <v>0</v>
      </c>
      <c r="BB20" s="285" t="n">
        <v>0</v>
      </c>
      <c r="BC20" s="285" t="n">
        <v>0</v>
      </c>
      <c r="BD20" s="285" t="n">
        <v>0</v>
      </c>
      <c r="BE20" s="285" t="n">
        <v>0</v>
      </c>
      <c r="BF20" s="285" t="n">
        <v>0</v>
      </c>
      <c r="BG20" s="285" t="n">
        <v>0</v>
      </c>
      <c r="BH20" s="285" t="n">
        <v>0</v>
      </c>
      <c r="BI20" s="285" t="n">
        <v>0</v>
      </c>
      <c r="BJ20" s="285" t="n">
        <v>0</v>
      </c>
      <c r="BK20" s="285" t="n">
        <v>0</v>
      </c>
      <c r="BL20" s="285" t="n">
        <v>0</v>
      </c>
      <c r="BM20" s="285" t="n">
        <v>0</v>
      </c>
      <c r="BN20" s="285" t="n">
        <v>0</v>
      </c>
      <c r="BO20" s="285" t="n">
        <v>0</v>
      </c>
      <c r="BP20" s="285" t="n">
        <v>56419</v>
      </c>
      <c r="BQ20" s="285" t="n">
        <v>59515</v>
      </c>
      <c r="BR20" s="285" t="n">
        <v>59674</v>
      </c>
      <c r="BS20" s="285" t="n">
        <v>59719</v>
      </c>
      <c r="BT20" s="285" t="n">
        <v>63959</v>
      </c>
      <c r="BU20" s="285" t="n">
        <v>62272</v>
      </c>
      <c r="BV20" s="285" t="n">
        <v>67012</v>
      </c>
      <c r="BW20" s="285" t="n">
        <v>64339</v>
      </c>
      <c r="BX20" s="285" t="n">
        <v>61308</v>
      </c>
      <c r="BY20" s="285" t="n">
        <v>59324</v>
      </c>
      <c r="BZ20" s="285" t="n">
        <v>56190</v>
      </c>
      <c r="CA20" s="285" t="n">
        <v>54171</v>
      </c>
    </row>
    <row r="21" customFormat="false" ht="15" hidden="false" customHeight="false" outlineLevel="0" collapsed="false">
      <c r="A21" s="285" t="s">
        <v>245</v>
      </c>
      <c r="B21" s="285" t="n">
        <v>801</v>
      </c>
      <c r="C21" s="285" t="n">
        <v>769</v>
      </c>
      <c r="D21" s="285" t="n">
        <v>773</v>
      </c>
      <c r="E21" s="285" t="n">
        <v>766</v>
      </c>
      <c r="F21" s="285" t="n">
        <v>782</v>
      </c>
      <c r="G21" s="285" t="n">
        <v>794</v>
      </c>
      <c r="H21" s="285" t="n">
        <v>791</v>
      </c>
      <c r="I21" s="285" t="n">
        <v>820</v>
      </c>
      <c r="J21" s="285" t="n">
        <v>822</v>
      </c>
      <c r="K21" s="285" t="n">
        <v>779</v>
      </c>
      <c r="L21" s="285" t="n">
        <v>753</v>
      </c>
      <c r="M21" s="285" t="n">
        <v>757</v>
      </c>
      <c r="N21" s="285" t="n">
        <v>795</v>
      </c>
      <c r="O21" s="285" t="n">
        <v>803</v>
      </c>
      <c r="P21" s="285" t="n">
        <v>804</v>
      </c>
      <c r="Q21" s="285" t="n">
        <v>839</v>
      </c>
      <c r="R21" s="285" t="n">
        <v>887</v>
      </c>
      <c r="S21" s="285" t="n">
        <v>917</v>
      </c>
      <c r="T21" s="285" t="n">
        <v>931</v>
      </c>
      <c r="U21" s="285" t="n">
        <v>958</v>
      </c>
      <c r="V21" s="285" t="n">
        <v>1018</v>
      </c>
      <c r="W21" s="285" t="n">
        <v>1053</v>
      </c>
      <c r="X21" s="285" t="n">
        <v>1098</v>
      </c>
      <c r="Y21" s="285" t="n">
        <v>1161</v>
      </c>
      <c r="Z21" s="285" t="n">
        <v>1345</v>
      </c>
      <c r="AA21" s="285" t="n">
        <v>1354</v>
      </c>
      <c r="AB21" s="285" t="n">
        <v>1384</v>
      </c>
      <c r="AC21" s="285" t="n">
        <v>1396</v>
      </c>
      <c r="AD21" s="285" t="n">
        <v>1540</v>
      </c>
      <c r="AE21" s="285" t="n">
        <v>1611</v>
      </c>
      <c r="AF21" s="285" t="n">
        <v>1718</v>
      </c>
      <c r="AG21" s="285" t="n">
        <v>1763</v>
      </c>
      <c r="AH21" s="285" t="n">
        <v>1750</v>
      </c>
      <c r="AI21" s="285" t="n">
        <v>1639</v>
      </c>
      <c r="AJ21" s="285" t="n">
        <v>1683</v>
      </c>
      <c r="AK21" s="285" t="n">
        <v>1712</v>
      </c>
      <c r="AL21" s="285" t="n">
        <v>1787</v>
      </c>
      <c r="AM21" s="285" t="n">
        <v>1879</v>
      </c>
      <c r="AN21" s="285" t="n">
        <v>1912</v>
      </c>
      <c r="AO21" s="285" t="n">
        <v>1827</v>
      </c>
      <c r="AP21" s="285" t="n">
        <v>1859</v>
      </c>
      <c r="AQ21" s="285" t="n">
        <v>1886</v>
      </c>
      <c r="AR21" s="285" t="n">
        <v>0</v>
      </c>
      <c r="AS21" s="285" t="n">
        <v>0</v>
      </c>
      <c r="AT21" s="285" t="n">
        <v>0</v>
      </c>
      <c r="AU21" s="285" t="n">
        <v>0</v>
      </c>
      <c r="AV21" s="285" t="n">
        <v>0</v>
      </c>
      <c r="AW21" s="285" t="n">
        <v>0</v>
      </c>
      <c r="AX21" s="285" t="n">
        <v>0</v>
      </c>
      <c r="AY21" s="285" t="n">
        <v>0</v>
      </c>
      <c r="AZ21" s="285" t="n">
        <v>0</v>
      </c>
      <c r="BA21" s="285" t="n">
        <v>0</v>
      </c>
      <c r="BB21" s="285" t="n">
        <v>0</v>
      </c>
      <c r="BC21" s="285" t="n">
        <v>0</v>
      </c>
      <c r="BD21" s="285" t="n">
        <v>0</v>
      </c>
      <c r="BE21" s="285" t="n">
        <v>0</v>
      </c>
      <c r="BF21" s="285" t="n">
        <v>0</v>
      </c>
      <c r="BG21" s="285" t="n">
        <v>0</v>
      </c>
      <c r="BH21" s="285" t="n">
        <v>0</v>
      </c>
      <c r="BI21" s="285" t="n">
        <v>0</v>
      </c>
      <c r="BJ21" s="285" t="n">
        <v>0</v>
      </c>
      <c r="BK21" s="285" t="n">
        <v>0</v>
      </c>
      <c r="BL21" s="285" t="n">
        <v>0</v>
      </c>
      <c r="BM21" s="285" t="n">
        <v>0</v>
      </c>
      <c r="BN21" s="285" t="n">
        <v>0</v>
      </c>
      <c r="BO21" s="285" t="n">
        <v>0</v>
      </c>
      <c r="BP21" s="285" t="n">
        <v>6203</v>
      </c>
      <c r="BQ21" s="285" t="n">
        <v>5836</v>
      </c>
      <c r="BR21" s="285" t="n">
        <v>5468</v>
      </c>
      <c r="BS21" s="285" t="n">
        <v>5282</v>
      </c>
      <c r="BT21" s="285" t="n">
        <v>5183</v>
      </c>
      <c r="BU21" s="285" t="n">
        <v>5149</v>
      </c>
      <c r="BV21" s="285" t="n">
        <v>5000</v>
      </c>
      <c r="BW21" s="285" t="n">
        <v>4599</v>
      </c>
      <c r="BX21" s="285" t="n">
        <v>4571</v>
      </c>
      <c r="BY21" s="285" t="n">
        <v>4646</v>
      </c>
      <c r="BZ21" s="285" t="n">
        <v>4926</v>
      </c>
      <c r="CA21" s="285" t="n">
        <v>5231</v>
      </c>
    </row>
    <row r="22" customFormat="false" ht="15" hidden="false" customHeight="false" outlineLevel="0" collapsed="false">
      <c r="A22" s="285" t="s">
        <v>246</v>
      </c>
      <c r="B22" s="285" t="n">
        <v>227</v>
      </c>
      <c r="C22" s="285" t="n">
        <v>219</v>
      </c>
      <c r="D22" s="285" t="n">
        <v>217</v>
      </c>
      <c r="E22" s="285" t="n">
        <v>207</v>
      </c>
      <c r="F22" s="285" t="n">
        <v>198</v>
      </c>
      <c r="G22" s="285" t="n">
        <v>189</v>
      </c>
      <c r="H22" s="285" t="n">
        <v>200</v>
      </c>
      <c r="I22" s="285" t="n">
        <v>204</v>
      </c>
      <c r="J22" s="285" t="n">
        <v>213</v>
      </c>
      <c r="K22" s="285" t="n">
        <v>202</v>
      </c>
      <c r="L22" s="285" t="n">
        <v>202</v>
      </c>
      <c r="M22" s="285" t="n">
        <v>209</v>
      </c>
      <c r="N22" s="285" t="n">
        <v>207</v>
      </c>
      <c r="O22" s="285" t="n">
        <v>200</v>
      </c>
      <c r="P22" s="285" t="n">
        <v>191</v>
      </c>
      <c r="Q22" s="285" t="n">
        <v>185</v>
      </c>
      <c r="R22" s="285" t="n">
        <v>201</v>
      </c>
      <c r="S22" s="285" t="n">
        <v>201</v>
      </c>
      <c r="T22" s="285" t="n">
        <v>217</v>
      </c>
      <c r="U22" s="285" t="n">
        <v>230</v>
      </c>
      <c r="V22" s="285" t="n">
        <v>244</v>
      </c>
      <c r="W22" s="285" t="n">
        <v>238</v>
      </c>
      <c r="X22" s="285" t="n">
        <v>229</v>
      </c>
      <c r="Y22" s="285" t="n">
        <v>226</v>
      </c>
      <c r="Z22" s="285" t="n">
        <v>256</v>
      </c>
      <c r="AA22" s="285" t="n">
        <v>262</v>
      </c>
      <c r="AB22" s="285" t="n">
        <v>272</v>
      </c>
      <c r="AC22" s="285" t="n">
        <v>278</v>
      </c>
      <c r="AD22" s="285" t="n">
        <v>287</v>
      </c>
      <c r="AE22" s="285" t="n">
        <v>318</v>
      </c>
      <c r="AF22" s="285" t="n">
        <v>327</v>
      </c>
      <c r="AG22" s="285" t="n">
        <v>322</v>
      </c>
      <c r="AH22" s="285" t="n">
        <v>339</v>
      </c>
      <c r="AI22" s="285" t="n">
        <v>354</v>
      </c>
      <c r="AJ22" s="285" t="n">
        <v>374</v>
      </c>
      <c r="AK22" s="285" t="n">
        <v>377</v>
      </c>
      <c r="AL22" s="285" t="n">
        <v>409</v>
      </c>
      <c r="AM22" s="285" t="n">
        <v>400</v>
      </c>
      <c r="AN22" s="285" t="n">
        <v>411</v>
      </c>
      <c r="AO22" s="285" t="n">
        <v>404</v>
      </c>
      <c r="AP22" s="285" t="n">
        <v>419</v>
      </c>
      <c r="AQ22" s="285" t="n">
        <v>433</v>
      </c>
      <c r="AR22" s="285" t="n">
        <v>0</v>
      </c>
      <c r="AS22" s="285" t="n">
        <v>0</v>
      </c>
      <c r="AT22" s="285" t="n">
        <v>0</v>
      </c>
      <c r="AU22" s="285" t="n">
        <v>0</v>
      </c>
      <c r="AV22" s="285" t="n">
        <v>0</v>
      </c>
      <c r="AW22" s="285" t="n">
        <v>0</v>
      </c>
      <c r="AX22" s="285" t="n">
        <v>0</v>
      </c>
      <c r="AY22" s="285" t="n">
        <v>0</v>
      </c>
      <c r="AZ22" s="285" t="n">
        <v>0</v>
      </c>
      <c r="BA22" s="285" t="n">
        <v>0</v>
      </c>
      <c r="BB22" s="285" t="n">
        <v>0</v>
      </c>
      <c r="BC22" s="285" t="n">
        <v>0</v>
      </c>
      <c r="BD22" s="285" t="n">
        <v>0</v>
      </c>
      <c r="BE22" s="285" t="n">
        <v>0</v>
      </c>
      <c r="BF22" s="285" t="n">
        <v>0</v>
      </c>
      <c r="BG22" s="285" t="n">
        <v>0</v>
      </c>
      <c r="BH22" s="285" t="n">
        <v>0</v>
      </c>
      <c r="BI22" s="285" t="n">
        <v>0</v>
      </c>
      <c r="BJ22" s="285" t="n">
        <v>0</v>
      </c>
      <c r="BK22" s="285" t="n">
        <v>0</v>
      </c>
      <c r="BL22" s="285" t="n">
        <v>0</v>
      </c>
      <c r="BM22" s="285" t="n">
        <v>0</v>
      </c>
      <c r="BN22" s="285" t="n">
        <v>0</v>
      </c>
      <c r="BO22" s="285" t="n">
        <v>0</v>
      </c>
      <c r="BP22" s="285" t="n">
        <v>912</v>
      </c>
      <c r="BQ22" s="285" t="n">
        <v>938</v>
      </c>
      <c r="BR22" s="285" t="n">
        <v>1014</v>
      </c>
      <c r="BS22" s="285" t="n">
        <v>1085</v>
      </c>
      <c r="BT22" s="285" t="n">
        <v>1227</v>
      </c>
      <c r="BU22" s="285" t="n">
        <v>1542</v>
      </c>
      <c r="BV22" s="285" t="n">
        <v>1848</v>
      </c>
      <c r="BW22" s="285" t="n">
        <v>2014</v>
      </c>
      <c r="BX22" s="285" t="n">
        <v>2140</v>
      </c>
      <c r="BY22" s="285" t="n">
        <v>2105</v>
      </c>
      <c r="BZ22" s="285" t="n">
        <v>2075</v>
      </c>
      <c r="CA22" s="285" t="n">
        <v>2084</v>
      </c>
    </row>
    <row r="23" customFormat="false" ht="15" hidden="false" customHeight="false" outlineLevel="0" collapsed="false">
      <c r="A23" s="286" t="s">
        <v>247</v>
      </c>
      <c r="B23" s="286" t="n">
        <v>73</v>
      </c>
      <c r="C23" s="286" t="n">
        <v>75</v>
      </c>
      <c r="D23" s="286" t="n">
        <v>69</v>
      </c>
      <c r="E23" s="286" t="n">
        <v>67</v>
      </c>
      <c r="F23" s="286" t="n">
        <v>62</v>
      </c>
      <c r="G23" s="286" t="n">
        <v>60</v>
      </c>
      <c r="H23" s="286" t="n">
        <v>57</v>
      </c>
      <c r="I23" s="286" t="n">
        <v>56</v>
      </c>
      <c r="J23" s="286" t="n">
        <v>57</v>
      </c>
      <c r="K23" s="286" t="n">
        <v>54</v>
      </c>
      <c r="L23" s="286" t="n">
        <v>56</v>
      </c>
      <c r="M23" s="286" t="n">
        <v>51</v>
      </c>
      <c r="N23" s="286" t="n">
        <v>54</v>
      </c>
      <c r="O23" s="286" t="n">
        <v>55</v>
      </c>
      <c r="P23" s="286" t="n">
        <v>55</v>
      </c>
      <c r="Q23" s="286" t="n">
        <v>51</v>
      </c>
      <c r="R23" s="286" t="n">
        <v>52</v>
      </c>
      <c r="S23" s="286" t="n">
        <v>53</v>
      </c>
      <c r="T23" s="286" t="n">
        <v>63</v>
      </c>
      <c r="U23" s="286" t="n">
        <v>59</v>
      </c>
      <c r="V23" s="286" t="n">
        <v>55</v>
      </c>
      <c r="W23" s="286" t="n">
        <v>55</v>
      </c>
      <c r="X23" s="286" t="n">
        <v>53</v>
      </c>
      <c r="Y23" s="286" t="n">
        <v>53</v>
      </c>
      <c r="Z23" s="286" t="n">
        <v>61</v>
      </c>
      <c r="AA23" s="286" t="n">
        <v>57</v>
      </c>
      <c r="AB23" s="286" t="n">
        <v>56</v>
      </c>
      <c r="AC23" s="286" t="n">
        <v>56</v>
      </c>
      <c r="AD23" s="286" t="n">
        <v>56</v>
      </c>
      <c r="AE23" s="286" t="n">
        <v>55</v>
      </c>
      <c r="AF23" s="286" t="n">
        <v>56</v>
      </c>
      <c r="AG23" s="286" t="n">
        <v>55</v>
      </c>
      <c r="AH23" s="286" t="n">
        <v>58</v>
      </c>
      <c r="AI23" s="286" t="n">
        <v>57</v>
      </c>
      <c r="AJ23" s="286" t="n">
        <v>58</v>
      </c>
      <c r="AK23" s="286" t="n">
        <v>57</v>
      </c>
      <c r="AL23" s="286" t="n">
        <v>56</v>
      </c>
      <c r="AM23" s="286" t="n">
        <v>57</v>
      </c>
      <c r="AN23" s="286" t="n">
        <v>56</v>
      </c>
      <c r="AO23" s="286" t="n">
        <v>60</v>
      </c>
      <c r="AP23" s="286" t="n">
        <v>62</v>
      </c>
      <c r="AQ23" s="286" t="n">
        <v>59</v>
      </c>
      <c r="AR23" s="286" t="n">
        <v>0</v>
      </c>
      <c r="AS23" s="286" t="n">
        <v>0</v>
      </c>
      <c r="AT23" s="286" t="n">
        <v>0</v>
      </c>
      <c r="AU23" s="286" t="n">
        <v>0</v>
      </c>
      <c r="AV23" s="286" t="n">
        <v>0</v>
      </c>
      <c r="AW23" s="286" t="n">
        <v>0</v>
      </c>
      <c r="AX23" s="286" t="n">
        <v>0</v>
      </c>
      <c r="AY23" s="286" t="n">
        <v>0</v>
      </c>
      <c r="AZ23" s="286" t="n">
        <v>0</v>
      </c>
      <c r="BA23" s="286" t="n">
        <v>0</v>
      </c>
      <c r="BB23" s="286" t="n">
        <v>0</v>
      </c>
      <c r="BC23" s="286" t="n">
        <v>0</v>
      </c>
      <c r="BD23" s="286" t="n">
        <v>0</v>
      </c>
      <c r="BE23" s="286" t="n">
        <v>0</v>
      </c>
      <c r="BF23" s="286" t="n">
        <v>0</v>
      </c>
      <c r="BG23" s="286" t="n">
        <v>0</v>
      </c>
      <c r="BH23" s="286" t="n">
        <v>0</v>
      </c>
      <c r="BI23" s="286" t="n">
        <v>0</v>
      </c>
      <c r="BJ23" s="286" t="n">
        <v>0</v>
      </c>
      <c r="BK23" s="286" t="n">
        <v>0</v>
      </c>
      <c r="BL23" s="286" t="n">
        <v>0</v>
      </c>
      <c r="BM23" s="286" t="n">
        <v>0</v>
      </c>
      <c r="BN23" s="286" t="n">
        <v>0</v>
      </c>
      <c r="BO23" s="286" t="n">
        <v>0</v>
      </c>
      <c r="BP23" s="286" t="n">
        <v>81</v>
      </c>
      <c r="BQ23" s="286" t="n">
        <v>83</v>
      </c>
      <c r="BR23" s="286" t="n">
        <v>89</v>
      </c>
      <c r="BS23" s="286" t="n">
        <v>87</v>
      </c>
      <c r="BT23" s="286" t="n">
        <v>92</v>
      </c>
      <c r="BU23" s="286" t="n">
        <v>85</v>
      </c>
      <c r="BV23" s="286" t="n">
        <v>80</v>
      </c>
      <c r="BW23" s="286" t="n">
        <v>71</v>
      </c>
      <c r="BX23" s="286" t="n">
        <v>70</v>
      </c>
      <c r="BY23" s="286" t="n">
        <v>66</v>
      </c>
      <c r="BZ23" s="286" t="n">
        <v>66</v>
      </c>
      <c r="CA23" s="286" t="n">
        <v>68</v>
      </c>
    </row>
    <row r="24" customFormat="false" ht="15" hidden="false" customHeight="false" outlineLevel="0" collapsed="false">
      <c r="A24" s="287" t="s">
        <v>19</v>
      </c>
      <c r="B24" s="287" t="n">
        <v>19457</v>
      </c>
      <c r="C24" s="287" t="n">
        <v>23089</v>
      </c>
      <c r="D24" s="287" t="n">
        <v>24235</v>
      </c>
      <c r="E24" s="287" t="n">
        <v>24602</v>
      </c>
      <c r="F24" s="287" t="n">
        <v>24368</v>
      </c>
      <c r="G24" s="287" t="n">
        <v>23030</v>
      </c>
      <c r="H24" s="287" t="n">
        <v>21803</v>
      </c>
      <c r="I24" s="287" t="n">
        <v>19991</v>
      </c>
      <c r="J24" s="287" t="n">
        <v>21797</v>
      </c>
      <c r="K24" s="287" t="n">
        <v>27787</v>
      </c>
      <c r="L24" s="287" t="n">
        <v>27411</v>
      </c>
      <c r="M24" s="287" t="n">
        <v>27324</v>
      </c>
      <c r="N24" s="287" t="n">
        <v>27055</v>
      </c>
      <c r="O24" s="287" t="n">
        <v>27283</v>
      </c>
      <c r="P24" s="287" t="n">
        <v>28653</v>
      </c>
      <c r="Q24" s="287" t="n">
        <v>31073</v>
      </c>
      <c r="R24" s="287" t="n">
        <v>32642</v>
      </c>
      <c r="S24" s="287" t="n">
        <v>33238</v>
      </c>
      <c r="T24" s="287" t="n">
        <v>35657</v>
      </c>
      <c r="U24" s="287" t="n">
        <v>38138</v>
      </c>
      <c r="V24" s="287" t="n">
        <v>38746</v>
      </c>
      <c r="W24" s="287" t="n">
        <v>36435</v>
      </c>
      <c r="X24" s="287" t="n">
        <v>36214</v>
      </c>
      <c r="Y24" s="287" t="n">
        <v>36261</v>
      </c>
      <c r="Z24" s="287" t="n">
        <v>33343</v>
      </c>
      <c r="AA24" s="287" t="n">
        <v>33804</v>
      </c>
      <c r="AB24" s="287" t="n">
        <v>34600</v>
      </c>
      <c r="AC24" s="287" t="n">
        <v>35504</v>
      </c>
      <c r="AD24" s="287" t="n">
        <v>34607</v>
      </c>
      <c r="AE24" s="287" t="n">
        <v>31519</v>
      </c>
      <c r="AF24" s="287" t="n">
        <v>30941</v>
      </c>
      <c r="AG24" s="287" t="n">
        <v>32436</v>
      </c>
      <c r="AH24" s="287" t="n">
        <v>33505</v>
      </c>
      <c r="AI24" s="287" t="n">
        <v>34658</v>
      </c>
      <c r="AJ24" s="287" t="n">
        <v>34868</v>
      </c>
      <c r="AK24" s="287" t="n">
        <v>34117</v>
      </c>
      <c r="AL24" s="287" t="n">
        <v>34085</v>
      </c>
      <c r="AM24" s="287" t="n">
        <v>33412</v>
      </c>
      <c r="AN24" s="287" t="n">
        <v>33207</v>
      </c>
      <c r="AO24" s="287" t="n">
        <v>33357</v>
      </c>
      <c r="AP24" s="287" t="n">
        <v>34461</v>
      </c>
      <c r="AQ24" s="287" t="n">
        <v>34655</v>
      </c>
      <c r="AR24" s="287" t="n">
        <v>0</v>
      </c>
      <c r="AS24" s="287" t="n">
        <v>0</v>
      </c>
      <c r="AT24" s="287" t="n">
        <v>0</v>
      </c>
      <c r="AU24" s="287" t="n">
        <v>0</v>
      </c>
      <c r="AV24" s="287" t="n">
        <v>0</v>
      </c>
      <c r="AW24" s="287" t="n">
        <v>0</v>
      </c>
      <c r="AX24" s="287" t="n">
        <v>0</v>
      </c>
      <c r="AY24" s="287" t="n">
        <v>0</v>
      </c>
      <c r="AZ24" s="287" t="n">
        <v>0</v>
      </c>
      <c r="BA24" s="287" t="n">
        <v>0</v>
      </c>
      <c r="BB24" s="287" t="n">
        <v>0</v>
      </c>
      <c r="BC24" s="287" t="n">
        <v>0</v>
      </c>
      <c r="BD24" s="287" t="n">
        <v>0</v>
      </c>
      <c r="BE24" s="287" t="n">
        <v>0</v>
      </c>
      <c r="BF24" s="287" t="n">
        <v>0</v>
      </c>
      <c r="BG24" s="287" t="n">
        <v>0</v>
      </c>
      <c r="BH24" s="287" t="n">
        <v>0</v>
      </c>
      <c r="BI24" s="287" t="n">
        <v>0</v>
      </c>
      <c r="BJ24" s="287" t="n">
        <v>0</v>
      </c>
      <c r="BK24" s="287" t="n">
        <v>0</v>
      </c>
      <c r="BL24" s="287" t="n">
        <v>0</v>
      </c>
      <c r="BM24" s="287" t="n">
        <v>0</v>
      </c>
      <c r="BN24" s="287" t="n">
        <v>0</v>
      </c>
      <c r="BO24" s="287" t="n">
        <v>0</v>
      </c>
      <c r="BP24" s="287" t="n">
        <v>63615</v>
      </c>
      <c r="BQ24" s="287" t="n">
        <v>66372</v>
      </c>
      <c r="BR24" s="287" t="n">
        <v>66245</v>
      </c>
      <c r="BS24" s="287" t="n">
        <v>66173</v>
      </c>
      <c r="BT24" s="287" t="n">
        <v>70461</v>
      </c>
      <c r="BU24" s="287" t="n">
        <v>69048</v>
      </c>
      <c r="BV24" s="287" t="n">
        <v>73940</v>
      </c>
      <c r="BW24" s="287" t="n">
        <v>71023</v>
      </c>
      <c r="BX24" s="287" t="n">
        <v>68089</v>
      </c>
      <c r="BY24" s="287" t="n">
        <v>66141</v>
      </c>
      <c r="BZ24" s="287" t="n">
        <v>63257</v>
      </c>
      <c r="CA24" s="287" t="n">
        <v>61554</v>
      </c>
    </row>
    <row r="25" customFormat="false" ht="15" hidden="false" customHeight="false" outlineLevel="0" collapsed="false">
      <c r="A25" s="283" t="s">
        <v>240</v>
      </c>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row>
    <row r="26" customFormat="false" ht="15" hidden="false" customHeight="false" outlineLevel="0" collapsed="false">
      <c r="A26" s="285" t="s">
        <v>244</v>
      </c>
      <c r="B26" s="285" t="n">
        <v>0</v>
      </c>
      <c r="C26" s="285" t="n">
        <v>0</v>
      </c>
      <c r="D26" s="285" t="n">
        <v>0</v>
      </c>
      <c r="E26" s="285" t="n">
        <v>0</v>
      </c>
      <c r="F26" s="285" t="n">
        <v>0</v>
      </c>
      <c r="G26" s="285" t="n">
        <v>0</v>
      </c>
      <c r="H26" s="285" t="n">
        <v>0</v>
      </c>
      <c r="I26" s="285" t="n">
        <v>0</v>
      </c>
      <c r="J26" s="285" t="n">
        <v>0</v>
      </c>
      <c r="K26" s="285" t="n">
        <v>0</v>
      </c>
      <c r="L26" s="285" t="n">
        <v>0</v>
      </c>
      <c r="M26" s="285" t="n">
        <v>0</v>
      </c>
      <c r="N26" s="285" t="n">
        <v>0</v>
      </c>
      <c r="O26" s="285" t="n">
        <v>0</v>
      </c>
      <c r="P26" s="285" t="n">
        <v>0</v>
      </c>
      <c r="Q26" s="285" t="n">
        <v>0</v>
      </c>
      <c r="R26" s="285" t="n">
        <v>0</v>
      </c>
      <c r="S26" s="285" t="n">
        <v>0</v>
      </c>
      <c r="T26" s="285" t="n">
        <v>0</v>
      </c>
      <c r="U26" s="285" t="n">
        <v>0</v>
      </c>
      <c r="V26" s="285" t="n">
        <v>0</v>
      </c>
      <c r="W26" s="285" t="n">
        <v>0</v>
      </c>
      <c r="X26" s="285" t="n">
        <v>0</v>
      </c>
      <c r="Y26" s="285" t="n">
        <v>0</v>
      </c>
      <c r="Z26" s="285" t="n">
        <v>0</v>
      </c>
      <c r="AA26" s="285" t="n">
        <v>0</v>
      </c>
      <c r="AB26" s="285" t="n">
        <v>0</v>
      </c>
      <c r="AC26" s="285" t="n">
        <v>0</v>
      </c>
      <c r="AD26" s="285" t="n">
        <v>0</v>
      </c>
      <c r="AE26" s="285" t="n">
        <v>0</v>
      </c>
      <c r="AF26" s="285" t="n">
        <v>0</v>
      </c>
      <c r="AG26" s="285" t="n">
        <v>0</v>
      </c>
      <c r="AH26" s="285" t="n">
        <v>0</v>
      </c>
      <c r="AI26" s="285" t="n">
        <v>0</v>
      </c>
      <c r="AJ26" s="285" t="n">
        <v>0</v>
      </c>
      <c r="AK26" s="285" t="n">
        <v>0</v>
      </c>
      <c r="AL26" s="285" t="n">
        <v>0</v>
      </c>
      <c r="AM26" s="285" t="n">
        <v>0</v>
      </c>
      <c r="AN26" s="285" t="n">
        <v>0</v>
      </c>
      <c r="AO26" s="285" t="n">
        <v>0</v>
      </c>
      <c r="AP26" s="285" t="n">
        <v>0</v>
      </c>
      <c r="AQ26" s="285" t="n">
        <v>0</v>
      </c>
      <c r="AR26" s="285" t="n">
        <v>0</v>
      </c>
      <c r="AS26" s="285" t="n">
        <v>0</v>
      </c>
      <c r="AT26" s="285" t="n">
        <v>0</v>
      </c>
      <c r="AU26" s="285" t="n">
        <v>0</v>
      </c>
      <c r="AV26" s="285" t="n">
        <v>0</v>
      </c>
      <c r="AW26" s="285" t="n">
        <v>0</v>
      </c>
      <c r="AX26" s="285" t="n">
        <v>0</v>
      </c>
      <c r="AY26" s="285" t="n">
        <v>0</v>
      </c>
      <c r="AZ26" s="285" t="n">
        <v>0</v>
      </c>
      <c r="BA26" s="285" t="n">
        <v>0</v>
      </c>
      <c r="BB26" s="285" t="n">
        <v>0</v>
      </c>
      <c r="BC26" s="285" t="n">
        <v>0</v>
      </c>
      <c r="BD26" s="285" t="n">
        <v>0</v>
      </c>
      <c r="BE26" s="285" t="n">
        <v>0</v>
      </c>
      <c r="BF26" s="285" t="n">
        <v>0</v>
      </c>
      <c r="BG26" s="285" t="n">
        <v>0</v>
      </c>
      <c r="BH26" s="285" t="n">
        <v>0</v>
      </c>
      <c r="BI26" s="285" t="n">
        <v>0</v>
      </c>
      <c r="BJ26" s="285" t="n">
        <v>0</v>
      </c>
      <c r="BK26" s="285" t="n">
        <v>0</v>
      </c>
      <c r="BL26" s="285" t="n">
        <v>0</v>
      </c>
      <c r="BM26" s="285" t="n">
        <v>0</v>
      </c>
      <c r="BN26" s="285" t="n">
        <v>0</v>
      </c>
      <c r="BO26" s="285" t="n">
        <v>0</v>
      </c>
      <c r="BP26" s="285" t="n">
        <v>392</v>
      </c>
      <c r="BQ26" s="285" t="n">
        <v>393</v>
      </c>
      <c r="BR26" s="285" t="n">
        <v>497</v>
      </c>
      <c r="BS26" s="285" t="n">
        <v>599</v>
      </c>
      <c r="BT26" s="285" t="n">
        <v>756</v>
      </c>
      <c r="BU26" s="285" t="n">
        <v>844</v>
      </c>
      <c r="BV26" s="285" t="n">
        <v>911</v>
      </c>
      <c r="BW26" s="285" t="n">
        <v>734</v>
      </c>
      <c r="BX26" s="285" t="n">
        <v>383</v>
      </c>
      <c r="BY26" s="285" t="n">
        <v>226</v>
      </c>
      <c r="BZ26" s="285" t="n">
        <v>120</v>
      </c>
      <c r="CA26" s="285" t="n">
        <v>129</v>
      </c>
    </row>
    <row r="27" customFormat="false" ht="15" hidden="false" customHeight="false" outlineLevel="0" collapsed="false">
      <c r="A27" s="285" t="s">
        <v>245</v>
      </c>
      <c r="B27" s="285" t="n">
        <v>0</v>
      </c>
      <c r="C27" s="285" t="n">
        <v>0</v>
      </c>
      <c r="D27" s="285" t="n">
        <v>0</v>
      </c>
      <c r="E27" s="285" t="n">
        <v>0</v>
      </c>
      <c r="F27" s="285" t="n">
        <v>0</v>
      </c>
      <c r="G27" s="285" t="n">
        <v>0</v>
      </c>
      <c r="H27" s="285" t="n">
        <v>0</v>
      </c>
      <c r="I27" s="285" t="n">
        <v>0</v>
      </c>
      <c r="J27" s="285" t="n">
        <v>0</v>
      </c>
      <c r="K27" s="285" t="n">
        <v>0</v>
      </c>
      <c r="L27" s="285" t="n">
        <v>0</v>
      </c>
      <c r="M27" s="285" t="n">
        <v>0</v>
      </c>
      <c r="N27" s="285" t="n">
        <v>0</v>
      </c>
      <c r="O27" s="285" t="n">
        <v>0</v>
      </c>
      <c r="P27" s="285" t="n">
        <v>0</v>
      </c>
      <c r="Q27" s="285" t="n">
        <v>0</v>
      </c>
      <c r="R27" s="285" t="n">
        <v>0</v>
      </c>
      <c r="S27" s="285" t="n">
        <v>0</v>
      </c>
      <c r="T27" s="285" t="n">
        <v>0</v>
      </c>
      <c r="U27" s="285" t="n">
        <v>0</v>
      </c>
      <c r="V27" s="285" t="n">
        <v>0</v>
      </c>
      <c r="W27" s="285" t="n">
        <v>0</v>
      </c>
      <c r="X27" s="285" t="n">
        <v>0</v>
      </c>
      <c r="Y27" s="285" t="n">
        <v>0</v>
      </c>
      <c r="Z27" s="285" t="n">
        <v>0</v>
      </c>
      <c r="AA27" s="285" t="n">
        <v>0</v>
      </c>
      <c r="AB27" s="285" t="n">
        <v>0</v>
      </c>
      <c r="AC27" s="285" t="n">
        <v>0</v>
      </c>
      <c r="AD27" s="285" t="n">
        <v>0</v>
      </c>
      <c r="AE27" s="285" t="n">
        <v>0</v>
      </c>
      <c r="AF27" s="285" t="n">
        <v>0</v>
      </c>
      <c r="AG27" s="285" t="n">
        <v>0</v>
      </c>
      <c r="AH27" s="285" t="n">
        <v>0</v>
      </c>
      <c r="AI27" s="285" t="n">
        <v>0</v>
      </c>
      <c r="AJ27" s="285" t="n">
        <v>0</v>
      </c>
      <c r="AK27" s="285" t="n">
        <v>0</v>
      </c>
      <c r="AL27" s="285" t="n">
        <v>0</v>
      </c>
      <c r="AM27" s="285" t="n">
        <v>0</v>
      </c>
      <c r="AN27" s="285" t="n">
        <v>0</v>
      </c>
      <c r="AO27" s="285" t="n">
        <v>0</v>
      </c>
      <c r="AP27" s="285" t="n">
        <v>0</v>
      </c>
      <c r="AQ27" s="285" t="n">
        <v>0</v>
      </c>
      <c r="AR27" s="285" t="n">
        <v>0</v>
      </c>
      <c r="AS27" s="285" t="n">
        <v>0</v>
      </c>
      <c r="AT27" s="285" t="n">
        <v>0</v>
      </c>
      <c r="AU27" s="285" t="n">
        <v>0</v>
      </c>
      <c r="AV27" s="285" t="n">
        <v>0</v>
      </c>
      <c r="AW27" s="285" t="n">
        <v>0</v>
      </c>
      <c r="AX27" s="285" t="n">
        <v>0</v>
      </c>
      <c r="AY27" s="285" t="n">
        <v>0</v>
      </c>
      <c r="AZ27" s="285" t="n">
        <v>0</v>
      </c>
      <c r="BA27" s="285" t="n">
        <v>0</v>
      </c>
      <c r="BB27" s="285" t="n">
        <v>0</v>
      </c>
      <c r="BC27" s="285" t="n">
        <v>0</v>
      </c>
      <c r="BD27" s="285" t="n">
        <v>0</v>
      </c>
      <c r="BE27" s="285" t="n">
        <v>0</v>
      </c>
      <c r="BF27" s="285" t="n">
        <v>0</v>
      </c>
      <c r="BG27" s="285" t="n">
        <v>0</v>
      </c>
      <c r="BH27" s="285" t="n">
        <v>0</v>
      </c>
      <c r="BI27" s="285" t="n">
        <v>0</v>
      </c>
      <c r="BJ27" s="285" t="n">
        <v>0</v>
      </c>
      <c r="BK27" s="285" t="n">
        <v>0</v>
      </c>
      <c r="BL27" s="285" t="n">
        <v>0</v>
      </c>
      <c r="BM27" s="285" t="n">
        <v>0</v>
      </c>
      <c r="BN27" s="285" t="n">
        <v>0</v>
      </c>
      <c r="BO27" s="285" t="n">
        <v>0</v>
      </c>
      <c r="BP27" s="285" t="n">
        <v>0</v>
      </c>
      <c r="BQ27" s="285" t="n">
        <v>0</v>
      </c>
      <c r="BR27" s="285" t="n">
        <v>0</v>
      </c>
      <c r="BS27" s="285" t="n">
        <v>0</v>
      </c>
      <c r="BT27" s="285" t="n">
        <v>6</v>
      </c>
      <c r="BU27" s="285" t="n">
        <v>6</v>
      </c>
      <c r="BV27" s="285" t="n">
        <v>6</v>
      </c>
      <c r="BW27" s="285" t="n">
        <v>5</v>
      </c>
      <c r="BX27" s="285" t="n">
        <v>5</v>
      </c>
      <c r="BY27" s="285" t="n">
        <v>5</v>
      </c>
      <c r="BZ27" s="285" t="n">
        <v>5</v>
      </c>
      <c r="CA27" s="285" t="n">
        <v>5</v>
      </c>
    </row>
    <row r="28" customFormat="false" ht="15" hidden="false" customHeight="false" outlineLevel="0" collapsed="false">
      <c r="A28" s="285" t="s">
        <v>246</v>
      </c>
      <c r="B28" s="285" t="n">
        <v>0</v>
      </c>
      <c r="C28" s="285" t="n">
        <v>0</v>
      </c>
      <c r="D28" s="285" t="n">
        <v>0</v>
      </c>
      <c r="E28" s="285" t="n">
        <v>0</v>
      </c>
      <c r="F28" s="285" t="n">
        <v>0</v>
      </c>
      <c r="G28" s="285" t="n">
        <v>0</v>
      </c>
      <c r="H28" s="285" t="n">
        <v>0</v>
      </c>
      <c r="I28" s="285" t="n">
        <v>0</v>
      </c>
      <c r="J28" s="285" t="n">
        <v>0</v>
      </c>
      <c r="K28" s="285" t="n">
        <v>0</v>
      </c>
      <c r="L28" s="285" t="n">
        <v>0</v>
      </c>
      <c r="M28" s="285" t="n">
        <v>0</v>
      </c>
      <c r="N28" s="285" t="n">
        <v>0</v>
      </c>
      <c r="O28" s="285" t="n">
        <v>0</v>
      </c>
      <c r="P28" s="285" t="n">
        <v>0</v>
      </c>
      <c r="Q28" s="285" t="n">
        <v>0</v>
      </c>
      <c r="R28" s="285" t="n">
        <v>0</v>
      </c>
      <c r="S28" s="285" t="n">
        <v>0</v>
      </c>
      <c r="T28" s="285" t="n">
        <v>0</v>
      </c>
      <c r="U28" s="285" t="n">
        <v>0</v>
      </c>
      <c r="V28" s="285" t="n">
        <v>0</v>
      </c>
      <c r="W28" s="285" t="n">
        <v>0</v>
      </c>
      <c r="X28" s="285" t="n">
        <v>0</v>
      </c>
      <c r="Y28" s="285" t="n">
        <v>0</v>
      </c>
      <c r="Z28" s="285" t="n">
        <v>0</v>
      </c>
      <c r="AA28" s="285" t="n">
        <v>0</v>
      </c>
      <c r="AB28" s="285" t="n">
        <v>0</v>
      </c>
      <c r="AC28" s="285" t="n">
        <v>0</v>
      </c>
      <c r="AD28" s="285" t="n">
        <v>0</v>
      </c>
      <c r="AE28" s="285" t="n">
        <v>0</v>
      </c>
      <c r="AF28" s="285" t="n">
        <v>0</v>
      </c>
      <c r="AG28" s="285" t="n">
        <v>0</v>
      </c>
      <c r="AH28" s="285" t="n">
        <v>0</v>
      </c>
      <c r="AI28" s="285" t="n">
        <v>0</v>
      </c>
      <c r="AJ28" s="285" t="n">
        <v>0</v>
      </c>
      <c r="AK28" s="285" t="n">
        <v>0</v>
      </c>
      <c r="AL28" s="285" t="n">
        <v>0</v>
      </c>
      <c r="AM28" s="285" t="n">
        <v>0</v>
      </c>
      <c r="AN28" s="285" t="n">
        <v>0</v>
      </c>
      <c r="AO28" s="285" t="n">
        <v>0</v>
      </c>
      <c r="AP28" s="285" t="n">
        <v>0</v>
      </c>
      <c r="AQ28" s="285" t="n">
        <v>0</v>
      </c>
      <c r="AR28" s="285" t="n">
        <v>0</v>
      </c>
      <c r="AS28" s="285" t="n">
        <v>0</v>
      </c>
      <c r="AT28" s="285" t="n">
        <v>0</v>
      </c>
      <c r="AU28" s="285" t="n">
        <v>0</v>
      </c>
      <c r="AV28" s="285" t="n">
        <v>0</v>
      </c>
      <c r="AW28" s="285" t="n">
        <v>0</v>
      </c>
      <c r="AX28" s="285" t="n">
        <v>0</v>
      </c>
      <c r="AY28" s="285" t="n">
        <v>0</v>
      </c>
      <c r="AZ28" s="285" t="n">
        <v>0</v>
      </c>
      <c r="BA28" s="285" t="n">
        <v>0</v>
      </c>
      <c r="BB28" s="285" t="n">
        <v>0</v>
      </c>
      <c r="BC28" s="285" t="n">
        <v>0</v>
      </c>
      <c r="BD28" s="285" t="n">
        <v>0</v>
      </c>
      <c r="BE28" s="285" t="n">
        <v>0</v>
      </c>
      <c r="BF28" s="285" t="n">
        <v>0</v>
      </c>
      <c r="BG28" s="285" t="n">
        <v>0</v>
      </c>
      <c r="BH28" s="285" t="n">
        <v>0</v>
      </c>
      <c r="BI28" s="285" t="n">
        <v>0</v>
      </c>
      <c r="BJ28" s="285" t="n">
        <v>0</v>
      </c>
      <c r="BK28" s="285" t="n">
        <v>0</v>
      </c>
      <c r="BL28" s="285" t="n">
        <v>0</v>
      </c>
      <c r="BM28" s="285" t="n">
        <v>0</v>
      </c>
      <c r="BN28" s="285" t="n">
        <v>0</v>
      </c>
      <c r="BO28" s="285" t="n">
        <v>0</v>
      </c>
      <c r="BP28" s="285" t="n">
        <v>0</v>
      </c>
      <c r="BQ28" s="285" t="n">
        <v>0</v>
      </c>
      <c r="BR28" s="285" t="n">
        <v>0</v>
      </c>
      <c r="BS28" s="285" t="n">
        <v>0</v>
      </c>
      <c r="BT28" s="285" t="n">
        <v>0</v>
      </c>
      <c r="BU28" s="285" t="n">
        <v>0</v>
      </c>
      <c r="BV28" s="285" t="n">
        <v>0</v>
      </c>
      <c r="BW28" s="285" t="n">
        <v>0</v>
      </c>
      <c r="BX28" s="285" t="n">
        <v>0</v>
      </c>
      <c r="BY28" s="285" t="n">
        <v>0</v>
      </c>
      <c r="BZ28" s="285" t="n">
        <v>0</v>
      </c>
      <c r="CA28" s="285" t="n">
        <v>0</v>
      </c>
    </row>
    <row r="29" customFormat="false" ht="15" hidden="false" customHeight="false" outlineLevel="0" collapsed="false">
      <c r="A29" s="286" t="s">
        <v>247</v>
      </c>
      <c r="B29" s="286" t="n">
        <v>0</v>
      </c>
      <c r="C29" s="286" t="n">
        <v>0</v>
      </c>
      <c r="D29" s="286" t="n">
        <v>0</v>
      </c>
      <c r="E29" s="286" t="n">
        <v>0</v>
      </c>
      <c r="F29" s="286" t="n">
        <v>0</v>
      </c>
      <c r="G29" s="286" t="n">
        <v>0</v>
      </c>
      <c r="H29" s="286" t="n">
        <v>0</v>
      </c>
      <c r="I29" s="286" t="n">
        <v>0</v>
      </c>
      <c r="J29" s="286" t="n">
        <v>0</v>
      </c>
      <c r="K29" s="286" t="n">
        <v>0</v>
      </c>
      <c r="L29" s="286" t="n">
        <v>0</v>
      </c>
      <c r="M29" s="286" t="n">
        <v>0</v>
      </c>
      <c r="N29" s="286" t="n">
        <v>0</v>
      </c>
      <c r="O29" s="286" t="n">
        <v>0</v>
      </c>
      <c r="P29" s="286" t="n">
        <v>0</v>
      </c>
      <c r="Q29" s="286" t="n">
        <v>0</v>
      </c>
      <c r="R29" s="286" t="n">
        <v>0</v>
      </c>
      <c r="S29" s="286" t="n">
        <v>0</v>
      </c>
      <c r="T29" s="286" t="n">
        <v>0</v>
      </c>
      <c r="U29" s="286" t="n">
        <v>0</v>
      </c>
      <c r="V29" s="286" t="n">
        <v>0</v>
      </c>
      <c r="W29" s="286" t="n">
        <v>0</v>
      </c>
      <c r="X29" s="286" t="n">
        <v>0</v>
      </c>
      <c r="Y29" s="286" t="n">
        <v>0</v>
      </c>
      <c r="Z29" s="286" t="n">
        <v>0</v>
      </c>
      <c r="AA29" s="286" t="n">
        <v>0</v>
      </c>
      <c r="AB29" s="286" t="n">
        <v>0</v>
      </c>
      <c r="AC29" s="286" t="n">
        <v>0</v>
      </c>
      <c r="AD29" s="286" t="n">
        <v>0</v>
      </c>
      <c r="AE29" s="286" t="n">
        <v>0</v>
      </c>
      <c r="AF29" s="286" t="n">
        <v>0</v>
      </c>
      <c r="AG29" s="286" t="n">
        <v>0</v>
      </c>
      <c r="AH29" s="286" t="n">
        <v>0</v>
      </c>
      <c r="AI29" s="286" t="n">
        <v>0</v>
      </c>
      <c r="AJ29" s="286" t="n">
        <v>0</v>
      </c>
      <c r="AK29" s="286" t="n">
        <v>0</v>
      </c>
      <c r="AL29" s="286" t="n">
        <v>0</v>
      </c>
      <c r="AM29" s="286" t="n">
        <v>0</v>
      </c>
      <c r="AN29" s="286" t="n">
        <v>0</v>
      </c>
      <c r="AO29" s="286" t="n">
        <v>0</v>
      </c>
      <c r="AP29" s="286" t="n">
        <v>0</v>
      </c>
      <c r="AQ29" s="286" t="n">
        <v>0</v>
      </c>
      <c r="AR29" s="286" t="n">
        <v>0</v>
      </c>
      <c r="AS29" s="286" t="n">
        <v>0</v>
      </c>
      <c r="AT29" s="286" t="n">
        <v>0</v>
      </c>
      <c r="AU29" s="286" t="n">
        <v>0</v>
      </c>
      <c r="AV29" s="286" t="n">
        <v>0</v>
      </c>
      <c r="AW29" s="286" t="n">
        <v>0</v>
      </c>
      <c r="AX29" s="286" t="n">
        <v>0</v>
      </c>
      <c r="AY29" s="286" t="n">
        <v>0</v>
      </c>
      <c r="AZ29" s="286" t="n">
        <v>0</v>
      </c>
      <c r="BA29" s="286" t="n">
        <v>0</v>
      </c>
      <c r="BB29" s="286" t="n">
        <v>0</v>
      </c>
      <c r="BC29" s="286" t="n">
        <v>0</v>
      </c>
      <c r="BD29" s="286" t="n">
        <v>0</v>
      </c>
      <c r="BE29" s="286" t="n">
        <v>0</v>
      </c>
      <c r="BF29" s="286" t="n">
        <v>0</v>
      </c>
      <c r="BG29" s="286" t="n">
        <v>0</v>
      </c>
      <c r="BH29" s="286" t="n">
        <v>0</v>
      </c>
      <c r="BI29" s="286" t="n">
        <v>0</v>
      </c>
      <c r="BJ29" s="286" t="n">
        <v>0</v>
      </c>
      <c r="BK29" s="286" t="n">
        <v>0</v>
      </c>
      <c r="BL29" s="286" t="n">
        <v>0</v>
      </c>
      <c r="BM29" s="286" t="n">
        <v>0</v>
      </c>
      <c r="BN29" s="286" t="n">
        <v>0</v>
      </c>
      <c r="BO29" s="286" t="n">
        <v>0</v>
      </c>
      <c r="BP29" s="286" t="n">
        <v>0</v>
      </c>
      <c r="BQ29" s="286" t="n">
        <v>0</v>
      </c>
      <c r="BR29" s="286" t="n">
        <v>0</v>
      </c>
      <c r="BS29" s="286" t="n">
        <v>0</v>
      </c>
      <c r="BT29" s="286" t="n">
        <v>0</v>
      </c>
      <c r="BU29" s="286" t="n">
        <v>0</v>
      </c>
      <c r="BV29" s="286" t="n">
        <v>0</v>
      </c>
      <c r="BW29" s="286" t="n">
        <v>0</v>
      </c>
      <c r="BX29" s="286" t="n">
        <v>0</v>
      </c>
      <c r="BY29" s="286" t="n">
        <v>0</v>
      </c>
      <c r="BZ29" s="286" t="n">
        <v>0</v>
      </c>
      <c r="CA29" s="286" t="n">
        <v>0</v>
      </c>
    </row>
    <row r="30" customFormat="false" ht="15" hidden="false" customHeight="false" outlineLevel="0" collapsed="false">
      <c r="A30" s="287" t="s">
        <v>19</v>
      </c>
      <c r="B30" s="287" t="n">
        <v>0</v>
      </c>
      <c r="C30" s="287" t="n">
        <v>0</v>
      </c>
      <c r="D30" s="287" t="n">
        <v>0</v>
      </c>
      <c r="E30" s="287" t="n">
        <v>0</v>
      </c>
      <c r="F30" s="287" t="n">
        <v>0</v>
      </c>
      <c r="G30" s="287" t="n">
        <v>0</v>
      </c>
      <c r="H30" s="287" t="n">
        <v>0</v>
      </c>
      <c r="I30" s="287" t="n">
        <v>0</v>
      </c>
      <c r="J30" s="287" t="n">
        <v>0</v>
      </c>
      <c r="K30" s="287" t="n">
        <v>0</v>
      </c>
      <c r="L30" s="287" t="n">
        <v>0</v>
      </c>
      <c r="M30" s="287" t="n">
        <v>0</v>
      </c>
      <c r="N30" s="287" t="n">
        <v>0</v>
      </c>
      <c r="O30" s="287" t="n">
        <v>0</v>
      </c>
      <c r="P30" s="287" t="n">
        <v>0</v>
      </c>
      <c r="Q30" s="287" t="n">
        <v>0</v>
      </c>
      <c r="R30" s="287" t="n">
        <v>0</v>
      </c>
      <c r="S30" s="287" t="n">
        <v>0</v>
      </c>
      <c r="T30" s="287" t="n">
        <v>0</v>
      </c>
      <c r="U30" s="287" t="n">
        <v>0</v>
      </c>
      <c r="V30" s="287" t="n">
        <v>0</v>
      </c>
      <c r="W30" s="287" t="n">
        <v>0</v>
      </c>
      <c r="X30" s="287" t="n">
        <v>0</v>
      </c>
      <c r="Y30" s="287" t="n">
        <v>0</v>
      </c>
      <c r="Z30" s="287" t="n">
        <v>0</v>
      </c>
      <c r="AA30" s="287" t="n">
        <v>0</v>
      </c>
      <c r="AB30" s="287" t="n">
        <v>0</v>
      </c>
      <c r="AC30" s="287" t="n">
        <v>0</v>
      </c>
      <c r="AD30" s="287" t="n">
        <v>0</v>
      </c>
      <c r="AE30" s="287" t="n">
        <v>0</v>
      </c>
      <c r="AF30" s="287" t="n">
        <v>0</v>
      </c>
      <c r="AG30" s="287" t="n">
        <v>0</v>
      </c>
      <c r="AH30" s="287" t="n">
        <v>0</v>
      </c>
      <c r="AI30" s="287" t="n">
        <v>0</v>
      </c>
      <c r="AJ30" s="287" t="n">
        <v>0</v>
      </c>
      <c r="AK30" s="287" t="n">
        <v>0</v>
      </c>
      <c r="AL30" s="287" t="n">
        <v>0</v>
      </c>
      <c r="AM30" s="287" t="n">
        <v>0</v>
      </c>
      <c r="AN30" s="287" t="n">
        <v>0</v>
      </c>
      <c r="AO30" s="287" t="n">
        <v>0</v>
      </c>
      <c r="AP30" s="287" t="n">
        <v>0</v>
      </c>
      <c r="AQ30" s="287" t="n">
        <v>0</v>
      </c>
      <c r="AR30" s="287" t="n">
        <v>0</v>
      </c>
      <c r="AS30" s="287" t="n">
        <v>0</v>
      </c>
      <c r="AT30" s="287" t="n">
        <v>0</v>
      </c>
      <c r="AU30" s="287" t="n">
        <v>0</v>
      </c>
      <c r="AV30" s="287" t="n">
        <v>0</v>
      </c>
      <c r="AW30" s="287" t="n">
        <v>0</v>
      </c>
      <c r="AX30" s="287" t="n">
        <v>0</v>
      </c>
      <c r="AY30" s="287" t="n">
        <v>0</v>
      </c>
      <c r="AZ30" s="287" t="n">
        <v>0</v>
      </c>
      <c r="BA30" s="287" t="n">
        <v>0</v>
      </c>
      <c r="BB30" s="287" t="n">
        <v>0</v>
      </c>
      <c r="BC30" s="287" t="n">
        <v>0</v>
      </c>
      <c r="BD30" s="287" t="n">
        <v>0</v>
      </c>
      <c r="BE30" s="287" t="n">
        <v>0</v>
      </c>
      <c r="BF30" s="287" t="n">
        <v>0</v>
      </c>
      <c r="BG30" s="287" t="n">
        <v>0</v>
      </c>
      <c r="BH30" s="287" t="n">
        <v>0</v>
      </c>
      <c r="BI30" s="287" t="n">
        <v>0</v>
      </c>
      <c r="BJ30" s="287" t="n">
        <v>0</v>
      </c>
      <c r="BK30" s="287" t="n">
        <v>0</v>
      </c>
      <c r="BL30" s="287" t="n">
        <v>0</v>
      </c>
      <c r="BM30" s="287" t="n">
        <v>0</v>
      </c>
      <c r="BN30" s="287" t="n">
        <v>0</v>
      </c>
      <c r="BO30" s="287" t="n">
        <v>0</v>
      </c>
      <c r="BP30" s="287" t="n">
        <v>392</v>
      </c>
      <c r="BQ30" s="287" t="n">
        <v>393</v>
      </c>
      <c r="BR30" s="287" t="n">
        <v>497</v>
      </c>
      <c r="BS30" s="287" t="n">
        <v>599</v>
      </c>
      <c r="BT30" s="287" t="n">
        <v>762</v>
      </c>
      <c r="BU30" s="287" t="n">
        <v>850</v>
      </c>
      <c r="BV30" s="287" t="n">
        <v>917</v>
      </c>
      <c r="BW30" s="287" t="n">
        <v>739</v>
      </c>
      <c r="BX30" s="287" t="n">
        <v>388</v>
      </c>
      <c r="BY30" s="287" t="n">
        <v>231</v>
      </c>
      <c r="BZ30" s="287" t="n">
        <v>125</v>
      </c>
      <c r="CA30" s="287" t="n">
        <v>134</v>
      </c>
    </row>
    <row r="31" customFormat="false" ht="15" hidden="false" customHeight="false" outlineLevel="0" collapsed="false">
      <c r="A31" s="283" t="s">
        <v>241</v>
      </c>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row>
    <row r="32" customFormat="false" ht="15" hidden="false" customHeight="false" outlineLevel="0" collapsed="false">
      <c r="A32" s="285" t="s">
        <v>244</v>
      </c>
      <c r="B32" s="285" t="n">
        <v>2089</v>
      </c>
      <c r="C32" s="285" t="n">
        <v>2861</v>
      </c>
      <c r="D32" s="285" t="n">
        <v>3122</v>
      </c>
      <c r="E32" s="285" t="n">
        <v>3678</v>
      </c>
      <c r="F32" s="285" t="n">
        <v>4536</v>
      </c>
      <c r="G32" s="285" t="n">
        <v>4211</v>
      </c>
      <c r="H32" s="285" t="n">
        <v>3888</v>
      </c>
      <c r="I32" s="285" t="n">
        <v>3252</v>
      </c>
      <c r="J32" s="285" t="n">
        <v>2737</v>
      </c>
      <c r="K32" s="285" t="n">
        <v>3312</v>
      </c>
      <c r="L32" s="285" t="n">
        <v>3855</v>
      </c>
      <c r="M32" s="285" t="n">
        <v>3889</v>
      </c>
      <c r="N32" s="285" t="n">
        <v>4048</v>
      </c>
      <c r="O32" s="285" t="n">
        <v>3905</v>
      </c>
      <c r="P32" s="285" t="n">
        <v>3590</v>
      </c>
      <c r="Q32" s="285" t="n">
        <v>3576</v>
      </c>
      <c r="R32" s="285" t="n">
        <v>3476</v>
      </c>
      <c r="S32" s="285" t="n">
        <v>3669</v>
      </c>
      <c r="T32" s="285" t="n">
        <v>3272</v>
      </c>
      <c r="U32" s="285" t="n">
        <v>2536</v>
      </c>
      <c r="V32" s="285" t="n">
        <v>2338</v>
      </c>
      <c r="W32" s="285" t="n">
        <v>1844</v>
      </c>
      <c r="X32" s="285" t="n">
        <v>1360</v>
      </c>
      <c r="Y32" s="285" t="n">
        <v>1060</v>
      </c>
      <c r="Z32" s="285" t="n">
        <v>5065</v>
      </c>
      <c r="AA32" s="285" t="n">
        <v>5236</v>
      </c>
      <c r="AB32" s="285" t="n">
        <v>5427</v>
      </c>
      <c r="AC32" s="285" t="n">
        <v>5166</v>
      </c>
      <c r="AD32" s="285" t="n">
        <v>4991</v>
      </c>
      <c r="AE32" s="285" t="n">
        <v>4728</v>
      </c>
      <c r="AF32" s="285" t="n">
        <v>4397</v>
      </c>
      <c r="AG32" s="285" t="n">
        <v>4289</v>
      </c>
      <c r="AH32" s="285" t="n">
        <v>4095</v>
      </c>
      <c r="AI32" s="285" t="n">
        <v>3882</v>
      </c>
      <c r="AJ32" s="285" t="n">
        <v>3648</v>
      </c>
      <c r="AK32" s="285" t="n">
        <v>3595</v>
      </c>
      <c r="AL32" s="285" t="n">
        <v>3741</v>
      </c>
      <c r="AM32" s="285" t="n">
        <v>3782</v>
      </c>
      <c r="AN32" s="285" t="n">
        <v>3849</v>
      </c>
      <c r="AO32" s="285" t="n">
        <v>3712</v>
      </c>
      <c r="AP32" s="285" t="n">
        <v>3730</v>
      </c>
      <c r="AQ32" s="285" t="n">
        <v>3995</v>
      </c>
      <c r="AR32" s="285" t="n">
        <v>0</v>
      </c>
      <c r="AS32" s="285" t="n">
        <v>0</v>
      </c>
      <c r="AT32" s="285" t="n">
        <v>0</v>
      </c>
      <c r="AU32" s="285" t="n">
        <v>0</v>
      </c>
      <c r="AV32" s="285" t="n">
        <v>0</v>
      </c>
      <c r="AW32" s="285" t="n">
        <v>0</v>
      </c>
      <c r="AX32" s="285" t="n">
        <v>0</v>
      </c>
      <c r="AY32" s="285" t="n">
        <v>0</v>
      </c>
      <c r="AZ32" s="285" t="n">
        <v>0</v>
      </c>
      <c r="BA32" s="285" t="n">
        <v>0</v>
      </c>
      <c r="BB32" s="285" t="n">
        <v>0</v>
      </c>
      <c r="BC32" s="285" t="n">
        <v>0</v>
      </c>
      <c r="BD32" s="285" t="n">
        <v>0</v>
      </c>
      <c r="BE32" s="285" t="n">
        <v>0</v>
      </c>
      <c r="BF32" s="285" t="n">
        <v>0</v>
      </c>
      <c r="BG32" s="285" t="n">
        <v>0</v>
      </c>
      <c r="BH32" s="285" t="n">
        <v>0</v>
      </c>
      <c r="BI32" s="285" t="n">
        <v>0</v>
      </c>
      <c r="BJ32" s="285" t="n">
        <v>0</v>
      </c>
      <c r="BK32" s="285" t="n">
        <v>0</v>
      </c>
      <c r="BL32" s="285" t="n">
        <v>0</v>
      </c>
      <c r="BM32" s="285" t="n">
        <v>0</v>
      </c>
      <c r="BN32" s="285" t="n">
        <v>0</v>
      </c>
      <c r="BO32" s="285" t="n">
        <v>0</v>
      </c>
      <c r="BP32" s="285" t="n">
        <v>654</v>
      </c>
      <c r="BQ32" s="285" t="n">
        <v>667</v>
      </c>
      <c r="BR32" s="285" t="n">
        <v>650</v>
      </c>
      <c r="BS32" s="285" t="n">
        <v>597</v>
      </c>
      <c r="BT32" s="285" t="n">
        <v>511</v>
      </c>
      <c r="BU32" s="285" t="n">
        <v>468</v>
      </c>
      <c r="BV32" s="285" t="n">
        <v>442</v>
      </c>
      <c r="BW32" s="285" t="n">
        <v>398</v>
      </c>
      <c r="BX32" s="285" t="n">
        <v>358</v>
      </c>
      <c r="BY32" s="285" t="n">
        <v>304</v>
      </c>
      <c r="BZ32" s="285" t="n">
        <v>282</v>
      </c>
      <c r="CA32" s="285" t="n">
        <v>261</v>
      </c>
    </row>
    <row r="33" customFormat="false" ht="15" hidden="false" customHeight="false" outlineLevel="0" collapsed="false">
      <c r="A33" s="285" t="s">
        <v>245</v>
      </c>
      <c r="B33" s="285" t="n">
        <v>153</v>
      </c>
      <c r="C33" s="285" t="n">
        <v>157</v>
      </c>
      <c r="D33" s="285" t="n">
        <v>175</v>
      </c>
      <c r="E33" s="285" t="n">
        <v>183</v>
      </c>
      <c r="F33" s="285" t="n">
        <v>180</v>
      </c>
      <c r="G33" s="285" t="n">
        <v>172</v>
      </c>
      <c r="H33" s="285" t="n">
        <v>166</v>
      </c>
      <c r="I33" s="285" t="n">
        <v>164</v>
      </c>
      <c r="J33" s="285" t="n">
        <v>118</v>
      </c>
      <c r="K33" s="285" t="n">
        <v>115</v>
      </c>
      <c r="L33" s="285" t="n">
        <v>117</v>
      </c>
      <c r="M33" s="285" t="n">
        <v>136</v>
      </c>
      <c r="N33" s="285" t="n">
        <v>165</v>
      </c>
      <c r="O33" s="285" t="n">
        <v>170</v>
      </c>
      <c r="P33" s="285" t="n">
        <v>162</v>
      </c>
      <c r="Q33" s="285" t="n">
        <v>166</v>
      </c>
      <c r="R33" s="285" t="n">
        <v>189</v>
      </c>
      <c r="S33" s="285" t="n">
        <v>177</v>
      </c>
      <c r="T33" s="285" t="n">
        <v>193</v>
      </c>
      <c r="U33" s="285" t="n">
        <v>206</v>
      </c>
      <c r="V33" s="285" t="n">
        <v>208</v>
      </c>
      <c r="W33" s="285" t="n">
        <v>209</v>
      </c>
      <c r="X33" s="285" t="n">
        <v>217</v>
      </c>
      <c r="Y33" s="285" t="n">
        <v>249</v>
      </c>
      <c r="Z33" s="285" t="n">
        <v>268</v>
      </c>
      <c r="AA33" s="285" t="n">
        <v>284</v>
      </c>
      <c r="AB33" s="285" t="n">
        <v>314</v>
      </c>
      <c r="AC33" s="285" t="n">
        <v>330</v>
      </c>
      <c r="AD33" s="285" t="n">
        <v>366</v>
      </c>
      <c r="AE33" s="285" t="n">
        <v>416</v>
      </c>
      <c r="AF33" s="285" t="n">
        <v>491</v>
      </c>
      <c r="AG33" s="285" t="n">
        <v>474</v>
      </c>
      <c r="AH33" s="285" t="n">
        <v>508</v>
      </c>
      <c r="AI33" s="285" t="n">
        <v>503</v>
      </c>
      <c r="AJ33" s="285" t="n">
        <v>542</v>
      </c>
      <c r="AK33" s="285" t="n">
        <v>513</v>
      </c>
      <c r="AL33" s="285" t="n">
        <v>487</v>
      </c>
      <c r="AM33" s="285" t="n">
        <v>443</v>
      </c>
      <c r="AN33" s="285" t="n">
        <v>397</v>
      </c>
      <c r="AO33" s="285" t="n">
        <v>370</v>
      </c>
      <c r="AP33" s="285" t="n">
        <v>340</v>
      </c>
      <c r="AQ33" s="285" t="n">
        <v>328</v>
      </c>
      <c r="AR33" s="285" t="n">
        <v>0</v>
      </c>
      <c r="AS33" s="285" t="n">
        <v>0</v>
      </c>
      <c r="AT33" s="285" t="n">
        <v>0</v>
      </c>
      <c r="AU33" s="285" t="n">
        <v>0</v>
      </c>
      <c r="AV33" s="285" t="n">
        <v>0</v>
      </c>
      <c r="AW33" s="285" t="n">
        <v>0</v>
      </c>
      <c r="AX33" s="285" t="n">
        <v>0</v>
      </c>
      <c r="AY33" s="285" t="n">
        <v>0</v>
      </c>
      <c r="AZ33" s="285" t="n">
        <v>0</v>
      </c>
      <c r="BA33" s="285" t="n">
        <v>0</v>
      </c>
      <c r="BB33" s="285" t="n">
        <v>0</v>
      </c>
      <c r="BC33" s="285" t="n">
        <v>0</v>
      </c>
      <c r="BD33" s="285" t="n">
        <v>0</v>
      </c>
      <c r="BE33" s="285" t="n">
        <v>0</v>
      </c>
      <c r="BF33" s="285" t="n">
        <v>0</v>
      </c>
      <c r="BG33" s="285" t="n">
        <v>0</v>
      </c>
      <c r="BH33" s="285" t="n">
        <v>0</v>
      </c>
      <c r="BI33" s="285" t="n">
        <v>0</v>
      </c>
      <c r="BJ33" s="285" t="n">
        <v>0</v>
      </c>
      <c r="BK33" s="285" t="n">
        <v>0</v>
      </c>
      <c r="BL33" s="285" t="n">
        <v>0</v>
      </c>
      <c r="BM33" s="285" t="n">
        <v>0</v>
      </c>
      <c r="BN33" s="285" t="n">
        <v>0</v>
      </c>
      <c r="BO33" s="285" t="n">
        <v>0</v>
      </c>
      <c r="BP33" s="285" t="n">
        <v>130</v>
      </c>
      <c r="BQ33" s="285" t="n">
        <v>122</v>
      </c>
      <c r="BR33" s="285" t="n">
        <v>116</v>
      </c>
      <c r="BS33" s="285" t="n">
        <v>158</v>
      </c>
      <c r="BT33" s="285" t="n">
        <v>201</v>
      </c>
      <c r="BU33" s="285" t="n">
        <v>232</v>
      </c>
      <c r="BV33" s="285" t="n">
        <v>238</v>
      </c>
      <c r="BW33" s="285" t="n">
        <v>244</v>
      </c>
      <c r="BX33" s="285" t="n">
        <v>246</v>
      </c>
      <c r="BY33" s="285" t="n">
        <v>268</v>
      </c>
      <c r="BZ33" s="285" t="n">
        <v>282</v>
      </c>
      <c r="CA33" s="285" t="n">
        <v>283</v>
      </c>
    </row>
    <row r="34" customFormat="false" ht="15" hidden="false" customHeight="false" outlineLevel="0" collapsed="false">
      <c r="A34" s="285" t="s">
        <v>246</v>
      </c>
      <c r="B34" s="285" t="n">
        <v>30</v>
      </c>
      <c r="C34" s="285" t="n">
        <v>31</v>
      </c>
      <c r="D34" s="285" t="n">
        <v>33</v>
      </c>
      <c r="E34" s="285" t="n">
        <v>32</v>
      </c>
      <c r="F34" s="285" t="n">
        <v>29</v>
      </c>
      <c r="G34" s="285" t="n">
        <v>32</v>
      </c>
      <c r="H34" s="285" t="n">
        <v>38</v>
      </c>
      <c r="I34" s="285" t="n">
        <v>39</v>
      </c>
      <c r="J34" s="285" t="n">
        <v>35</v>
      </c>
      <c r="K34" s="285" t="n">
        <v>32</v>
      </c>
      <c r="L34" s="285" t="n">
        <v>34</v>
      </c>
      <c r="M34" s="285" t="n">
        <v>37</v>
      </c>
      <c r="N34" s="285" t="n">
        <v>35</v>
      </c>
      <c r="O34" s="285" t="n">
        <v>32</v>
      </c>
      <c r="P34" s="285" t="n">
        <v>32</v>
      </c>
      <c r="Q34" s="285" t="n">
        <v>35</v>
      </c>
      <c r="R34" s="285" t="n">
        <v>34</v>
      </c>
      <c r="S34" s="285" t="n">
        <v>37</v>
      </c>
      <c r="T34" s="285" t="n">
        <v>39</v>
      </c>
      <c r="U34" s="285" t="n">
        <v>35</v>
      </c>
      <c r="V34" s="285" t="n">
        <v>34</v>
      </c>
      <c r="W34" s="285" t="n">
        <v>36</v>
      </c>
      <c r="X34" s="285" t="n">
        <v>35</v>
      </c>
      <c r="Y34" s="285" t="n">
        <v>38</v>
      </c>
      <c r="Z34" s="285" t="n">
        <v>26</v>
      </c>
      <c r="AA34" s="285" t="n">
        <v>31</v>
      </c>
      <c r="AB34" s="285" t="n">
        <v>33</v>
      </c>
      <c r="AC34" s="285" t="n">
        <v>43</v>
      </c>
      <c r="AD34" s="285" t="n">
        <v>40</v>
      </c>
      <c r="AE34" s="285" t="n">
        <v>39</v>
      </c>
      <c r="AF34" s="285" t="n">
        <v>43</v>
      </c>
      <c r="AG34" s="285" t="n">
        <v>49</v>
      </c>
      <c r="AH34" s="285" t="n">
        <v>49</v>
      </c>
      <c r="AI34" s="285" t="n">
        <v>42</v>
      </c>
      <c r="AJ34" s="285" t="n">
        <v>44</v>
      </c>
      <c r="AK34" s="285" t="n">
        <v>47</v>
      </c>
      <c r="AL34" s="285" t="n">
        <v>54</v>
      </c>
      <c r="AM34" s="285" t="n">
        <v>62</v>
      </c>
      <c r="AN34" s="285" t="n">
        <v>66</v>
      </c>
      <c r="AO34" s="285" t="n">
        <v>65</v>
      </c>
      <c r="AP34" s="285" t="n">
        <v>66</v>
      </c>
      <c r="AQ34" s="285" t="n">
        <v>69</v>
      </c>
      <c r="AR34" s="285" t="n">
        <v>0</v>
      </c>
      <c r="AS34" s="285" t="n">
        <v>0</v>
      </c>
      <c r="AT34" s="285" t="n">
        <v>0</v>
      </c>
      <c r="AU34" s="285" t="n">
        <v>0</v>
      </c>
      <c r="AV34" s="285" t="n">
        <v>0</v>
      </c>
      <c r="AW34" s="285" t="n">
        <v>0</v>
      </c>
      <c r="AX34" s="285" t="n">
        <v>0</v>
      </c>
      <c r="AY34" s="285" t="n">
        <v>0</v>
      </c>
      <c r="AZ34" s="285" t="n">
        <v>0</v>
      </c>
      <c r="BA34" s="285" t="n">
        <v>0</v>
      </c>
      <c r="BB34" s="285" t="n">
        <v>0</v>
      </c>
      <c r="BC34" s="285" t="n">
        <v>0</v>
      </c>
      <c r="BD34" s="285" t="n">
        <v>0</v>
      </c>
      <c r="BE34" s="285" t="n">
        <v>0</v>
      </c>
      <c r="BF34" s="285" t="n">
        <v>0</v>
      </c>
      <c r="BG34" s="285" t="n">
        <v>0</v>
      </c>
      <c r="BH34" s="285" t="n">
        <v>0</v>
      </c>
      <c r="BI34" s="285" t="n">
        <v>0</v>
      </c>
      <c r="BJ34" s="285" t="n">
        <v>0</v>
      </c>
      <c r="BK34" s="285" t="n">
        <v>0</v>
      </c>
      <c r="BL34" s="285" t="n">
        <v>0</v>
      </c>
      <c r="BM34" s="285" t="n">
        <v>0</v>
      </c>
      <c r="BN34" s="285" t="n">
        <v>0</v>
      </c>
      <c r="BO34" s="285" t="n">
        <v>0</v>
      </c>
      <c r="BP34" s="285" t="n">
        <v>64</v>
      </c>
      <c r="BQ34" s="285" t="n">
        <v>60</v>
      </c>
      <c r="BR34" s="285" t="n">
        <v>65</v>
      </c>
      <c r="BS34" s="285" t="n">
        <v>59</v>
      </c>
      <c r="BT34" s="285" t="n">
        <v>55</v>
      </c>
      <c r="BU34" s="285" t="n">
        <v>58</v>
      </c>
      <c r="BV34" s="285" t="n">
        <v>62</v>
      </c>
      <c r="BW34" s="285" t="n">
        <v>62</v>
      </c>
      <c r="BX34" s="285" t="n">
        <v>60</v>
      </c>
      <c r="BY34" s="285" t="n">
        <v>69</v>
      </c>
      <c r="BZ34" s="285" t="n">
        <v>58</v>
      </c>
      <c r="CA34" s="285" t="n">
        <v>61</v>
      </c>
    </row>
    <row r="35" customFormat="false" ht="15" hidden="false" customHeight="false" outlineLevel="0" collapsed="false">
      <c r="A35" s="286" t="s">
        <v>247</v>
      </c>
      <c r="B35" s="286" t="n">
        <v>6</v>
      </c>
      <c r="C35" s="286" t="n">
        <v>6</v>
      </c>
      <c r="D35" s="286" t="n">
        <v>6</v>
      </c>
      <c r="E35" s="286" t="n">
        <v>6</v>
      </c>
      <c r="F35" s="286" t="n">
        <v>6</v>
      </c>
      <c r="G35" s="286" t="n">
        <v>6</v>
      </c>
      <c r="H35" s="286" t="n">
        <v>5</v>
      </c>
      <c r="I35" s="286" t="n">
        <v>5</v>
      </c>
      <c r="J35" s="286" t="n">
        <v>5</v>
      </c>
      <c r="K35" s="286" t="n">
        <v>5</v>
      </c>
      <c r="L35" s="286" t="n">
        <v>5</v>
      </c>
      <c r="M35" s="286" t="n">
        <v>5</v>
      </c>
      <c r="N35" s="286" t="n">
        <v>6</v>
      </c>
      <c r="O35" s="286" t="n">
        <v>7</v>
      </c>
      <c r="P35" s="286" t="n">
        <v>7</v>
      </c>
      <c r="Q35" s="286" t="n">
        <v>7</v>
      </c>
      <c r="R35" s="286" t="n">
        <v>6</v>
      </c>
      <c r="S35" s="286" t="n">
        <v>8</v>
      </c>
      <c r="T35" s="286" t="n">
        <v>2</v>
      </c>
      <c r="U35" s="286" t="n">
        <v>2</v>
      </c>
      <c r="V35" s="286" t="n">
        <v>1</v>
      </c>
      <c r="W35" s="286" t="n">
        <v>1</v>
      </c>
      <c r="X35" s="286" t="n">
        <v>1</v>
      </c>
      <c r="Y35" s="286" t="n">
        <v>2</v>
      </c>
      <c r="Z35" s="286" t="n">
        <v>0</v>
      </c>
      <c r="AA35" s="286" t="n">
        <v>0</v>
      </c>
      <c r="AB35" s="286" t="n">
        <v>0</v>
      </c>
      <c r="AC35" s="286" t="n">
        <v>0</v>
      </c>
      <c r="AD35" s="286" t="n">
        <v>0</v>
      </c>
      <c r="AE35" s="286" t="n">
        <v>0</v>
      </c>
      <c r="AF35" s="286" t="n">
        <v>0</v>
      </c>
      <c r="AG35" s="286" t="n">
        <v>0</v>
      </c>
      <c r="AH35" s="286" t="n">
        <v>0</v>
      </c>
      <c r="AI35" s="286" t="n">
        <v>0</v>
      </c>
      <c r="AJ35" s="286" t="n">
        <v>0</v>
      </c>
      <c r="AK35" s="286" t="n">
        <v>0</v>
      </c>
      <c r="AL35" s="286" t="n">
        <v>0</v>
      </c>
      <c r="AM35" s="286" t="n">
        <v>0</v>
      </c>
      <c r="AN35" s="286" t="n">
        <v>0</v>
      </c>
      <c r="AO35" s="286" t="n">
        <v>0</v>
      </c>
      <c r="AP35" s="286" t="n">
        <v>0</v>
      </c>
      <c r="AQ35" s="286" t="n">
        <v>0</v>
      </c>
      <c r="AR35" s="286" t="n">
        <v>0</v>
      </c>
      <c r="AS35" s="286" t="n">
        <v>0</v>
      </c>
      <c r="AT35" s="286" t="n">
        <v>0</v>
      </c>
      <c r="AU35" s="286" t="n">
        <v>0</v>
      </c>
      <c r="AV35" s="286" t="n">
        <v>0</v>
      </c>
      <c r="AW35" s="286" t="n">
        <v>0</v>
      </c>
      <c r="AX35" s="286" t="n">
        <v>0</v>
      </c>
      <c r="AY35" s="286" t="n">
        <v>0</v>
      </c>
      <c r="AZ35" s="286" t="n">
        <v>0</v>
      </c>
      <c r="BA35" s="286" t="n">
        <v>0</v>
      </c>
      <c r="BB35" s="286" t="n">
        <v>0</v>
      </c>
      <c r="BC35" s="286" t="n">
        <v>0</v>
      </c>
      <c r="BD35" s="286" t="n">
        <v>0</v>
      </c>
      <c r="BE35" s="286" t="n">
        <v>0</v>
      </c>
      <c r="BF35" s="286" t="n">
        <v>0</v>
      </c>
      <c r="BG35" s="286" t="n">
        <v>0</v>
      </c>
      <c r="BH35" s="286" t="n">
        <v>0</v>
      </c>
      <c r="BI35" s="286" t="n">
        <v>0</v>
      </c>
      <c r="BJ35" s="286" t="n">
        <v>0</v>
      </c>
      <c r="BK35" s="286" t="n">
        <v>0</v>
      </c>
      <c r="BL35" s="286" t="n">
        <v>0</v>
      </c>
      <c r="BM35" s="286" t="n">
        <v>0</v>
      </c>
      <c r="BN35" s="286" t="n">
        <v>0</v>
      </c>
      <c r="BO35" s="286" t="n">
        <v>0</v>
      </c>
      <c r="BP35" s="286" t="n">
        <v>2</v>
      </c>
      <c r="BQ35" s="286" t="n">
        <v>4</v>
      </c>
      <c r="BR35" s="286" t="n">
        <v>4</v>
      </c>
      <c r="BS35" s="286" t="n">
        <v>5</v>
      </c>
      <c r="BT35" s="286" t="n">
        <v>7</v>
      </c>
      <c r="BU35" s="286" t="n">
        <v>7</v>
      </c>
      <c r="BV35" s="286" t="n">
        <v>8</v>
      </c>
      <c r="BW35" s="286" t="n">
        <v>8</v>
      </c>
      <c r="BX35" s="286" t="n">
        <v>7</v>
      </c>
      <c r="BY35" s="286" t="n">
        <v>6</v>
      </c>
      <c r="BZ35" s="286" t="n">
        <v>7</v>
      </c>
      <c r="CA35" s="286" t="n">
        <v>7</v>
      </c>
    </row>
    <row r="36" customFormat="false" ht="15" hidden="false" customHeight="false" outlineLevel="0" collapsed="false">
      <c r="A36" s="287" t="s">
        <v>19</v>
      </c>
      <c r="B36" s="287" t="n">
        <v>2278</v>
      </c>
      <c r="C36" s="287" t="n">
        <v>3055</v>
      </c>
      <c r="D36" s="287" t="n">
        <v>3336</v>
      </c>
      <c r="E36" s="287" t="n">
        <v>3899</v>
      </c>
      <c r="F36" s="287" t="n">
        <v>4751</v>
      </c>
      <c r="G36" s="287" t="n">
        <v>4421</v>
      </c>
      <c r="H36" s="287" t="n">
        <v>4097</v>
      </c>
      <c r="I36" s="287" t="n">
        <v>3460</v>
      </c>
      <c r="J36" s="287" t="n">
        <v>2895</v>
      </c>
      <c r="K36" s="287" t="n">
        <v>3464</v>
      </c>
      <c r="L36" s="287" t="n">
        <v>4011</v>
      </c>
      <c r="M36" s="287" t="n">
        <v>4067</v>
      </c>
      <c r="N36" s="287" t="n">
        <v>4254</v>
      </c>
      <c r="O36" s="287" t="n">
        <v>4114</v>
      </c>
      <c r="P36" s="287" t="n">
        <v>3791</v>
      </c>
      <c r="Q36" s="287" t="n">
        <v>3784</v>
      </c>
      <c r="R36" s="287" t="n">
        <v>3705</v>
      </c>
      <c r="S36" s="287" t="n">
        <v>3891</v>
      </c>
      <c r="T36" s="287" t="n">
        <v>3506</v>
      </c>
      <c r="U36" s="287" t="n">
        <v>2779</v>
      </c>
      <c r="V36" s="287" t="n">
        <v>2581</v>
      </c>
      <c r="W36" s="287" t="n">
        <v>2090</v>
      </c>
      <c r="X36" s="287" t="n">
        <v>1613</v>
      </c>
      <c r="Y36" s="287" t="n">
        <v>1349</v>
      </c>
      <c r="Z36" s="287" t="n">
        <v>5359</v>
      </c>
      <c r="AA36" s="287" t="n">
        <v>5551</v>
      </c>
      <c r="AB36" s="287" t="n">
        <v>5774</v>
      </c>
      <c r="AC36" s="287" t="n">
        <v>5539</v>
      </c>
      <c r="AD36" s="287" t="n">
        <v>5397</v>
      </c>
      <c r="AE36" s="287" t="n">
        <v>5183</v>
      </c>
      <c r="AF36" s="287" t="n">
        <v>4931</v>
      </c>
      <c r="AG36" s="287" t="n">
        <v>4812</v>
      </c>
      <c r="AH36" s="287" t="n">
        <v>4652</v>
      </c>
      <c r="AI36" s="287" t="n">
        <v>4427</v>
      </c>
      <c r="AJ36" s="287" t="n">
        <v>4234</v>
      </c>
      <c r="AK36" s="287" t="n">
        <v>4155</v>
      </c>
      <c r="AL36" s="287" t="n">
        <v>4282</v>
      </c>
      <c r="AM36" s="287" t="n">
        <v>4287</v>
      </c>
      <c r="AN36" s="287" t="n">
        <v>4312</v>
      </c>
      <c r="AO36" s="287" t="n">
        <v>4147</v>
      </c>
      <c r="AP36" s="287" t="n">
        <v>4136</v>
      </c>
      <c r="AQ36" s="287" t="n">
        <v>4392</v>
      </c>
      <c r="AR36" s="287" t="n">
        <v>0</v>
      </c>
      <c r="AS36" s="287" t="n">
        <v>0</v>
      </c>
      <c r="AT36" s="287" t="n">
        <v>0</v>
      </c>
      <c r="AU36" s="287" t="n">
        <v>0</v>
      </c>
      <c r="AV36" s="287" t="n">
        <v>0</v>
      </c>
      <c r="AW36" s="287" t="n">
        <v>0</v>
      </c>
      <c r="AX36" s="287" t="n">
        <v>0</v>
      </c>
      <c r="AY36" s="287" t="n">
        <v>0</v>
      </c>
      <c r="AZ36" s="287" t="n">
        <v>0</v>
      </c>
      <c r="BA36" s="287" t="n">
        <v>0</v>
      </c>
      <c r="BB36" s="287" t="n">
        <v>0</v>
      </c>
      <c r="BC36" s="287" t="n">
        <v>0</v>
      </c>
      <c r="BD36" s="287" t="n">
        <v>0</v>
      </c>
      <c r="BE36" s="287" t="n">
        <v>0</v>
      </c>
      <c r="BF36" s="287" t="n">
        <v>0</v>
      </c>
      <c r="BG36" s="287" t="n">
        <v>0</v>
      </c>
      <c r="BH36" s="287" t="n">
        <v>0</v>
      </c>
      <c r="BI36" s="287" t="n">
        <v>0</v>
      </c>
      <c r="BJ36" s="287" t="n">
        <v>0</v>
      </c>
      <c r="BK36" s="287" t="n">
        <v>0</v>
      </c>
      <c r="BL36" s="287" t="n">
        <v>0</v>
      </c>
      <c r="BM36" s="287" t="n">
        <v>0</v>
      </c>
      <c r="BN36" s="287" t="n">
        <v>0</v>
      </c>
      <c r="BO36" s="287" t="n">
        <v>0</v>
      </c>
      <c r="BP36" s="287" t="n">
        <v>850</v>
      </c>
      <c r="BQ36" s="287" t="n">
        <v>853</v>
      </c>
      <c r="BR36" s="287" t="n">
        <v>835</v>
      </c>
      <c r="BS36" s="287" t="n">
        <v>819</v>
      </c>
      <c r="BT36" s="287" t="n">
        <v>774</v>
      </c>
      <c r="BU36" s="287" t="n">
        <v>765</v>
      </c>
      <c r="BV36" s="287" t="n">
        <v>750</v>
      </c>
      <c r="BW36" s="287" t="n">
        <v>712</v>
      </c>
      <c r="BX36" s="287" t="n">
        <v>671</v>
      </c>
      <c r="BY36" s="287" t="n">
        <v>647</v>
      </c>
      <c r="BZ36" s="287" t="n">
        <v>629</v>
      </c>
      <c r="CA36" s="287" t="n">
        <v>612</v>
      </c>
    </row>
    <row r="37" customFormat="false" ht="15" hidden="false" customHeight="false" outlineLevel="0" collapsed="false">
      <c r="A37" s="283" t="s">
        <v>242</v>
      </c>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row>
    <row r="38" customFormat="false" ht="15" hidden="false" customHeight="false" outlineLevel="0" collapsed="false">
      <c r="A38" s="285" t="s">
        <v>244</v>
      </c>
      <c r="B38" s="285" t="n">
        <v>0</v>
      </c>
      <c r="C38" s="285" t="n">
        <v>0</v>
      </c>
      <c r="D38" s="285" t="n">
        <v>0</v>
      </c>
      <c r="E38" s="285" t="n">
        <v>0</v>
      </c>
      <c r="F38" s="285" t="n">
        <v>0</v>
      </c>
      <c r="G38" s="285" t="n">
        <v>0</v>
      </c>
      <c r="H38" s="285" t="n">
        <v>0</v>
      </c>
      <c r="I38" s="285" t="n">
        <v>0</v>
      </c>
      <c r="J38" s="285" t="n">
        <v>0</v>
      </c>
      <c r="K38" s="285" t="n">
        <v>0</v>
      </c>
      <c r="L38" s="285" t="n">
        <v>0</v>
      </c>
      <c r="M38" s="285" t="n">
        <v>0</v>
      </c>
      <c r="N38" s="285" t="n">
        <v>0</v>
      </c>
      <c r="O38" s="285" t="n">
        <v>0</v>
      </c>
      <c r="P38" s="285" t="n">
        <v>0</v>
      </c>
      <c r="Q38" s="285" t="n">
        <v>0</v>
      </c>
      <c r="R38" s="285" t="n">
        <v>0</v>
      </c>
      <c r="S38" s="285" t="n">
        <v>0</v>
      </c>
      <c r="T38" s="285" t="n">
        <v>0</v>
      </c>
      <c r="U38" s="285" t="n">
        <v>0</v>
      </c>
      <c r="V38" s="285" t="n">
        <v>0</v>
      </c>
      <c r="W38" s="285" t="n">
        <v>0</v>
      </c>
      <c r="X38" s="285" t="n">
        <v>0</v>
      </c>
      <c r="Y38" s="285" t="n">
        <v>0</v>
      </c>
      <c r="Z38" s="285" t="n">
        <v>0</v>
      </c>
      <c r="AA38" s="285" t="n">
        <v>0</v>
      </c>
      <c r="AB38" s="285" t="n">
        <v>0</v>
      </c>
      <c r="AC38" s="285" t="n">
        <v>0</v>
      </c>
      <c r="AD38" s="285" t="n">
        <v>0</v>
      </c>
      <c r="AE38" s="285" t="n">
        <v>0</v>
      </c>
      <c r="AF38" s="285" t="n">
        <v>0</v>
      </c>
      <c r="AG38" s="285" t="n">
        <v>0</v>
      </c>
      <c r="AH38" s="285" t="n">
        <v>0</v>
      </c>
      <c r="AI38" s="285" t="n">
        <v>0</v>
      </c>
      <c r="AJ38" s="285" t="n">
        <v>0</v>
      </c>
      <c r="AK38" s="285" t="n">
        <v>0</v>
      </c>
      <c r="AL38" s="285" t="n">
        <v>0</v>
      </c>
      <c r="AM38" s="285" t="n">
        <v>0</v>
      </c>
      <c r="AN38" s="285" t="n">
        <v>0</v>
      </c>
      <c r="AO38" s="285" t="n">
        <v>0</v>
      </c>
      <c r="AP38" s="285" t="n">
        <v>0</v>
      </c>
      <c r="AQ38" s="285" t="n">
        <v>0</v>
      </c>
      <c r="AR38" s="285" t="n">
        <v>0</v>
      </c>
      <c r="AS38" s="285" t="n">
        <v>0</v>
      </c>
      <c r="AT38" s="285" t="n">
        <v>0</v>
      </c>
      <c r="AU38" s="285" t="n">
        <v>0</v>
      </c>
      <c r="AV38" s="285" t="n">
        <v>0</v>
      </c>
      <c r="AW38" s="285" t="n">
        <v>0</v>
      </c>
      <c r="AX38" s="285" t="n">
        <v>0</v>
      </c>
      <c r="AY38" s="285" t="n">
        <v>0</v>
      </c>
      <c r="AZ38" s="285" t="n">
        <v>0</v>
      </c>
      <c r="BA38" s="285" t="n">
        <v>0</v>
      </c>
      <c r="BB38" s="285" t="n">
        <v>0</v>
      </c>
      <c r="BC38" s="285" t="n">
        <v>0</v>
      </c>
      <c r="BD38" s="285" t="n">
        <v>0</v>
      </c>
      <c r="BE38" s="285" t="n">
        <v>0</v>
      </c>
      <c r="BF38" s="285" t="n">
        <v>0</v>
      </c>
      <c r="BG38" s="285" t="n">
        <v>0</v>
      </c>
      <c r="BH38" s="285" t="n">
        <v>0</v>
      </c>
      <c r="BI38" s="285" t="n">
        <v>0</v>
      </c>
      <c r="BJ38" s="285" t="n">
        <v>0</v>
      </c>
      <c r="BK38" s="285" t="n">
        <v>0</v>
      </c>
      <c r="BL38" s="285" t="n">
        <v>0</v>
      </c>
      <c r="BM38" s="285" t="n">
        <v>0</v>
      </c>
      <c r="BN38" s="285" t="n">
        <v>0</v>
      </c>
      <c r="BO38" s="285" t="n">
        <v>0</v>
      </c>
      <c r="BP38" s="285" t="n">
        <v>60</v>
      </c>
      <c r="BQ38" s="285" t="n">
        <v>77</v>
      </c>
      <c r="BR38" s="285" t="n">
        <v>98</v>
      </c>
      <c r="BS38" s="285" t="n">
        <v>113</v>
      </c>
      <c r="BT38" s="285" t="n">
        <v>124</v>
      </c>
      <c r="BU38" s="285" t="n">
        <v>133</v>
      </c>
      <c r="BV38" s="285" t="n">
        <v>144</v>
      </c>
      <c r="BW38" s="285" t="n">
        <v>62</v>
      </c>
      <c r="BX38" s="285" t="n">
        <v>28</v>
      </c>
      <c r="BY38" s="285" t="n">
        <v>14</v>
      </c>
      <c r="BZ38" s="285" t="n">
        <v>7</v>
      </c>
      <c r="CA38" s="285" t="n">
        <v>3</v>
      </c>
    </row>
    <row r="39" customFormat="false" ht="15" hidden="false" customHeight="false" outlineLevel="0" collapsed="false">
      <c r="A39" s="285" t="s">
        <v>245</v>
      </c>
      <c r="B39" s="285" t="n">
        <v>0</v>
      </c>
      <c r="C39" s="285" t="n">
        <v>0</v>
      </c>
      <c r="D39" s="285" t="n">
        <v>0</v>
      </c>
      <c r="E39" s="285" t="n">
        <v>0</v>
      </c>
      <c r="F39" s="285" t="n">
        <v>0</v>
      </c>
      <c r="G39" s="285" t="n">
        <v>0</v>
      </c>
      <c r="H39" s="285" t="n">
        <v>0</v>
      </c>
      <c r="I39" s="285" t="n">
        <v>0</v>
      </c>
      <c r="J39" s="285" t="n">
        <v>0</v>
      </c>
      <c r="K39" s="285" t="n">
        <v>0</v>
      </c>
      <c r="L39" s="285" t="n">
        <v>0</v>
      </c>
      <c r="M39" s="285" t="n">
        <v>0</v>
      </c>
      <c r="N39" s="285" t="n">
        <v>0</v>
      </c>
      <c r="O39" s="285" t="n">
        <v>0</v>
      </c>
      <c r="P39" s="285" t="n">
        <v>0</v>
      </c>
      <c r="Q39" s="285" t="n">
        <v>0</v>
      </c>
      <c r="R39" s="285" t="n">
        <v>0</v>
      </c>
      <c r="S39" s="285" t="n">
        <v>0</v>
      </c>
      <c r="T39" s="285" t="n">
        <v>0</v>
      </c>
      <c r="U39" s="285" t="n">
        <v>0</v>
      </c>
      <c r="V39" s="285" t="n">
        <v>0</v>
      </c>
      <c r="W39" s="285" t="n">
        <v>0</v>
      </c>
      <c r="X39" s="285" t="n">
        <v>0</v>
      </c>
      <c r="Y39" s="285" t="n">
        <v>0</v>
      </c>
      <c r="Z39" s="285" t="n">
        <v>0</v>
      </c>
      <c r="AA39" s="285" t="n">
        <v>0</v>
      </c>
      <c r="AB39" s="285" t="n">
        <v>0</v>
      </c>
      <c r="AC39" s="285" t="n">
        <v>0</v>
      </c>
      <c r="AD39" s="285" t="n">
        <v>0</v>
      </c>
      <c r="AE39" s="285" t="n">
        <v>0</v>
      </c>
      <c r="AF39" s="285" t="n">
        <v>0</v>
      </c>
      <c r="AG39" s="285" t="n">
        <v>0</v>
      </c>
      <c r="AH39" s="285" t="n">
        <v>0</v>
      </c>
      <c r="AI39" s="285" t="n">
        <v>0</v>
      </c>
      <c r="AJ39" s="285" t="n">
        <v>0</v>
      </c>
      <c r="AK39" s="285" t="n">
        <v>0</v>
      </c>
      <c r="AL39" s="285" t="n">
        <v>0</v>
      </c>
      <c r="AM39" s="285" t="n">
        <v>0</v>
      </c>
      <c r="AN39" s="285" t="n">
        <v>0</v>
      </c>
      <c r="AO39" s="285" t="n">
        <v>0</v>
      </c>
      <c r="AP39" s="285" t="n">
        <v>0</v>
      </c>
      <c r="AQ39" s="285" t="n">
        <v>0</v>
      </c>
      <c r="AR39" s="285" t="n">
        <v>0</v>
      </c>
      <c r="AS39" s="285" t="n">
        <v>0</v>
      </c>
      <c r="AT39" s="285" t="n">
        <v>0</v>
      </c>
      <c r="AU39" s="285" t="n">
        <v>0</v>
      </c>
      <c r="AV39" s="285" t="n">
        <v>0</v>
      </c>
      <c r="AW39" s="285" t="n">
        <v>0</v>
      </c>
      <c r="AX39" s="285" t="n">
        <v>0</v>
      </c>
      <c r="AY39" s="285" t="n">
        <v>0</v>
      </c>
      <c r="AZ39" s="285" t="n">
        <v>0</v>
      </c>
      <c r="BA39" s="285" t="n">
        <v>0</v>
      </c>
      <c r="BB39" s="285" t="n">
        <v>0</v>
      </c>
      <c r="BC39" s="285" t="n">
        <v>0</v>
      </c>
      <c r="BD39" s="285" t="n">
        <v>0</v>
      </c>
      <c r="BE39" s="285" t="n">
        <v>0</v>
      </c>
      <c r="BF39" s="285" t="n">
        <v>0</v>
      </c>
      <c r="BG39" s="285" t="n">
        <v>0</v>
      </c>
      <c r="BH39" s="285" t="n">
        <v>0</v>
      </c>
      <c r="BI39" s="285" t="n">
        <v>0</v>
      </c>
      <c r="BJ39" s="285" t="n">
        <v>0</v>
      </c>
      <c r="BK39" s="285" t="n">
        <v>0</v>
      </c>
      <c r="BL39" s="285" t="n">
        <v>0</v>
      </c>
      <c r="BM39" s="285" t="n">
        <v>0</v>
      </c>
      <c r="BN39" s="285" t="n">
        <v>0</v>
      </c>
      <c r="BO39" s="285" t="n">
        <v>0</v>
      </c>
      <c r="BP39" s="285" t="n">
        <v>0</v>
      </c>
      <c r="BQ39" s="285" t="n">
        <v>0</v>
      </c>
      <c r="BR39" s="285" t="n">
        <v>0</v>
      </c>
      <c r="BS39" s="285" t="n">
        <v>0</v>
      </c>
      <c r="BT39" s="285" t="n">
        <v>0</v>
      </c>
      <c r="BU39" s="285" t="n">
        <v>0</v>
      </c>
      <c r="BV39" s="285" t="n">
        <v>0</v>
      </c>
      <c r="BW39" s="285" t="n">
        <v>0</v>
      </c>
      <c r="BX39" s="285" t="n">
        <v>0</v>
      </c>
      <c r="BY39" s="285" t="n">
        <v>0</v>
      </c>
      <c r="BZ39" s="285" t="n">
        <v>0</v>
      </c>
      <c r="CA39" s="285" t="n">
        <v>0</v>
      </c>
    </row>
    <row r="40" customFormat="false" ht="15" hidden="false" customHeight="false" outlineLevel="0" collapsed="false">
      <c r="A40" s="285" t="s">
        <v>246</v>
      </c>
      <c r="B40" s="285" t="n">
        <v>0</v>
      </c>
      <c r="C40" s="285" t="n">
        <v>0</v>
      </c>
      <c r="D40" s="285" t="n">
        <v>0</v>
      </c>
      <c r="E40" s="285" t="n">
        <v>0</v>
      </c>
      <c r="F40" s="285" t="n">
        <v>0</v>
      </c>
      <c r="G40" s="285" t="n">
        <v>0</v>
      </c>
      <c r="H40" s="285" t="n">
        <v>0</v>
      </c>
      <c r="I40" s="285" t="n">
        <v>0</v>
      </c>
      <c r="J40" s="285" t="n">
        <v>0</v>
      </c>
      <c r="K40" s="285" t="n">
        <v>0</v>
      </c>
      <c r="L40" s="285" t="n">
        <v>0</v>
      </c>
      <c r="M40" s="285" t="n">
        <v>0</v>
      </c>
      <c r="N40" s="285" t="n">
        <v>0</v>
      </c>
      <c r="O40" s="285" t="n">
        <v>0</v>
      </c>
      <c r="P40" s="285" t="n">
        <v>0</v>
      </c>
      <c r="Q40" s="285" t="n">
        <v>0</v>
      </c>
      <c r="R40" s="285" t="n">
        <v>0</v>
      </c>
      <c r="S40" s="285" t="n">
        <v>0</v>
      </c>
      <c r="T40" s="285" t="n">
        <v>0</v>
      </c>
      <c r="U40" s="285" t="n">
        <v>0</v>
      </c>
      <c r="V40" s="285" t="n">
        <v>0</v>
      </c>
      <c r="W40" s="285" t="n">
        <v>0</v>
      </c>
      <c r="X40" s="285" t="n">
        <v>0</v>
      </c>
      <c r="Y40" s="285" t="n">
        <v>0</v>
      </c>
      <c r="Z40" s="285" t="n">
        <v>0</v>
      </c>
      <c r="AA40" s="285" t="n">
        <v>0</v>
      </c>
      <c r="AB40" s="285" t="n">
        <v>0</v>
      </c>
      <c r="AC40" s="285" t="n">
        <v>0</v>
      </c>
      <c r="AD40" s="285" t="n">
        <v>0</v>
      </c>
      <c r="AE40" s="285" t="n">
        <v>0</v>
      </c>
      <c r="AF40" s="285" t="n">
        <v>0</v>
      </c>
      <c r="AG40" s="285" t="n">
        <v>0</v>
      </c>
      <c r="AH40" s="285" t="n">
        <v>0</v>
      </c>
      <c r="AI40" s="285" t="n">
        <v>0</v>
      </c>
      <c r="AJ40" s="285" t="n">
        <v>0</v>
      </c>
      <c r="AK40" s="285" t="n">
        <v>0</v>
      </c>
      <c r="AL40" s="285" t="n">
        <v>0</v>
      </c>
      <c r="AM40" s="285" t="n">
        <v>0</v>
      </c>
      <c r="AN40" s="285" t="n">
        <v>0</v>
      </c>
      <c r="AO40" s="285" t="n">
        <v>0</v>
      </c>
      <c r="AP40" s="285" t="n">
        <v>0</v>
      </c>
      <c r="AQ40" s="285" t="n">
        <v>0</v>
      </c>
      <c r="AR40" s="285" t="n">
        <v>0</v>
      </c>
      <c r="AS40" s="285" t="n">
        <v>0</v>
      </c>
      <c r="AT40" s="285" t="n">
        <v>0</v>
      </c>
      <c r="AU40" s="285" t="n">
        <v>0</v>
      </c>
      <c r="AV40" s="285" t="n">
        <v>0</v>
      </c>
      <c r="AW40" s="285" t="n">
        <v>0</v>
      </c>
      <c r="AX40" s="285" t="n">
        <v>0</v>
      </c>
      <c r="AY40" s="285" t="n">
        <v>0</v>
      </c>
      <c r="AZ40" s="285" t="n">
        <v>0</v>
      </c>
      <c r="BA40" s="285" t="n">
        <v>0</v>
      </c>
      <c r="BB40" s="285" t="n">
        <v>0</v>
      </c>
      <c r="BC40" s="285" t="n">
        <v>0</v>
      </c>
      <c r="BD40" s="285" t="n">
        <v>0</v>
      </c>
      <c r="BE40" s="285" t="n">
        <v>0</v>
      </c>
      <c r="BF40" s="285" t="n">
        <v>0</v>
      </c>
      <c r="BG40" s="285" t="n">
        <v>0</v>
      </c>
      <c r="BH40" s="285" t="n">
        <v>0</v>
      </c>
      <c r="BI40" s="285" t="n">
        <v>0</v>
      </c>
      <c r="BJ40" s="285" t="n">
        <v>0</v>
      </c>
      <c r="BK40" s="285" t="n">
        <v>0</v>
      </c>
      <c r="BL40" s="285" t="n">
        <v>0</v>
      </c>
      <c r="BM40" s="285" t="n">
        <v>0</v>
      </c>
      <c r="BN40" s="285" t="n">
        <v>0</v>
      </c>
      <c r="BO40" s="285" t="n">
        <v>0</v>
      </c>
      <c r="BP40" s="285" t="n">
        <v>0</v>
      </c>
      <c r="BQ40" s="285" t="n">
        <v>0</v>
      </c>
      <c r="BR40" s="285" t="n">
        <v>0</v>
      </c>
      <c r="BS40" s="285" t="n">
        <v>0</v>
      </c>
      <c r="BT40" s="285" t="n">
        <v>0</v>
      </c>
      <c r="BU40" s="285" t="n">
        <v>0</v>
      </c>
      <c r="BV40" s="285" t="n">
        <v>0</v>
      </c>
      <c r="BW40" s="285" t="n">
        <v>0</v>
      </c>
      <c r="BX40" s="285" t="n">
        <v>0</v>
      </c>
      <c r="BY40" s="285" t="n">
        <v>0</v>
      </c>
      <c r="BZ40" s="285" t="n">
        <v>0</v>
      </c>
      <c r="CA40" s="285" t="n">
        <v>0</v>
      </c>
    </row>
    <row r="41" customFormat="false" ht="15" hidden="false" customHeight="false" outlineLevel="0" collapsed="false">
      <c r="A41" s="286" t="s">
        <v>247</v>
      </c>
      <c r="B41" s="286" t="n">
        <v>0</v>
      </c>
      <c r="C41" s="286" t="n">
        <v>0</v>
      </c>
      <c r="D41" s="286" t="n">
        <v>0</v>
      </c>
      <c r="E41" s="286" t="n">
        <v>0</v>
      </c>
      <c r="F41" s="286" t="n">
        <v>0</v>
      </c>
      <c r="G41" s="286" t="n">
        <v>0</v>
      </c>
      <c r="H41" s="286" t="n">
        <v>0</v>
      </c>
      <c r="I41" s="286" t="n">
        <v>0</v>
      </c>
      <c r="J41" s="286" t="n">
        <v>0</v>
      </c>
      <c r="K41" s="286" t="n">
        <v>0</v>
      </c>
      <c r="L41" s="286" t="n">
        <v>0</v>
      </c>
      <c r="M41" s="286" t="n">
        <v>0</v>
      </c>
      <c r="N41" s="286" t="n">
        <v>0</v>
      </c>
      <c r="O41" s="286" t="n">
        <v>0</v>
      </c>
      <c r="P41" s="286" t="n">
        <v>0</v>
      </c>
      <c r="Q41" s="286" t="n">
        <v>0</v>
      </c>
      <c r="R41" s="286" t="n">
        <v>0</v>
      </c>
      <c r="S41" s="286" t="n">
        <v>0</v>
      </c>
      <c r="T41" s="286" t="n">
        <v>0</v>
      </c>
      <c r="U41" s="286" t="n">
        <v>0</v>
      </c>
      <c r="V41" s="286" t="n">
        <v>0</v>
      </c>
      <c r="W41" s="286" t="n">
        <v>0</v>
      </c>
      <c r="X41" s="286" t="n">
        <v>0</v>
      </c>
      <c r="Y41" s="286" t="n">
        <v>0</v>
      </c>
      <c r="Z41" s="286" t="n">
        <v>0</v>
      </c>
      <c r="AA41" s="286" t="n">
        <v>0</v>
      </c>
      <c r="AB41" s="286" t="n">
        <v>0</v>
      </c>
      <c r="AC41" s="286" t="n">
        <v>0</v>
      </c>
      <c r="AD41" s="286" t="n">
        <v>0</v>
      </c>
      <c r="AE41" s="286" t="n">
        <v>0</v>
      </c>
      <c r="AF41" s="286" t="n">
        <v>0</v>
      </c>
      <c r="AG41" s="286" t="n">
        <v>0</v>
      </c>
      <c r="AH41" s="286" t="n">
        <v>0</v>
      </c>
      <c r="AI41" s="286" t="n">
        <v>0</v>
      </c>
      <c r="AJ41" s="286" t="n">
        <v>0</v>
      </c>
      <c r="AK41" s="286" t="n">
        <v>0</v>
      </c>
      <c r="AL41" s="286" t="n">
        <v>0</v>
      </c>
      <c r="AM41" s="286" t="n">
        <v>0</v>
      </c>
      <c r="AN41" s="286" t="n">
        <v>0</v>
      </c>
      <c r="AO41" s="286" t="n">
        <v>0</v>
      </c>
      <c r="AP41" s="286" t="n">
        <v>0</v>
      </c>
      <c r="AQ41" s="286" t="n">
        <v>0</v>
      </c>
      <c r="AR41" s="286" t="n">
        <v>0</v>
      </c>
      <c r="AS41" s="286" t="n">
        <v>0</v>
      </c>
      <c r="AT41" s="286" t="n">
        <v>0</v>
      </c>
      <c r="AU41" s="286" t="n">
        <v>0</v>
      </c>
      <c r="AV41" s="286" t="n">
        <v>0</v>
      </c>
      <c r="AW41" s="286" t="n">
        <v>0</v>
      </c>
      <c r="AX41" s="286" t="n">
        <v>0</v>
      </c>
      <c r="AY41" s="286" t="n">
        <v>0</v>
      </c>
      <c r="AZ41" s="286" t="n">
        <v>0</v>
      </c>
      <c r="BA41" s="286" t="n">
        <v>0</v>
      </c>
      <c r="BB41" s="286" t="n">
        <v>0</v>
      </c>
      <c r="BC41" s="286" t="n">
        <v>0</v>
      </c>
      <c r="BD41" s="286" t="n">
        <v>0</v>
      </c>
      <c r="BE41" s="286" t="n">
        <v>0</v>
      </c>
      <c r="BF41" s="286" t="n">
        <v>0</v>
      </c>
      <c r="BG41" s="286" t="n">
        <v>0</v>
      </c>
      <c r="BH41" s="286" t="n">
        <v>0</v>
      </c>
      <c r="BI41" s="286" t="n">
        <v>0</v>
      </c>
      <c r="BJ41" s="286" t="n">
        <v>0</v>
      </c>
      <c r="BK41" s="286" t="n">
        <v>0</v>
      </c>
      <c r="BL41" s="286" t="n">
        <v>0</v>
      </c>
      <c r="BM41" s="286" t="n">
        <v>0</v>
      </c>
      <c r="BN41" s="286" t="n">
        <v>0</v>
      </c>
      <c r="BO41" s="286" t="n">
        <v>0</v>
      </c>
      <c r="BP41" s="286" t="n">
        <v>0</v>
      </c>
      <c r="BQ41" s="286" t="n">
        <v>0</v>
      </c>
      <c r="BR41" s="286" t="n">
        <v>0</v>
      </c>
      <c r="BS41" s="286" t="n">
        <v>0</v>
      </c>
      <c r="BT41" s="286" t="n">
        <v>0</v>
      </c>
      <c r="BU41" s="286" t="n">
        <v>0</v>
      </c>
      <c r="BV41" s="286" t="n">
        <v>0</v>
      </c>
      <c r="BW41" s="286" t="n">
        <v>0</v>
      </c>
      <c r="BX41" s="286" t="n">
        <v>0</v>
      </c>
      <c r="BY41" s="286" t="n">
        <v>0</v>
      </c>
      <c r="BZ41" s="286" t="n">
        <v>0</v>
      </c>
      <c r="CA41" s="286" t="n">
        <v>0</v>
      </c>
    </row>
    <row r="42" customFormat="false" ht="15" hidden="false" customHeight="false" outlineLevel="0" collapsed="false">
      <c r="A42" s="287" t="s">
        <v>19</v>
      </c>
      <c r="B42" s="287" t="n">
        <v>0</v>
      </c>
      <c r="C42" s="287" t="n">
        <v>0</v>
      </c>
      <c r="D42" s="287" t="n">
        <v>0</v>
      </c>
      <c r="E42" s="287" t="n">
        <v>0</v>
      </c>
      <c r="F42" s="287" t="n">
        <v>0</v>
      </c>
      <c r="G42" s="287" t="n">
        <v>0</v>
      </c>
      <c r="H42" s="287" t="n">
        <v>0</v>
      </c>
      <c r="I42" s="287" t="n">
        <v>0</v>
      </c>
      <c r="J42" s="287" t="n">
        <v>0</v>
      </c>
      <c r="K42" s="287" t="n">
        <v>0</v>
      </c>
      <c r="L42" s="287" t="n">
        <v>0</v>
      </c>
      <c r="M42" s="287" t="n">
        <v>0</v>
      </c>
      <c r="N42" s="287" t="n">
        <v>0</v>
      </c>
      <c r="O42" s="287" t="n">
        <v>0</v>
      </c>
      <c r="P42" s="287" t="n">
        <v>0</v>
      </c>
      <c r="Q42" s="287" t="n">
        <v>0</v>
      </c>
      <c r="R42" s="287" t="n">
        <v>0</v>
      </c>
      <c r="S42" s="287" t="n">
        <v>0</v>
      </c>
      <c r="T42" s="287" t="n">
        <v>0</v>
      </c>
      <c r="U42" s="287" t="n">
        <v>0</v>
      </c>
      <c r="V42" s="287" t="n">
        <v>0</v>
      </c>
      <c r="W42" s="287" t="n">
        <v>0</v>
      </c>
      <c r="X42" s="287" t="n">
        <v>0</v>
      </c>
      <c r="Y42" s="287" t="n">
        <v>0</v>
      </c>
      <c r="Z42" s="287" t="n">
        <v>0</v>
      </c>
      <c r="AA42" s="287" t="n">
        <v>0</v>
      </c>
      <c r="AB42" s="287" t="n">
        <v>0</v>
      </c>
      <c r="AC42" s="287" t="n">
        <v>0</v>
      </c>
      <c r="AD42" s="287" t="n">
        <v>0</v>
      </c>
      <c r="AE42" s="287" t="n">
        <v>0</v>
      </c>
      <c r="AF42" s="287" t="n">
        <v>0</v>
      </c>
      <c r="AG42" s="287" t="n">
        <v>0</v>
      </c>
      <c r="AH42" s="287" t="n">
        <v>0</v>
      </c>
      <c r="AI42" s="287" t="n">
        <v>0</v>
      </c>
      <c r="AJ42" s="287" t="n">
        <v>0</v>
      </c>
      <c r="AK42" s="287" t="n">
        <v>0</v>
      </c>
      <c r="AL42" s="287" t="n">
        <v>0</v>
      </c>
      <c r="AM42" s="287" t="n">
        <v>0</v>
      </c>
      <c r="AN42" s="287" t="n">
        <v>0</v>
      </c>
      <c r="AO42" s="287" t="n">
        <v>0</v>
      </c>
      <c r="AP42" s="287" t="n">
        <v>0</v>
      </c>
      <c r="AQ42" s="287" t="n">
        <v>0</v>
      </c>
      <c r="AR42" s="287" t="n">
        <v>0</v>
      </c>
      <c r="AS42" s="287" t="n">
        <v>0</v>
      </c>
      <c r="AT42" s="287" t="n">
        <v>0</v>
      </c>
      <c r="AU42" s="287" t="n">
        <v>0</v>
      </c>
      <c r="AV42" s="287" t="n">
        <v>0</v>
      </c>
      <c r="AW42" s="287" t="n">
        <v>0</v>
      </c>
      <c r="AX42" s="287" t="n">
        <v>0</v>
      </c>
      <c r="AY42" s="287" t="n">
        <v>0</v>
      </c>
      <c r="AZ42" s="287" t="n">
        <v>0</v>
      </c>
      <c r="BA42" s="287" t="n">
        <v>0</v>
      </c>
      <c r="BB42" s="287" t="n">
        <v>0</v>
      </c>
      <c r="BC42" s="287" t="n">
        <v>0</v>
      </c>
      <c r="BD42" s="287" t="n">
        <v>0</v>
      </c>
      <c r="BE42" s="287" t="n">
        <v>0</v>
      </c>
      <c r="BF42" s="287" t="n">
        <v>0</v>
      </c>
      <c r="BG42" s="287" t="n">
        <v>0</v>
      </c>
      <c r="BH42" s="287" t="n">
        <v>0</v>
      </c>
      <c r="BI42" s="287" t="n">
        <v>0</v>
      </c>
      <c r="BJ42" s="287" t="n">
        <v>0</v>
      </c>
      <c r="BK42" s="287" t="n">
        <v>0</v>
      </c>
      <c r="BL42" s="287" t="n">
        <v>0</v>
      </c>
      <c r="BM42" s="287" t="n">
        <v>0</v>
      </c>
      <c r="BN42" s="287" t="n">
        <v>0</v>
      </c>
      <c r="BO42" s="287" t="n">
        <v>0</v>
      </c>
      <c r="BP42" s="287" t="n">
        <v>60</v>
      </c>
      <c r="BQ42" s="287" t="n">
        <v>77</v>
      </c>
      <c r="BR42" s="287" t="n">
        <v>98</v>
      </c>
      <c r="BS42" s="287" t="n">
        <v>113</v>
      </c>
      <c r="BT42" s="287" t="n">
        <v>124</v>
      </c>
      <c r="BU42" s="287" t="n">
        <v>133</v>
      </c>
      <c r="BV42" s="287" t="n">
        <v>144</v>
      </c>
      <c r="BW42" s="287" t="n">
        <v>62</v>
      </c>
      <c r="BX42" s="287" t="n">
        <v>28</v>
      </c>
      <c r="BY42" s="287" t="n">
        <v>14</v>
      </c>
      <c r="BZ42" s="287" t="n">
        <v>7</v>
      </c>
      <c r="CA42" s="287" t="n">
        <v>3</v>
      </c>
    </row>
    <row r="43" customFormat="false" ht="15" hidden="false" customHeight="false" outlineLevel="0" collapsed="false">
      <c r="A43" s="283" t="s">
        <v>19</v>
      </c>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row>
    <row r="44" customFormat="false" ht="15" hidden="false" customHeight="false" outlineLevel="0" collapsed="false">
      <c r="A44" s="285" t="s">
        <v>244</v>
      </c>
      <c r="B44" s="285" t="n">
        <f aca="false">SUM(B20,B26,B32,B38)</f>
        <v>20445</v>
      </c>
      <c r="C44" s="285" t="n">
        <f aca="false">SUM(C20,C26,C32,C38)</f>
        <v>24887</v>
      </c>
      <c r="D44" s="285" t="n">
        <f aca="false">SUM(D20,D26,D32,D38)</f>
        <v>26298</v>
      </c>
      <c r="E44" s="285" t="n">
        <f aca="false">SUM(E20,E26,E32,E38)</f>
        <v>27240</v>
      </c>
      <c r="F44" s="285" t="n">
        <f aca="false">SUM(F20,F26,F32,F38)</f>
        <v>27862</v>
      </c>
      <c r="G44" s="285" t="n">
        <f aca="false">SUM(G20,G26,G32,G38)</f>
        <v>26198</v>
      </c>
      <c r="H44" s="285" t="n">
        <f aca="false">SUM(H20,H26,H32,H38)</f>
        <v>24643</v>
      </c>
      <c r="I44" s="285" t="n">
        <f aca="false">SUM(I20,I26,I32,I38)</f>
        <v>22163</v>
      </c>
      <c r="J44" s="285" t="n">
        <f aca="false">SUM(J20,J26,J32,J38)</f>
        <v>23442</v>
      </c>
      <c r="K44" s="285" t="n">
        <f aca="false">SUM(K20,K26,K32,K38)</f>
        <v>30064</v>
      </c>
      <c r="L44" s="285" t="n">
        <f aca="false">SUM(L20,L26,L32,L38)</f>
        <v>30255</v>
      </c>
      <c r="M44" s="285" t="n">
        <f aca="false">SUM(M20,M26,M32,M38)</f>
        <v>30196</v>
      </c>
      <c r="N44" s="285" t="n">
        <f aca="false">SUM(N20,N26,N32,N38)</f>
        <v>30047</v>
      </c>
      <c r="O44" s="285" t="n">
        <f aca="false">SUM(O20,O26,O32,O38)</f>
        <v>30130</v>
      </c>
      <c r="P44" s="285" t="n">
        <f aca="false">SUM(P20,P26,P32,P38)</f>
        <v>31193</v>
      </c>
      <c r="Q44" s="285" t="n">
        <f aca="false">SUM(Q20,Q26,Q32,Q38)</f>
        <v>33574</v>
      </c>
      <c r="R44" s="285" t="n">
        <f aca="false">SUM(R20,R26,R32,R38)</f>
        <v>34978</v>
      </c>
      <c r="S44" s="285" t="n">
        <f aca="false">SUM(S20,S26,S32,S38)</f>
        <v>35736</v>
      </c>
      <c r="T44" s="285" t="n">
        <f aca="false">SUM(T20,T26,T32,T38)</f>
        <v>37718</v>
      </c>
      <c r="U44" s="285" t="n">
        <f aca="false">SUM(U20,U26,U32,U38)</f>
        <v>39427</v>
      </c>
      <c r="V44" s="285" t="n">
        <f aca="false">SUM(V20,V26,V32,V38)</f>
        <v>39767</v>
      </c>
      <c r="W44" s="285" t="n">
        <f aca="false">SUM(W20,W26,W32,W38)</f>
        <v>36933</v>
      </c>
      <c r="X44" s="285" t="n">
        <f aca="false">SUM(X20,X26,X32,X38)</f>
        <v>36194</v>
      </c>
      <c r="Y44" s="285" t="n">
        <f aca="false">SUM(Y20,Y26,Y32,Y38)</f>
        <v>35881</v>
      </c>
      <c r="Z44" s="285" t="n">
        <f aca="false">SUM(Z20,Z26,Z32,Z38)</f>
        <v>36746</v>
      </c>
      <c r="AA44" s="285" t="n">
        <f aca="false">SUM(AA20,AA26,AA32,AA38)</f>
        <v>37367</v>
      </c>
      <c r="AB44" s="285" t="n">
        <f aca="false">SUM(AB20,AB26,AB32,AB38)</f>
        <v>38315</v>
      </c>
      <c r="AC44" s="285" t="n">
        <f aca="false">SUM(AC20,AC26,AC32,AC38)</f>
        <v>38940</v>
      </c>
      <c r="AD44" s="285" t="n">
        <f aca="false">SUM(AD20,AD26,AD32,AD38)</f>
        <v>37715</v>
      </c>
      <c r="AE44" s="285" t="n">
        <f aca="false">SUM(AE20,AE26,AE32,AE38)</f>
        <v>34263</v>
      </c>
      <c r="AF44" s="285" t="n">
        <f aca="false">SUM(AF20,AF26,AF32,AF38)</f>
        <v>33237</v>
      </c>
      <c r="AG44" s="285" t="n">
        <f aca="false">SUM(AG20,AG26,AG32,AG38)</f>
        <v>34585</v>
      </c>
      <c r="AH44" s="285" t="n">
        <f aca="false">SUM(AH20,AH26,AH32,AH38)</f>
        <v>35453</v>
      </c>
      <c r="AI44" s="285" t="n">
        <f aca="false">SUM(AI20,AI26,AI32,AI38)</f>
        <v>36490</v>
      </c>
      <c r="AJ44" s="285" t="n">
        <f aca="false">SUM(AJ20,AJ26,AJ32,AJ38)</f>
        <v>36401</v>
      </c>
      <c r="AK44" s="285" t="n">
        <f aca="false">SUM(AK20,AK26,AK32,AK38)</f>
        <v>35566</v>
      </c>
      <c r="AL44" s="285" t="n">
        <f aca="false">SUM(AL20,AL26,AL32,AL38)</f>
        <v>35574</v>
      </c>
      <c r="AM44" s="285" t="n">
        <f aca="false">SUM(AM20,AM26,AM32,AM38)</f>
        <v>34858</v>
      </c>
      <c r="AN44" s="285" t="n">
        <f aca="false">SUM(AN20,AN26,AN32,AN38)</f>
        <v>34677</v>
      </c>
      <c r="AO44" s="285" t="n">
        <f aca="false">SUM(AO20,AO26,AO32,AO38)</f>
        <v>34778</v>
      </c>
      <c r="AP44" s="285" t="n">
        <f aca="false">SUM(AP20,AP26,AP32,AP38)</f>
        <v>35851</v>
      </c>
      <c r="AQ44" s="285" t="n">
        <f aca="false">SUM(AQ20,AQ26,AQ32,AQ38)</f>
        <v>36272</v>
      </c>
      <c r="AR44" s="285" t="n">
        <f aca="false">SUM(AR20,AR26,AR32,AR38)</f>
        <v>0</v>
      </c>
      <c r="AS44" s="285" t="n">
        <f aca="false">SUM(AS20,AS26,AS32,AS38)</f>
        <v>0</v>
      </c>
      <c r="AT44" s="285" t="n">
        <f aca="false">SUM(AT20,AT26,AT32,AT38)</f>
        <v>0</v>
      </c>
      <c r="AU44" s="285" t="n">
        <f aca="false">SUM(AU20,AU26,AU32,AU38)</f>
        <v>0</v>
      </c>
      <c r="AV44" s="285" t="n">
        <f aca="false">SUM(AV20,AV26,AV32,AV38)</f>
        <v>0</v>
      </c>
      <c r="AW44" s="285" t="n">
        <f aca="false">SUM(AW20,AW26,AW32,AW38)</f>
        <v>0</v>
      </c>
      <c r="AX44" s="285" t="n">
        <f aca="false">SUM(AX20,AX26,AX32,AX38)</f>
        <v>0</v>
      </c>
      <c r="AY44" s="285" t="n">
        <f aca="false">SUM(AY20,AY26,AY32,AY38)</f>
        <v>0</v>
      </c>
      <c r="AZ44" s="285" t="n">
        <f aca="false">SUM(AZ20,AZ26,AZ32,AZ38)</f>
        <v>0</v>
      </c>
      <c r="BA44" s="285" t="n">
        <f aca="false">SUM(BA20,BA26,BA32,BA38)</f>
        <v>0</v>
      </c>
      <c r="BB44" s="285" t="n">
        <f aca="false">SUM(BB20,BB26,BB32,BB38)</f>
        <v>0</v>
      </c>
      <c r="BC44" s="285" t="n">
        <f aca="false">SUM(BC20,BC26,BC32,BC38)</f>
        <v>0</v>
      </c>
      <c r="BD44" s="285" t="n">
        <f aca="false">SUM(BD20,BD26,BD32,BD38)</f>
        <v>0</v>
      </c>
      <c r="BE44" s="285" t="n">
        <f aca="false">SUM(BE20,BE26,BE32,BE38)</f>
        <v>0</v>
      </c>
      <c r="BF44" s="285" t="n">
        <f aca="false">SUM(BF20,BF26,BF32,BF38)</f>
        <v>0</v>
      </c>
      <c r="BG44" s="285" t="n">
        <f aca="false">SUM(BG20,BG26,BG32,BG38)</f>
        <v>0</v>
      </c>
      <c r="BH44" s="285" t="n">
        <f aca="false">SUM(BH20,BH26,BH32,BH38)</f>
        <v>0</v>
      </c>
      <c r="BI44" s="285" t="n">
        <f aca="false">SUM(BI20,BI26,BI32,BI38)</f>
        <v>0</v>
      </c>
      <c r="BJ44" s="285" t="n">
        <f aca="false">SUM(BJ20,BJ26,BJ32,BJ38)</f>
        <v>0</v>
      </c>
      <c r="BK44" s="285" t="n">
        <f aca="false">SUM(BK20,BK26,BK32,BK38)</f>
        <v>0</v>
      </c>
      <c r="BL44" s="285" t="n">
        <f aca="false">SUM(BL20,BL26,BL32,BL38)</f>
        <v>0</v>
      </c>
      <c r="BM44" s="285" t="n">
        <f aca="false">SUM(BM20,BM26,BM32,BM38)</f>
        <v>0</v>
      </c>
      <c r="BN44" s="285" t="n">
        <f aca="false">SUM(BN20,BN26,BN32,BN38)</f>
        <v>0</v>
      </c>
      <c r="BO44" s="285" t="n">
        <f aca="false">SUM(BO20,BO26,BO32,BO38)</f>
        <v>0</v>
      </c>
      <c r="BP44" s="285" t="n">
        <f aca="false">SUM(BP20,BP26,BP32,BP38)</f>
        <v>57525</v>
      </c>
      <c r="BQ44" s="285" t="n">
        <f aca="false">SUM(BQ20,BQ26,BQ32,BQ38)</f>
        <v>60652</v>
      </c>
      <c r="BR44" s="285" t="n">
        <f aca="false">SUM(BR20,BR26,BR32,BR38)</f>
        <v>60919</v>
      </c>
      <c r="BS44" s="285" t="n">
        <f aca="false">SUM(BS20,BS26,BS32,BS38)</f>
        <v>61028</v>
      </c>
      <c r="BT44" s="285" t="n">
        <f aca="false">SUM(BT20,BT26,BT32,BT38)</f>
        <v>65350</v>
      </c>
      <c r="BU44" s="285" t="n">
        <f aca="false">SUM(BU20,BU26,BU32,BU38)</f>
        <v>63717</v>
      </c>
      <c r="BV44" s="285" t="n">
        <f aca="false">SUM(BV20,BV26,BV32,BV38)</f>
        <v>68509</v>
      </c>
      <c r="BW44" s="285" t="n">
        <f aca="false">SUM(BW20,BW26,BW32,BW38)</f>
        <v>65533</v>
      </c>
      <c r="BX44" s="285" t="n">
        <f aca="false">SUM(BX20,BX26,BX32,BX38)</f>
        <v>62077</v>
      </c>
      <c r="BY44" s="285" t="n">
        <f aca="false">SUM(BY20,BY26,BY32,BY38)</f>
        <v>59868</v>
      </c>
      <c r="BZ44" s="285" t="n">
        <f aca="false">SUM(BZ20,BZ26,BZ32,BZ38)</f>
        <v>56599</v>
      </c>
      <c r="CA44" s="285" t="n">
        <f aca="false">SUM(CA20,CA26,CA32,CA38)</f>
        <v>54564</v>
      </c>
    </row>
    <row r="45" customFormat="false" ht="15" hidden="false" customHeight="false" outlineLevel="0" collapsed="false">
      <c r="A45" s="285" t="s">
        <v>245</v>
      </c>
      <c r="B45" s="285" t="n">
        <f aca="false">SUM(B21,B27,B33,B39)</f>
        <v>954</v>
      </c>
      <c r="C45" s="285" t="n">
        <f aca="false">SUM(C21,C27,C33,C39)</f>
        <v>926</v>
      </c>
      <c r="D45" s="285" t="n">
        <f aca="false">SUM(D21,D27,D33,D39)</f>
        <v>948</v>
      </c>
      <c r="E45" s="285" t="n">
        <f aca="false">SUM(E21,E27,E33,E39)</f>
        <v>949</v>
      </c>
      <c r="F45" s="285" t="n">
        <f aca="false">SUM(F21,F27,F33,F39)</f>
        <v>962</v>
      </c>
      <c r="G45" s="285" t="n">
        <f aca="false">SUM(G21,G27,G33,G39)</f>
        <v>966</v>
      </c>
      <c r="H45" s="285" t="n">
        <f aca="false">SUM(H21,H27,H33,H39)</f>
        <v>957</v>
      </c>
      <c r="I45" s="285" t="n">
        <f aca="false">SUM(I21,I27,I33,I39)</f>
        <v>984</v>
      </c>
      <c r="J45" s="285" t="n">
        <f aca="false">SUM(J21,J27,J33,J39)</f>
        <v>940</v>
      </c>
      <c r="K45" s="285" t="n">
        <f aca="false">SUM(K21,K27,K33,K39)</f>
        <v>894</v>
      </c>
      <c r="L45" s="285" t="n">
        <f aca="false">SUM(L21,L27,L33,L39)</f>
        <v>870</v>
      </c>
      <c r="M45" s="285" t="n">
        <f aca="false">SUM(M21,M27,M33,M39)</f>
        <v>893</v>
      </c>
      <c r="N45" s="285" t="n">
        <f aca="false">SUM(N21,N27,N33,N39)</f>
        <v>960</v>
      </c>
      <c r="O45" s="285" t="n">
        <f aca="false">SUM(O21,O27,O33,O39)</f>
        <v>973</v>
      </c>
      <c r="P45" s="285" t="n">
        <f aca="false">SUM(P21,P27,P33,P39)</f>
        <v>966</v>
      </c>
      <c r="Q45" s="285" t="n">
        <f aca="false">SUM(Q21,Q27,Q33,Q39)</f>
        <v>1005</v>
      </c>
      <c r="R45" s="285" t="n">
        <f aca="false">SUM(R21,R27,R33,R39)</f>
        <v>1076</v>
      </c>
      <c r="S45" s="285" t="n">
        <f aca="false">SUM(S21,S27,S33,S39)</f>
        <v>1094</v>
      </c>
      <c r="T45" s="285" t="n">
        <f aca="false">SUM(T21,T27,T33,T39)</f>
        <v>1124</v>
      </c>
      <c r="U45" s="285" t="n">
        <f aca="false">SUM(U21,U27,U33,U39)</f>
        <v>1164</v>
      </c>
      <c r="V45" s="285" t="n">
        <f aca="false">SUM(V21,V27,V33,V39)</f>
        <v>1226</v>
      </c>
      <c r="W45" s="285" t="n">
        <f aca="false">SUM(W21,W27,W33,W39)</f>
        <v>1262</v>
      </c>
      <c r="X45" s="285" t="n">
        <f aca="false">SUM(X21,X27,X33,X39)</f>
        <v>1315</v>
      </c>
      <c r="Y45" s="285" t="n">
        <f aca="false">SUM(Y21,Y27,Y33,Y39)</f>
        <v>1410</v>
      </c>
      <c r="Z45" s="285" t="n">
        <f aca="false">SUM(Z21,Z27,Z33,Z39)</f>
        <v>1613</v>
      </c>
      <c r="AA45" s="285" t="n">
        <f aca="false">SUM(AA21,AA27,AA33,AA39)</f>
        <v>1638</v>
      </c>
      <c r="AB45" s="285" t="n">
        <f aca="false">SUM(AB21,AB27,AB33,AB39)</f>
        <v>1698</v>
      </c>
      <c r="AC45" s="285" t="n">
        <f aca="false">SUM(AC21,AC27,AC33,AC39)</f>
        <v>1726</v>
      </c>
      <c r="AD45" s="285" t="n">
        <f aca="false">SUM(AD21,AD27,AD33,AD39)</f>
        <v>1906</v>
      </c>
      <c r="AE45" s="285" t="n">
        <f aca="false">SUM(AE21,AE27,AE33,AE39)</f>
        <v>2027</v>
      </c>
      <c r="AF45" s="285" t="n">
        <f aca="false">SUM(AF21,AF27,AF33,AF39)</f>
        <v>2209</v>
      </c>
      <c r="AG45" s="285" t="n">
        <f aca="false">SUM(AG21,AG27,AG33,AG39)</f>
        <v>2237</v>
      </c>
      <c r="AH45" s="285" t="n">
        <f aca="false">SUM(AH21,AH27,AH33,AH39)</f>
        <v>2258</v>
      </c>
      <c r="AI45" s="285" t="n">
        <f aca="false">SUM(AI21,AI27,AI33,AI39)</f>
        <v>2142</v>
      </c>
      <c r="AJ45" s="285" t="n">
        <f aca="false">SUM(AJ21,AJ27,AJ33,AJ39)</f>
        <v>2225</v>
      </c>
      <c r="AK45" s="285" t="n">
        <f aca="false">SUM(AK21,AK27,AK33,AK39)</f>
        <v>2225</v>
      </c>
      <c r="AL45" s="285" t="n">
        <f aca="false">SUM(AL21,AL27,AL33,AL39)</f>
        <v>2274</v>
      </c>
      <c r="AM45" s="285" t="n">
        <f aca="false">SUM(AM21,AM27,AM33,AM39)</f>
        <v>2322</v>
      </c>
      <c r="AN45" s="285" t="n">
        <f aca="false">SUM(AN21,AN27,AN33,AN39)</f>
        <v>2309</v>
      </c>
      <c r="AO45" s="285" t="n">
        <f aca="false">SUM(AO21,AO27,AO33,AO39)</f>
        <v>2197</v>
      </c>
      <c r="AP45" s="285" t="n">
        <f aca="false">SUM(AP21,AP27,AP33,AP39)</f>
        <v>2199</v>
      </c>
      <c r="AQ45" s="285" t="n">
        <f aca="false">SUM(AQ21,AQ27,AQ33,AQ39)</f>
        <v>2214</v>
      </c>
      <c r="AR45" s="285" t="n">
        <f aca="false">SUM(AR21,AR27,AR33,AR39)</f>
        <v>0</v>
      </c>
      <c r="AS45" s="285" t="n">
        <f aca="false">SUM(AS21,AS27,AS33,AS39)</f>
        <v>0</v>
      </c>
      <c r="AT45" s="285" t="n">
        <f aca="false">SUM(AT21,AT27,AT33,AT39)</f>
        <v>0</v>
      </c>
      <c r="AU45" s="285" t="n">
        <f aca="false">SUM(AU21,AU27,AU33,AU39)</f>
        <v>0</v>
      </c>
      <c r="AV45" s="285" t="n">
        <f aca="false">SUM(AV21,AV27,AV33,AV39)</f>
        <v>0</v>
      </c>
      <c r="AW45" s="285" t="n">
        <f aca="false">SUM(AW21,AW27,AW33,AW39)</f>
        <v>0</v>
      </c>
      <c r="AX45" s="285" t="n">
        <f aca="false">SUM(AX21,AX27,AX33,AX39)</f>
        <v>0</v>
      </c>
      <c r="AY45" s="285" t="n">
        <f aca="false">SUM(AY21,AY27,AY33,AY39)</f>
        <v>0</v>
      </c>
      <c r="AZ45" s="285" t="n">
        <f aca="false">SUM(AZ21,AZ27,AZ33,AZ39)</f>
        <v>0</v>
      </c>
      <c r="BA45" s="285" t="n">
        <f aca="false">SUM(BA21,BA27,BA33,BA39)</f>
        <v>0</v>
      </c>
      <c r="BB45" s="285" t="n">
        <f aca="false">SUM(BB21,BB27,BB33,BB39)</f>
        <v>0</v>
      </c>
      <c r="BC45" s="285" t="n">
        <f aca="false">SUM(BC21,BC27,BC33,BC39)</f>
        <v>0</v>
      </c>
      <c r="BD45" s="285" t="n">
        <f aca="false">SUM(BD21,BD27,BD33,BD39)</f>
        <v>0</v>
      </c>
      <c r="BE45" s="285" t="n">
        <f aca="false">SUM(BE21,BE27,BE33,BE39)</f>
        <v>0</v>
      </c>
      <c r="BF45" s="285" t="n">
        <f aca="false">SUM(BF21,BF27,BF33,BF39)</f>
        <v>0</v>
      </c>
      <c r="BG45" s="285" t="n">
        <f aca="false">SUM(BG21,BG27,BG33,BG39)</f>
        <v>0</v>
      </c>
      <c r="BH45" s="285" t="n">
        <f aca="false">SUM(BH21,BH27,BH33,BH39)</f>
        <v>0</v>
      </c>
      <c r="BI45" s="285" t="n">
        <f aca="false">SUM(BI21,BI27,BI33,BI39)</f>
        <v>0</v>
      </c>
      <c r="BJ45" s="285" t="n">
        <f aca="false">SUM(BJ21,BJ27,BJ33,BJ39)</f>
        <v>0</v>
      </c>
      <c r="BK45" s="285" t="n">
        <f aca="false">SUM(BK21,BK27,BK33,BK39)</f>
        <v>0</v>
      </c>
      <c r="BL45" s="285" t="n">
        <f aca="false">SUM(BL21,BL27,BL33,BL39)</f>
        <v>0</v>
      </c>
      <c r="BM45" s="285" t="n">
        <f aca="false">SUM(BM21,BM27,BM33,BM39)</f>
        <v>0</v>
      </c>
      <c r="BN45" s="285" t="n">
        <f aca="false">SUM(BN21,BN27,BN33,BN39)</f>
        <v>0</v>
      </c>
      <c r="BO45" s="285" t="n">
        <f aca="false">SUM(BO21,BO27,BO33,BO39)</f>
        <v>0</v>
      </c>
      <c r="BP45" s="285" t="n">
        <f aca="false">SUM(BP21,BP27,BP33,BP39)</f>
        <v>6333</v>
      </c>
      <c r="BQ45" s="285" t="n">
        <f aca="false">SUM(BQ21,BQ27,BQ33,BQ39)</f>
        <v>5958</v>
      </c>
      <c r="BR45" s="285" t="n">
        <f aca="false">SUM(BR21,BR27,BR33,BR39)</f>
        <v>5584</v>
      </c>
      <c r="BS45" s="285" t="n">
        <f aca="false">SUM(BS21,BS27,BS33,BS39)</f>
        <v>5440</v>
      </c>
      <c r="BT45" s="285" t="n">
        <f aca="false">SUM(BT21,BT27,BT33,BT39)</f>
        <v>5390</v>
      </c>
      <c r="BU45" s="285" t="n">
        <f aca="false">SUM(BU21,BU27,BU33,BU39)</f>
        <v>5387</v>
      </c>
      <c r="BV45" s="285" t="n">
        <f aca="false">SUM(BV21,BV27,BV33,BV39)</f>
        <v>5244</v>
      </c>
      <c r="BW45" s="285" t="n">
        <f aca="false">SUM(BW21,BW27,BW33,BW39)</f>
        <v>4848</v>
      </c>
      <c r="BX45" s="285" t="n">
        <f aca="false">SUM(BX21,BX27,BX33,BX39)</f>
        <v>4822</v>
      </c>
      <c r="BY45" s="285" t="n">
        <f aca="false">SUM(BY21,BY27,BY33,BY39)</f>
        <v>4919</v>
      </c>
      <c r="BZ45" s="285" t="n">
        <f aca="false">SUM(BZ21,BZ27,BZ33,BZ39)</f>
        <v>5213</v>
      </c>
      <c r="CA45" s="285" t="n">
        <f aca="false">SUM(CA21,CA27,CA33,CA39)</f>
        <v>5519</v>
      </c>
    </row>
    <row r="46" customFormat="false" ht="15" hidden="false" customHeight="false" outlineLevel="0" collapsed="false">
      <c r="A46" s="285" t="s">
        <v>246</v>
      </c>
      <c r="B46" s="285" t="n">
        <f aca="false">SUM(B22,B28,B34,B40)</f>
        <v>257</v>
      </c>
      <c r="C46" s="285" t="n">
        <f aca="false">SUM(C22,C28,C34,C40)</f>
        <v>250</v>
      </c>
      <c r="D46" s="285" t="n">
        <f aca="false">SUM(D22,D28,D34,D40)</f>
        <v>250</v>
      </c>
      <c r="E46" s="285" t="n">
        <f aca="false">SUM(E22,E28,E34,E40)</f>
        <v>239</v>
      </c>
      <c r="F46" s="285" t="n">
        <f aca="false">SUM(F22,F28,F34,F40)</f>
        <v>227</v>
      </c>
      <c r="G46" s="285" t="n">
        <f aca="false">SUM(G22,G28,G34,G40)</f>
        <v>221</v>
      </c>
      <c r="H46" s="285" t="n">
        <f aca="false">SUM(H22,H28,H34,H40)</f>
        <v>238</v>
      </c>
      <c r="I46" s="285" t="n">
        <f aca="false">SUM(I22,I28,I34,I40)</f>
        <v>243</v>
      </c>
      <c r="J46" s="285" t="n">
        <f aca="false">SUM(J22,J28,J34,J40)</f>
        <v>248</v>
      </c>
      <c r="K46" s="285" t="n">
        <f aca="false">SUM(K22,K28,K34,K40)</f>
        <v>234</v>
      </c>
      <c r="L46" s="285" t="n">
        <f aca="false">SUM(L22,L28,L34,L40)</f>
        <v>236</v>
      </c>
      <c r="M46" s="285" t="n">
        <f aca="false">SUM(M22,M28,M34,M40)</f>
        <v>246</v>
      </c>
      <c r="N46" s="285" t="n">
        <f aca="false">SUM(N22,N28,N34,N40)</f>
        <v>242</v>
      </c>
      <c r="O46" s="285" t="n">
        <f aca="false">SUM(O22,O28,O34,O40)</f>
        <v>232</v>
      </c>
      <c r="P46" s="285" t="n">
        <f aca="false">SUM(P22,P28,P34,P40)</f>
        <v>223</v>
      </c>
      <c r="Q46" s="285" t="n">
        <f aca="false">SUM(Q22,Q28,Q34,Q40)</f>
        <v>220</v>
      </c>
      <c r="R46" s="285" t="n">
        <f aca="false">SUM(R22,R28,R34,R40)</f>
        <v>235</v>
      </c>
      <c r="S46" s="285" t="n">
        <f aca="false">SUM(S22,S28,S34,S40)</f>
        <v>238</v>
      </c>
      <c r="T46" s="285" t="n">
        <f aca="false">SUM(T22,T28,T34,T40)</f>
        <v>256</v>
      </c>
      <c r="U46" s="285" t="n">
        <f aca="false">SUM(U22,U28,U34,U40)</f>
        <v>265</v>
      </c>
      <c r="V46" s="285" t="n">
        <f aca="false">SUM(V22,V28,V34,V40)</f>
        <v>278</v>
      </c>
      <c r="W46" s="285" t="n">
        <f aca="false">SUM(W22,W28,W34,W40)</f>
        <v>274</v>
      </c>
      <c r="X46" s="285" t="n">
        <f aca="false">SUM(X22,X28,X34,X40)</f>
        <v>264</v>
      </c>
      <c r="Y46" s="285" t="n">
        <f aca="false">SUM(Y22,Y28,Y34,Y40)</f>
        <v>264</v>
      </c>
      <c r="Z46" s="285" t="n">
        <f aca="false">SUM(Z22,Z28,Z34,Z40)</f>
        <v>282</v>
      </c>
      <c r="AA46" s="285" t="n">
        <f aca="false">SUM(AA22,AA28,AA34,AA40)</f>
        <v>293</v>
      </c>
      <c r="AB46" s="285" t="n">
        <f aca="false">SUM(AB22,AB28,AB34,AB40)</f>
        <v>305</v>
      </c>
      <c r="AC46" s="285" t="n">
        <f aca="false">SUM(AC22,AC28,AC34,AC40)</f>
        <v>321</v>
      </c>
      <c r="AD46" s="285" t="n">
        <f aca="false">SUM(AD22,AD28,AD34,AD40)</f>
        <v>327</v>
      </c>
      <c r="AE46" s="285" t="n">
        <f aca="false">SUM(AE22,AE28,AE34,AE40)</f>
        <v>357</v>
      </c>
      <c r="AF46" s="285" t="n">
        <f aca="false">SUM(AF22,AF28,AF34,AF40)</f>
        <v>370</v>
      </c>
      <c r="AG46" s="285" t="n">
        <f aca="false">SUM(AG22,AG28,AG34,AG40)</f>
        <v>371</v>
      </c>
      <c r="AH46" s="285" t="n">
        <f aca="false">SUM(AH22,AH28,AH34,AH40)</f>
        <v>388</v>
      </c>
      <c r="AI46" s="285" t="n">
        <f aca="false">SUM(AI22,AI28,AI34,AI40)</f>
        <v>396</v>
      </c>
      <c r="AJ46" s="285" t="n">
        <f aca="false">SUM(AJ22,AJ28,AJ34,AJ40)</f>
        <v>418</v>
      </c>
      <c r="AK46" s="285" t="n">
        <f aca="false">SUM(AK22,AK28,AK34,AK40)</f>
        <v>424</v>
      </c>
      <c r="AL46" s="285" t="n">
        <f aca="false">SUM(AL22,AL28,AL34,AL40)</f>
        <v>463</v>
      </c>
      <c r="AM46" s="285" t="n">
        <f aca="false">SUM(AM22,AM28,AM34,AM40)</f>
        <v>462</v>
      </c>
      <c r="AN46" s="285" t="n">
        <f aca="false">SUM(AN22,AN28,AN34,AN40)</f>
        <v>477</v>
      </c>
      <c r="AO46" s="285" t="n">
        <f aca="false">SUM(AO22,AO28,AO34,AO40)</f>
        <v>469</v>
      </c>
      <c r="AP46" s="285" t="n">
        <f aca="false">SUM(AP22,AP28,AP34,AP40)</f>
        <v>485</v>
      </c>
      <c r="AQ46" s="285" t="n">
        <f aca="false">SUM(AQ22,AQ28,AQ34,AQ40)</f>
        <v>502</v>
      </c>
      <c r="AR46" s="285" t="n">
        <f aca="false">SUM(AR22,AR28,AR34,AR40)</f>
        <v>0</v>
      </c>
      <c r="AS46" s="285" t="n">
        <f aca="false">SUM(AS22,AS28,AS34,AS40)</f>
        <v>0</v>
      </c>
      <c r="AT46" s="285" t="n">
        <f aca="false">SUM(AT22,AT28,AT34,AT40)</f>
        <v>0</v>
      </c>
      <c r="AU46" s="285" t="n">
        <f aca="false">SUM(AU22,AU28,AU34,AU40)</f>
        <v>0</v>
      </c>
      <c r="AV46" s="285" t="n">
        <f aca="false">SUM(AV22,AV28,AV34,AV40)</f>
        <v>0</v>
      </c>
      <c r="AW46" s="285" t="n">
        <f aca="false">SUM(AW22,AW28,AW34,AW40)</f>
        <v>0</v>
      </c>
      <c r="AX46" s="285" t="n">
        <f aca="false">SUM(AX22,AX28,AX34,AX40)</f>
        <v>0</v>
      </c>
      <c r="AY46" s="285" t="n">
        <f aca="false">SUM(AY22,AY28,AY34,AY40)</f>
        <v>0</v>
      </c>
      <c r="AZ46" s="285" t="n">
        <f aca="false">SUM(AZ22,AZ28,AZ34,AZ40)</f>
        <v>0</v>
      </c>
      <c r="BA46" s="285" t="n">
        <f aca="false">SUM(BA22,BA28,BA34,BA40)</f>
        <v>0</v>
      </c>
      <c r="BB46" s="285" t="n">
        <f aca="false">SUM(BB22,BB28,BB34,BB40)</f>
        <v>0</v>
      </c>
      <c r="BC46" s="285" t="n">
        <f aca="false">SUM(BC22,BC28,BC34,BC40)</f>
        <v>0</v>
      </c>
      <c r="BD46" s="285" t="n">
        <f aca="false">SUM(BD22,BD28,BD34,BD40)</f>
        <v>0</v>
      </c>
      <c r="BE46" s="285" t="n">
        <f aca="false">SUM(BE22,BE28,BE34,BE40)</f>
        <v>0</v>
      </c>
      <c r="BF46" s="285" t="n">
        <f aca="false">SUM(BF22,BF28,BF34,BF40)</f>
        <v>0</v>
      </c>
      <c r="BG46" s="285" t="n">
        <f aca="false">SUM(BG22,BG28,BG34,BG40)</f>
        <v>0</v>
      </c>
      <c r="BH46" s="285" t="n">
        <f aca="false">SUM(BH22,BH28,BH34,BH40)</f>
        <v>0</v>
      </c>
      <c r="BI46" s="285" t="n">
        <f aca="false">SUM(BI22,BI28,BI34,BI40)</f>
        <v>0</v>
      </c>
      <c r="BJ46" s="285" t="n">
        <f aca="false">SUM(BJ22,BJ28,BJ34,BJ40)</f>
        <v>0</v>
      </c>
      <c r="BK46" s="285" t="n">
        <f aca="false">SUM(BK22,BK28,BK34,BK40)</f>
        <v>0</v>
      </c>
      <c r="BL46" s="285" t="n">
        <f aca="false">SUM(BL22,BL28,BL34,BL40)</f>
        <v>0</v>
      </c>
      <c r="BM46" s="285" t="n">
        <f aca="false">SUM(BM22,BM28,BM34,BM40)</f>
        <v>0</v>
      </c>
      <c r="BN46" s="285" t="n">
        <f aca="false">SUM(BN22,BN28,BN34,BN40)</f>
        <v>0</v>
      </c>
      <c r="BO46" s="285" t="n">
        <f aca="false">SUM(BO22,BO28,BO34,BO40)</f>
        <v>0</v>
      </c>
      <c r="BP46" s="285" t="n">
        <f aca="false">SUM(BP22,BP28,BP34,BP40)</f>
        <v>976</v>
      </c>
      <c r="BQ46" s="285" t="n">
        <f aca="false">SUM(BQ22,BQ28,BQ34,BQ40)</f>
        <v>998</v>
      </c>
      <c r="BR46" s="285" t="n">
        <f aca="false">SUM(BR22,BR28,BR34,BR40)</f>
        <v>1079</v>
      </c>
      <c r="BS46" s="285" t="n">
        <f aca="false">SUM(BS22,BS28,BS34,BS40)</f>
        <v>1144</v>
      </c>
      <c r="BT46" s="285" t="n">
        <f aca="false">SUM(BT22,BT28,BT34,BT40)</f>
        <v>1282</v>
      </c>
      <c r="BU46" s="285" t="n">
        <f aca="false">SUM(BU22,BU28,BU34,BU40)</f>
        <v>1600</v>
      </c>
      <c r="BV46" s="285" t="n">
        <f aca="false">SUM(BV22,BV28,BV34,BV40)</f>
        <v>1910</v>
      </c>
      <c r="BW46" s="285" t="n">
        <f aca="false">SUM(BW22,BW28,BW34,BW40)</f>
        <v>2076</v>
      </c>
      <c r="BX46" s="285" t="n">
        <f aca="false">SUM(BX22,BX28,BX34,BX40)</f>
        <v>2200</v>
      </c>
      <c r="BY46" s="285" t="n">
        <f aca="false">SUM(BY22,BY28,BY34,BY40)</f>
        <v>2174</v>
      </c>
      <c r="BZ46" s="285" t="n">
        <f aca="false">SUM(BZ22,BZ28,BZ34,BZ40)</f>
        <v>2133</v>
      </c>
      <c r="CA46" s="285" t="n">
        <f aca="false">SUM(CA22,CA28,CA34,CA40)</f>
        <v>2145</v>
      </c>
    </row>
    <row r="47" customFormat="false" ht="15" hidden="false" customHeight="false" outlineLevel="0" collapsed="false">
      <c r="A47" s="286" t="s">
        <v>247</v>
      </c>
      <c r="B47" s="285" t="n">
        <f aca="false">SUM(B23,B29,B35,B41)</f>
        <v>79</v>
      </c>
      <c r="C47" s="285" t="n">
        <f aca="false">SUM(C23,C29,C35,C41)</f>
        <v>81</v>
      </c>
      <c r="D47" s="285" t="n">
        <f aca="false">SUM(D23,D29,D35,D41)</f>
        <v>75</v>
      </c>
      <c r="E47" s="285" t="n">
        <f aca="false">SUM(E23,E29,E35,E41)</f>
        <v>73</v>
      </c>
      <c r="F47" s="285" t="n">
        <f aca="false">SUM(F23,F29,F35,F41)</f>
        <v>68</v>
      </c>
      <c r="G47" s="285" t="n">
        <f aca="false">SUM(G23,G29,G35,G41)</f>
        <v>66</v>
      </c>
      <c r="H47" s="285" t="n">
        <f aca="false">SUM(H23,H29,H35,H41)</f>
        <v>62</v>
      </c>
      <c r="I47" s="285" t="n">
        <f aca="false">SUM(I23,I29,I35,I41)</f>
        <v>61</v>
      </c>
      <c r="J47" s="285" t="n">
        <f aca="false">SUM(J23,J29,J35,J41)</f>
        <v>62</v>
      </c>
      <c r="K47" s="285" t="n">
        <f aca="false">SUM(K23,K29,K35,K41)</f>
        <v>59</v>
      </c>
      <c r="L47" s="285" t="n">
        <f aca="false">SUM(L23,L29,L35,L41)</f>
        <v>61</v>
      </c>
      <c r="M47" s="285" t="n">
        <f aca="false">SUM(M23,M29,M35,M41)</f>
        <v>56</v>
      </c>
      <c r="N47" s="285" t="n">
        <f aca="false">SUM(N23,N29,N35,N41)</f>
        <v>60</v>
      </c>
      <c r="O47" s="285" t="n">
        <f aca="false">SUM(O23,O29,O35,O41)</f>
        <v>62</v>
      </c>
      <c r="P47" s="285" t="n">
        <f aca="false">SUM(P23,P29,P35,P41)</f>
        <v>62</v>
      </c>
      <c r="Q47" s="285" t="n">
        <f aca="false">SUM(Q23,Q29,Q35,Q41)</f>
        <v>58</v>
      </c>
      <c r="R47" s="285" t="n">
        <f aca="false">SUM(R23,R29,R35,R41)</f>
        <v>58</v>
      </c>
      <c r="S47" s="285" t="n">
        <f aca="false">SUM(S23,S29,S35,S41)</f>
        <v>61</v>
      </c>
      <c r="T47" s="285" t="n">
        <f aca="false">SUM(T23,T29,T35,T41)</f>
        <v>65</v>
      </c>
      <c r="U47" s="285" t="n">
        <f aca="false">SUM(U23,U29,U35,U41)</f>
        <v>61</v>
      </c>
      <c r="V47" s="285" t="n">
        <f aca="false">SUM(V23,V29,V35,V41)</f>
        <v>56</v>
      </c>
      <c r="W47" s="285" t="n">
        <f aca="false">SUM(W23,W29,W35,W41)</f>
        <v>56</v>
      </c>
      <c r="X47" s="285" t="n">
        <f aca="false">SUM(X23,X29,X35,X41)</f>
        <v>54</v>
      </c>
      <c r="Y47" s="285" t="n">
        <f aca="false">SUM(Y23,Y29,Y35,Y41)</f>
        <v>55</v>
      </c>
      <c r="Z47" s="285" t="n">
        <f aca="false">SUM(Z23,Z29,Z35,Z41)</f>
        <v>61</v>
      </c>
      <c r="AA47" s="285" t="n">
        <f aca="false">SUM(AA23,AA29,AA35,AA41)</f>
        <v>57</v>
      </c>
      <c r="AB47" s="285" t="n">
        <f aca="false">SUM(AB23,AB29,AB35,AB41)</f>
        <v>56</v>
      </c>
      <c r="AC47" s="285" t="n">
        <f aca="false">SUM(AC23,AC29,AC35,AC41)</f>
        <v>56</v>
      </c>
      <c r="AD47" s="285" t="n">
        <f aca="false">SUM(AD23,AD29,AD35,AD41)</f>
        <v>56</v>
      </c>
      <c r="AE47" s="285" t="n">
        <f aca="false">SUM(AE23,AE29,AE35,AE41)</f>
        <v>55</v>
      </c>
      <c r="AF47" s="285" t="n">
        <f aca="false">SUM(AF23,AF29,AF35,AF41)</f>
        <v>56</v>
      </c>
      <c r="AG47" s="285" t="n">
        <f aca="false">SUM(AG23,AG29,AG35,AG41)</f>
        <v>55</v>
      </c>
      <c r="AH47" s="285" t="n">
        <f aca="false">SUM(AH23,AH29,AH35,AH41)</f>
        <v>58</v>
      </c>
      <c r="AI47" s="285" t="n">
        <f aca="false">SUM(AI23,AI29,AI35,AI41)</f>
        <v>57</v>
      </c>
      <c r="AJ47" s="285" t="n">
        <f aca="false">SUM(AJ23,AJ29,AJ35,AJ41)</f>
        <v>58</v>
      </c>
      <c r="AK47" s="285" t="n">
        <f aca="false">SUM(AK23,AK29,AK35,AK41)</f>
        <v>57</v>
      </c>
      <c r="AL47" s="285" t="n">
        <f aca="false">SUM(AL23,AL29,AL35,AL41)</f>
        <v>56</v>
      </c>
      <c r="AM47" s="285" t="n">
        <f aca="false">SUM(AM23,AM29,AM35,AM41)</f>
        <v>57</v>
      </c>
      <c r="AN47" s="285" t="n">
        <f aca="false">SUM(AN23,AN29,AN35,AN41)</f>
        <v>56</v>
      </c>
      <c r="AO47" s="285" t="n">
        <f aca="false">SUM(AO23,AO29,AO35,AO41)</f>
        <v>60</v>
      </c>
      <c r="AP47" s="285" t="n">
        <f aca="false">SUM(AP23,AP29,AP35,AP41)</f>
        <v>62</v>
      </c>
      <c r="AQ47" s="285" t="n">
        <f aca="false">SUM(AQ23,AQ29,AQ35,AQ41)</f>
        <v>59</v>
      </c>
      <c r="AR47" s="285" t="n">
        <f aca="false">SUM(AR23,AR29,AR35,AR41)</f>
        <v>0</v>
      </c>
      <c r="AS47" s="285" t="n">
        <f aca="false">SUM(AS23,AS29,AS35,AS41)</f>
        <v>0</v>
      </c>
      <c r="AT47" s="285" t="n">
        <f aca="false">SUM(AT23,AT29,AT35,AT41)</f>
        <v>0</v>
      </c>
      <c r="AU47" s="285" t="n">
        <f aca="false">SUM(AU23,AU29,AU35,AU41)</f>
        <v>0</v>
      </c>
      <c r="AV47" s="285" t="n">
        <f aca="false">SUM(AV23,AV29,AV35,AV41)</f>
        <v>0</v>
      </c>
      <c r="AW47" s="285" t="n">
        <f aca="false">SUM(AW23,AW29,AW35,AW41)</f>
        <v>0</v>
      </c>
      <c r="AX47" s="285" t="n">
        <f aca="false">SUM(AX23,AX29,AX35,AX41)</f>
        <v>0</v>
      </c>
      <c r="AY47" s="285" t="n">
        <f aca="false">SUM(AY23,AY29,AY35,AY41)</f>
        <v>0</v>
      </c>
      <c r="AZ47" s="285" t="n">
        <f aca="false">SUM(AZ23,AZ29,AZ35,AZ41)</f>
        <v>0</v>
      </c>
      <c r="BA47" s="285" t="n">
        <f aca="false">SUM(BA23,BA29,BA35,BA41)</f>
        <v>0</v>
      </c>
      <c r="BB47" s="285" t="n">
        <f aca="false">SUM(BB23,BB29,BB35,BB41)</f>
        <v>0</v>
      </c>
      <c r="BC47" s="285" t="n">
        <f aca="false">SUM(BC23,BC29,BC35,BC41)</f>
        <v>0</v>
      </c>
      <c r="BD47" s="285" t="n">
        <f aca="false">SUM(BD23,BD29,BD35,BD41)</f>
        <v>0</v>
      </c>
      <c r="BE47" s="285" t="n">
        <f aca="false">SUM(BE23,BE29,BE35,BE41)</f>
        <v>0</v>
      </c>
      <c r="BF47" s="285" t="n">
        <f aca="false">SUM(BF23,BF29,BF35,BF41)</f>
        <v>0</v>
      </c>
      <c r="BG47" s="285" t="n">
        <f aca="false">SUM(BG23,BG29,BG35,BG41)</f>
        <v>0</v>
      </c>
      <c r="BH47" s="285" t="n">
        <f aca="false">SUM(BH23,BH29,BH35,BH41)</f>
        <v>0</v>
      </c>
      <c r="BI47" s="285" t="n">
        <f aca="false">SUM(BI23,BI29,BI35,BI41)</f>
        <v>0</v>
      </c>
      <c r="BJ47" s="285" t="n">
        <f aca="false">SUM(BJ23,BJ29,BJ35,BJ41)</f>
        <v>0</v>
      </c>
      <c r="BK47" s="285" t="n">
        <f aca="false">SUM(BK23,BK29,BK35,BK41)</f>
        <v>0</v>
      </c>
      <c r="BL47" s="285" t="n">
        <f aca="false">SUM(BL23,BL29,BL35,BL41)</f>
        <v>0</v>
      </c>
      <c r="BM47" s="285" t="n">
        <f aca="false">SUM(BM23,BM29,BM35,BM41)</f>
        <v>0</v>
      </c>
      <c r="BN47" s="285" t="n">
        <f aca="false">SUM(BN23,BN29,BN35,BN41)</f>
        <v>0</v>
      </c>
      <c r="BO47" s="285" t="n">
        <f aca="false">SUM(BO23,BO29,BO35,BO41)</f>
        <v>0</v>
      </c>
      <c r="BP47" s="285" t="n">
        <f aca="false">SUM(BP23,BP29,BP35,BP41)</f>
        <v>83</v>
      </c>
      <c r="BQ47" s="285" t="n">
        <f aca="false">SUM(BQ23,BQ29,BQ35,BQ41)</f>
        <v>87</v>
      </c>
      <c r="BR47" s="285" t="n">
        <f aca="false">SUM(BR23,BR29,BR35,BR41)</f>
        <v>93</v>
      </c>
      <c r="BS47" s="285" t="n">
        <f aca="false">SUM(BS23,BS29,BS35,BS41)</f>
        <v>92</v>
      </c>
      <c r="BT47" s="285" t="n">
        <f aca="false">SUM(BT23,BT29,BT35,BT41)</f>
        <v>99</v>
      </c>
      <c r="BU47" s="285" t="n">
        <f aca="false">SUM(BU23,BU29,BU35,BU41)</f>
        <v>92</v>
      </c>
      <c r="BV47" s="285" t="n">
        <f aca="false">SUM(BV23,BV29,BV35,BV41)</f>
        <v>88</v>
      </c>
      <c r="BW47" s="285" t="n">
        <f aca="false">SUM(BW23,BW29,BW35,BW41)</f>
        <v>79</v>
      </c>
      <c r="BX47" s="285" t="n">
        <f aca="false">SUM(BX23,BX29,BX35,BX41)</f>
        <v>77</v>
      </c>
      <c r="BY47" s="285" t="n">
        <f aca="false">SUM(BY23,BY29,BY35,BY41)</f>
        <v>72</v>
      </c>
      <c r="BZ47" s="285" t="n">
        <f aca="false">SUM(BZ23,BZ29,BZ35,BZ41)</f>
        <v>73</v>
      </c>
      <c r="CA47" s="285" t="n">
        <f aca="false">SUM(CA23,CA29,CA35,CA41)</f>
        <v>75</v>
      </c>
    </row>
    <row r="48" customFormat="false" ht="15" hidden="false" customHeight="false" outlineLevel="0" collapsed="false">
      <c r="A48" s="287" t="s">
        <v>19</v>
      </c>
      <c r="B48" s="287" t="n">
        <f aca="false">SUM(B44:B47)</f>
        <v>21735</v>
      </c>
      <c r="C48" s="287" t="n">
        <f aca="false">SUM(C44:C47)</f>
        <v>26144</v>
      </c>
      <c r="D48" s="287" t="n">
        <f aca="false">SUM(D44:D47)</f>
        <v>27571</v>
      </c>
      <c r="E48" s="287" t="n">
        <f aca="false">SUM(E44:E47)</f>
        <v>28501</v>
      </c>
      <c r="F48" s="287" t="n">
        <f aca="false">SUM(F44:F47)</f>
        <v>29119</v>
      </c>
      <c r="G48" s="287" t="n">
        <f aca="false">SUM(G44:G47)</f>
        <v>27451</v>
      </c>
      <c r="H48" s="287" t="n">
        <f aca="false">SUM(H44:H47)</f>
        <v>25900</v>
      </c>
      <c r="I48" s="287" t="n">
        <f aca="false">SUM(I44:I47)</f>
        <v>23451</v>
      </c>
      <c r="J48" s="287" t="n">
        <f aca="false">SUM(J44:J47)</f>
        <v>24692</v>
      </c>
      <c r="K48" s="287" t="n">
        <f aca="false">SUM(K44:K47)</f>
        <v>31251</v>
      </c>
      <c r="L48" s="287" t="n">
        <f aca="false">SUM(L44:L47)</f>
        <v>31422</v>
      </c>
      <c r="M48" s="287" t="n">
        <f aca="false">SUM(M44:M47)</f>
        <v>31391</v>
      </c>
      <c r="N48" s="287" t="n">
        <f aca="false">SUM(N44:N47)</f>
        <v>31309</v>
      </c>
      <c r="O48" s="287" t="n">
        <f aca="false">SUM(O44:O47)</f>
        <v>31397</v>
      </c>
      <c r="P48" s="287" t="n">
        <f aca="false">SUM(P44:P47)</f>
        <v>32444</v>
      </c>
      <c r="Q48" s="287" t="n">
        <f aca="false">SUM(Q44:Q47)</f>
        <v>34857</v>
      </c>
      <c r="R48" s="287" t="n">
        <f aca="false">SUM(R44:R47)</f>
        <v>36347</v>
      </c>
      <c r="S48" s="287" t="n">
        <f aca="false">SUM(S44:S47)</f>
        <v>37129</v>
      </c>
      <c r="T48" s="287" t="n">
        <f aca="false">SUM(T44:T47)</f>
        <v>39163</v>
      </c>
      <c r="U48" s="287" t="n">
        <f aca="false">SUM(U44:U47)</f>
        <v>40917</v>
      </c>
      <c r="V48" s="287" t="n">
        <f aca="false">SUM(V44:V47)</f>
        <v>41327</v>
      </c>
      <c r="W48" s="287" t="n">
        <f aca="false">SUM(W44:W47)</f>
        <v>38525</v>
      </c>
      <c r="X48" s="287" t="n">
        <f aca="false">SUM(X44:X47)</f>
        <v>37827</v>
      </c>
      <c r="Y48" s="287" t="n">
        <f aca="false">SUM(Y44:Y47)</f>
        <v>37610</v>
      </c>
      <c r="Z48" s="287" t="n">
        <f aca="false">SUM(Z44:Z47)</f>
        <v>38702</v>
      </c>
      <c r="AA48" s="287" t="n">
        <f aca="false">SUM(AA44:AA47)</f>
        <v>39355</v>
      </c>
      <c r="AB48" s="287" t="n">
        <f aca="false">SUM(AB44:AB47)</f>
        <v>40374</v>
      </c>
      <c r="AC48" s="287" t="n">
        <f aca="false">SUM(AC44:AC47)</f>
        <v>41043</v>
      </c>
      <c r="AD48" s="287" t="n">
        <f aca="false">SUM(AD44:AD47)</f>
        <v>40004</v>
      </c>
      <c r="AE48" s="287" t="n">
        <f aca="false">SUM(AE44:AE47)</f>
        <v>36702</v>
      </c>
      <c r="AF48" s="287" t="n">
        <f aca="false">SUM(AF44:AF47)</f>
        <v>35872</v>
      </c>
      <c r="AG48" s="287" t="n">
        <f aca="false">SUM(AG44:AG47)</f>
        <v>37248</v>
      </c>
      <c r="AH48" s="287" t="n">
        <f aca="false">SUM(AH44:AH47)</f>
        <v>38157</v>
      </c>
      <c r="AI48" s="287" t="n">
        <f aca="false">SUM(AI44:AI47)</f>
        <v>39085</v>
      </c>
      <c r="AJ48" s="287" t="n">
        <f aca="false">SUM(AJ44:AJ47)</f>
        <v>39102</v>
      </c>
      <c r="AK48" s="287" t="n">
        <f aca="false">SUM(AK44:AK47)</f>
        <v>38272</v>
      </c>
      <c r="AL48" s="287" t="n">
        <f aca="false">SUM(AL44:AL47)</f>
        <v>38367</v>
      </c>
      <c r="AM48" s="287" t="n">
        <f aca="false">SUM(AM44:AM47)</f>
        <v>37699</v>
      </c>
      <c r="AN48" s="287" t="n">
        <f aca="false">SUM(AN44:AN47)</f>
        <v>37519</v>
      </c>
      <c r="AO48" s="287" t="n">
        <f aca="false">SUM(AO44:AO47)</f>
        <v>37504</v>
      </c>
      <c r="AP48" s="287" t="n">
        <f aca="false">SUM(AP44:AP47)</f>
        <v>38597</v>
      </c>
      <c r="AQ48" s="287" t="n">
        <f aca="false">SUM(AQ44:AQ47)</f>
        <v>39047</v>
      </c>
      <c r="AR48" s="287" t="n">
        <f aca="false">SUM(AR44:AR47)</f>
        <v>0</v>
      </c>
      <c r="AS48" s="287" t="n">
        <f aca="false">SUM(AS44:AS47)</f>
        <v>0</v>
      </c>
      <c r="AT48" s="287" t="n">
        <f aca="false">SUM(AT44:AT47)</f>
        <v>0</v>
      </c>
      <c r="AU48" s="287" t="n">
        <f aca="false">SUM(AU44:AU47)</f>
        <v>0</v>
      </c>
      <c r="AV48" s="287" t="n">
        <f aca="false">SUM(AV44:AV47)</f>
        <v>0</v>
      </c>
      <c r="AW48" s="287" t="n">
        <f aca="false">SUM(AW44:AW47)</f>
        <v>0</v>
      </c>
      <c r="AX48" s="287" t="n">
        <f aca="false">SUM(AX44:AX47)</f>
        <v>0</v>
      </c>
      <c r="AY48" s="287" t="n">
        <f aca="false">SUM(AY44:AY47)</f>
        <v>0</v>
      </c>
      <c r="AZ48" s="287" t="n">
        <f aca="false">SUM(AZ44:AZ47)</f>
        <v>0</v>
      </c>
      <c r="BA48" s="287" t="n">
        <f aca="false">SUM(BA44:BA47)</f>
        <v>0</v>
      </c>
      <c r="BB48" s="287" t="n">
        <f aca="false">SUM(BB44:BB47)</f>
        <v>0</v>
      </c>
      <c r="BC48" s="287" t="n">
        <f aca="false">SUM(BC44:BC47)</f>
        <v>0</v>
      </c>
      <c r="BD48" s="287" t="n">
        <f aca="false">SUM(BD44:BD47)</f>
        <v>0</v>
      </c>
      <c r="BE48" s="287" t="n">
        <f aca="false">SUM(BE44:BE47)</f>
        <v>0</v>
      </c>
      <c r="BF48" s="287" t="n">
        <f aca="false">SUM(BF44:BF47)</f>
        <v>0</v>
      </c>
      <c r="BG48" s="287" t="n">
        <f aca="false">SUM(BG44:BG47)</f>
        <v>0</v>
      </c>
      <c r="BH48" s="287" t="n">
        <f aca="false">SUM(BH44:BH47)</f>
        <v>0</v>
      </c>
      <c r="BI48" s="287" t="n">
        <f aca="false">SUM(BI44:BI47)</f>
        <v>0</v>
      </c>
      <c r="BJ48" s="287" t="n">
        <f aca="false">SUM(BJ44:BJ47)</f>
        <v>0</v>
      </c>
      <c r="BK48" s="287" t="n">
        <f aca="false">SUM(BK44:BK47)</f>
        <v>0</v>
      </c>
      <c r="BL48" s="287" t="n">
        <f aca="false">SUM(BL44:BL47)</f>
        <v>0</v>
      </c>
      <c r="BM48" s="287" t="n">
        <f aca="false">SUM(BM44:BM47)</f>
        <v>0</v>
      </c>
      <c r="BN48" s="287" t="n">
        <f aca="false">SUM(BN44:BN47)</f>
        <v>0</v>
      </c>
      <c r="BO48" s="287" t="n">
        <f aca="false">SUM(BO44:BO47)</f>
        <v>0</v>
      </c>
      <c r="BP48" s="287" t="n">
        <f aca="false">SUM(BP44:BP47)</f>
        <v>64917</v>
      </c>
      <c r="BQ48" s="287" t="n">
        <f aca="false">SUM(BQ44:BQ47)</f>
        <v>67695</v>
      </c>
      <c r="BR48" s="287" t="n">
        <f aca="false">SUM(BR44:BR47)</f>
        <v>67675</v>
      </c>
      <c r="BS48" s="287" t="n">
        <f aca="false">SUM(BS44:BS47)</f>
        <v>67704</v>
      </c>
      <c r="BT48" s="287" t="n">
        <f aca="false">SUM(BT44:BT47)</f>
        <v>72121</v>
      </c>
      <c r="BU48" s="287" t="n">
        <f aca="false">SUM(BU44:BU47)</f>
        <v>70796</v>
      </c>
      <c r="BV48" s="287" t="n">
        <f aca="false">SUM(BV44:BV47)</f>
        <v>75751</v>
      </c>
      <c r="BW48" s="287" t="n">
        <f aca="false">SUM(BW44:BW47)</f>
        <v>72536</v>
      </c>
      <c r="BX48" s="287" t="n">
        <f aca="false">SUM(BX44:BX47)</f>
        <v>69176</v>
      </c>
      <c r="BY48" s="287" t="n">
        <f aca="false">SUM(BY44:BY47)</f>
        <v>67033</v>
      </c>
      <c r="BZ48" s="287" t="n">
        <f aca="false">SUM(BZ44:BZ47)</f>
        <v>64018</v>
      </c>
      <c r="CA48" s="287" t="n">
        <f aca="false">SUM(CA44:CA47)</f>
        <v>62303</v>
      </c>
    </row>
  </sheetData>
  <mergeCells count="80">
    <mergeCell ref="A4:A6"/>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V5:BW5"/>
    <mergeCell ref="BX5:BY5"/>
    <mergeCell ref="BZ5:CA5"/>
    <mergeCell ref="A16:A18"/>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AX17:AY17"/>
    <mergeCell ref="AZ17:BA17"/>
    <mergeCell ref="BB17:BC17"/>
    <mergeCell ref="BD17:BE17"/>
    <mergeCell ref="BF17:BG17"/>
    <mergeCell ref="BH17:BI17"/>
    <mergeCell ref="BJ17:BK17"/>
    <mergeCell ref="BL17:BM17"/>
    <mergeCell ref="BN17:BO17"/>
    <mergeCell ref="BP17:BQ17"/>
    <mergeCell ref="BR17:BS17"/>
    <mergeCell ref="BT17:BU17"/>
    <mergeCell ref="BV17:BW17"/>
    <mergeCell ref="BX17:BY17"/>
    <mergeCell ref="BZ17:CA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B56" activeCellId="0" sqref="B56"/>
    </sheetView>
  </sheetViews>
  <sheetFormatPr defaultColWidth="9.00390625" defaultRowHeight="14.25" customHeight="false" zeroHeight="false" outlineLevelRow="0" outlineLevelCol="0"/>
  <cols>
    <col collapsed="false" customWidth="true" hidden="false" outlineLevel="0" max="1" min="1" style="1" width="35.77"/>
    <col collapsed="false" customWidth="true" hidden="false" outlineLevel="0" max="2" min="2" style="1" width="11.22"/>
    <col collapsed="false" customWidth="true" hidden="false" outlineLevel="0" max="3" min="3" style="1" width="10.78"/>
  </cols>
  <sheetData>
    <row r="1" customFormat="false" ht="71.25" hidden="false" customHeight="true" outlineLevel="0" collapsed="false">
      <c r="A1" s="288" t="s">
        <v>248</v>
      </c>
      <c r="B1" s="288"/>
      <c r="C1" s="288"/>
      <c r="D1" s="288"/>
      <c r="E1" s="288"/>
      <c r="F1" s="288"/>
      <c r="G1" s="288"/>
      <c r="H1" s="288"/>
      <c r="I1" s="288"/>
      <c r="J1" s="288"/>
      <c r="K1" s="288"/>
      <c r="L1" s="288"/>
    </row>
    <row r="2" customFormat="false" ht="12" hidden="false" customHeight="true" outlineLevel="0" collapsed="false"/>
    <row r="3" customFormat="false" ht="15" hidden="false" customHeight="false" outlineLevel="0" collapsed="false">
      <c r="A3" s="257" t="s">
        <v>249</v>
      </c>
      <c r="B3" s="256"/>
      <c r="C3" s="256"/>
    </row>
    <row r="4" customFormat="false" ht="15" hidden="false" customHeight="false" outlineLevel="0" collapsed="false">
      <c r="A4" s="289" t="s">
        <v>132</v>
      </c>
      <c r="B4" s="290" t="s">
        <v>250</v>
      </c>
    </row>
    <row r="5" customFormat="false" ht="15" hidden="false" customHeight="false" outlineLevel="0" collapsed="false">
      <c r="A5" s="291" t="s">
        <v>251</v>
      </c>
      <c r="B5" s="292" t="n">
        <v>15</v>
      </c>
    </row>
    <row r="6" customFormat="false" ht="15" hidden="false" customHeight="false" outlineLevel="0" collapsed="false">
      <c r="A6" s="291" t="s">
        <v>252</v>
      </c>
      <c r="B6" s="292" t="n">
        <v>9</v>
      </c>
    </row>
    <row r="7" customFormat="false" ht="15" hidden="false" customHeight="false" outlineLevel="0" collapsed="false">
      <c r="A7" s="291" t="s">
        <v>253</v>
      </c>
      <c r="B7" s="292" t="n">
        <v>10</v>
      </c>
    </row>
    <row r="8" customFormat="false" ht="15" hidden="false" customHeight="false" outlineLevel="0" collapsed="false">
      <c r="A8" s="291" t="s">
        <v>254</v>
      </c>
      <c r="B8" s="292" t="n">
        <v>25</v>
      </c>
    </row>
    <row r="9" customFormat="false" ht="15" hidden="false" customHeight="false" outlineLevel="0" collapsed="false">
      <c r="A9" s="291" t="s">
        <v>255</v>
      </c>
      <c r="B9" s="292" t="n">
        <v>17</v>
      </c>
    </row>
    <row r="10" customFormat="false" ht="15" hidden="false" customHeight="false" outlineLevel="0" collapsed="false">
      <c r="A10" s="291" t="s">
        <v>256</v>
      </c>
      <c r="B10" s="292" t="n">
        <v>25</v>
      </c>
    </row>
    <row r="11" customFormat="false" ht="15" hidden="false" customHeight="false" outlineLevel="0" collapsed="false">
      <c r="A11" s="291" t="s">
        <v>134</v>
      </c>
      <c r="B11" s="292" t="n">
        <v>24</v>
      </c>
    </row>
    <row r="12" customFormat="false" ht="15" hidden="false" customHeight="false" outlineLevel="0" collapsed="false">
      <c r="A12" s="293" t="s">
        <v>133</v>
      </c>
      <c r="B12" s="294" t="n">
        <v>0</v>
      </c>
    </row>
    <row r="14" customFormat="false" ht="15" hidden="false" customHeight="false" outlineLevel="0" collapsed="false">
      <c r="A14" s="257" t="s">
        <v>257</v>
      </c>
      <c r="B14" s="256"/>
    </row>
    <row r="15" customFormat="false" ht="15" hidden="false" customHeight="false" outlineLevel="0" collapsed="false">
      <c r="A15" s="295" t="s">
        <v>132</v>
      </c>
      <c r="B15" s="296" t="s">
        <v>258</v>
      </c>
    </row>
    <row r="16" customFormat="false" ht="15" hidden="false" customHeight="false" outlineLevel="0" collapsed="false">
      <c r="A16" s="297" t="s">
        <v>251</v>
      </c>
      <c r="B16" s="298" t="n">
        <v>22</v>
      </c>
    </row>
    <row r="17" customFormat="false" ht="15" hidden="false" customHeight="false" outlineLevel="0" collapsed="false">
      <c r="A17" s="297" t="s">
        <v>252</v>
      </c>
      <c r="B17" s="298" t="n">
        <v>21</v>
      </c>
    </row>
    <row r="18" customFormat="false" ht="15" hidden="false" customHeight="false" outlineLevel="0" collapsed="false">
      <c r="A18" s="297" t="s">
        <v>253</v>
      </c>
      <c r="B18" s="298" t="n">
        <v>19</v>
      </c>
    </row>
    <row r="19" customFormat="false" ht="15" hidden="false" customHeight="false" outlineLevel="0" collapsed="false">
      <c r="A19" s="297" t="s">
        <v>254</v>
      </c>
      <c r="B19" s="298" t="n">
        <v>19</v>
      </c>
    </row>
    <row r="20" customFormat="false" ht="15" hidden="false" customHeight="false" outlineLevel="0" collapsed="false">
      <c r="A20" s="297" t="s">
        <v>255</v>
      </c>
      <c r="B20" s="298" t="n">
        <v>19</v>
      </c>
    </row>
    <row r="21" customFormat="false" ht="15" hidden="false" customHeight="false" outlineLevel="0" collapsed="false">
      <c r="A21" s="297" t="s">
        <v>256</v>
      </c>
      <c r="B21" s="298" t="n">
        <v>20</v>
      </c>
    </row>
    <row r="22" customFormat="false" ht="15" hidden="false" customHeight="false" outlineLevel="0" collapsed="false">
      <c r="A22" s="297" t="s">
        <v>134</v>
      </c>
      <c r="B22" s="298" t="n">
        <v>22</v>
      </c>
    </row>
    <row r="23" customFormat="false" ht="15" hidden="false" customHeight="false" outlineLevel="0" collapsed="false">
      <c r="A23" s="299" t="s">
        <v>133</v>
      </c>
      <c r="B23" s="294" t="n">
        <v>0</v>
      </c>
    </row>
    <row r="24" customFormat="false" ht="15" hidden="false" customHeight="false" outlineLevel="0" collapsed="false">
      <c r="B24" s="300"/>
    </row>
    <row r="25" customFormat="false" ht="15" hidden="false" customHeight="false" outlineLevel="0" collapsed="false">
      <c r="A25" s="257" t="s">
        <v>259</v>
      </c>
      <c r="B25" s="256"/>
    </row>
    <row r="26" customFormat="false" ht="15" hidden="false" customHeight="false" outlineLevel="0" collapsed="false">
      <c r="A26" s="289" t="s">
        <v>132</v>
      </c>
      <c r="B26" s="290" t="s">
        <v>105</v>
      </c>
    </row>
    <row r="27" customFormat="false" ht="15" hidden="false" customHeight="false" outlineLevel="0" collapsed="false">
      <c r="A27" s="291" t="s">
        <v>251</v>
      </c>
      <c r="B27" s="301" t="n">
        <v>12</v>
      </c>
    </row>
    <row r="28" customFormat="false" ht="15" hidden="false" customHeight="false" outlineLevel="0" collapsed="false">
      <c r="A28" s="291" t="s">
        <v>252</v>
      </c>
      <c r="B28" s="301" t="n">
        <v>3</v>
      </c>
    </row>
    <row r="29" customFormat="false" ht="15" hidden="false" customHeight="false" outlineLevel="0" collapsed="false">
      <c r="A29" s="291" t="s">
        <v>253</v>
      </c>
      <c r="B29" s="301" t="n">
        <v>9</v>
      </c>
    </row>
    <row r="30" customFormat="false" ht="15" hidden="false" customHeight="false" outlineLevel="0" collapsed="false">
      <c r="A30" s="291" t="s">
        <v>254</v>
      </c>
      <c r="B30" s="301" t="n">
        <v>11</v>
      </c>
    </row>
    <row r="31" customFormat="false" ht="15" hidden="false" customHeight="false" outlineLevel="0" collapsed="false">
      <c r="A31" s="291" t="s">
        <v>255</v>
      </c>
      <c r="B31" s="301" t="n">
        <v>8</v>
      </c>
    </row>
    <row r="32" customFormat="false" ht="15" hidden="false" customHeight="false" outlineLevel="0" collapsed="false">
      <c r="A32" s="291" t="s">
        <v>256</v>
      </c>
      <c r="B32" s="301" t="n">
        <v>14</v>
      </c>
    </row>
    <row r="33" customFormat="false" ht="15" hidden="false" customHeight="false" outlineLevel="0" collapsed="false">
      <c r="A33" s="291" t="s">
        <v>134</v>
      </c>
      <c r="B33" s="292" t="n">
        <v>11</v>
      </c>
    </row>
    <row r="34" customFormat="false" ht="15" hidden="false" customHeight="false" outlineLevel="0" collapsed="false">
      <c r="A34" s="293" t="s">
        <v>133</v>
      </c>
      <c r="B34" s="294" t="n">
        <v>0</v>
      </c>
    </row>
    <row r="35" customFormat="false" ht="15" hidden="false" customHeight="false" outlineLevel="0" collapsed="false">
      <c r="B35" s="300"/>
    </row>
    <row r="36" customFormat="false" ht="15" hidden="false" customHeight="false" outlineLevel="0" collapsed="false">
      <c r="A36" s="257" t="s">
        <v>260</v>
      </c>
      <c r="B36" s="256"/>
    </row>
    <row r="37" customFormat="false" ht="15" hidden="false" customHeight="false" outlineLevel="0" collapsed="false">
      <c r="A37" s="289" t="s">
        <v>132</v>
      </c>
      <c r="B37" s="290" t="s">
        <v>250</v>
      </c>
    </row>
    <row r="38" customFormat="false" ht="15" hidden="false" customHeight="false" outlineLevel="0" collapsed="false">
      <c r="A38" s="291" t="s">
        <v>251</v>
      </c>
      <c r="B38" s="301" t="n">
        <v>30</v>
      </c>
    </row>
    <row r="39" customFormat="false" ht="15" hidden="false" customHeight="false" outlineLevel="0" collapsed="false">
      <c r="A39" s="291" t="s">
        <v>252</v>
      </c>
      <c r="B39" s="301" t="n">
        <v>12</v>
      </c>
    </row>
    <row r="40" customFormat="false" ht="15" hidden="false" customHeight="false" outlineLevel="0" collapsed="false">
      <c r="A40" s="291" t="s">
        <v>253</v>
      </c>
      <c r="B40" s="301" t="n">
        <v>11</v>
      </c>
    </row>
    <row r="41" customFormat="false" ht="15" hidden="false" customHeight="false" outlineLevel="0" collapsed="false">
      <c r="A41" s="291" t="s">
        <v>254</v>
      </c>
      <c r="B41" s="301" t="n">
        <v>6</v>
      </c>
    </row>
    <row r="42" customFormat="false" ht="15" hidden="false" customHeight="false" outlineLevel="0" collapsed="false">
      <c r="A42" s="291" t="s">
        <v>261</v>
      </c>
      <c r="B42" s="301" t="n">
        <v>1</v>
      </c>
    </row>
    <row r="43" customFormat="false" ht="15" hidden="false" customHeight="false" outlineLevel="0" collapsed="false">
      <c r="A43" s="291" t="s">
        <v>256</v>
      </c>
      <c r="B43" s="301" t="n">
        <v>7</v>
      </c>
    </row>
    <row r="44" customFormat="false" ht="15" hidden="false" customHeight="false" outlineLevel="0" collapsed="false">
      <c r="A44" s="291" t="s">
        <v>134</v>
      </c>
      <c r="B44" s="292" t="n">
        <v>13</v>
      </c>
    </row>
    <row r="45" customFormat="false" ht="15" hidden="false" customHeight="false" outlineLevel="0" collapsed="false">
      <c r="A45" s="293" t="s">
        <v>133</v>
      </c>
      <c r="B45" s="294" t="n">
        <v>0</v>
      </c>
    </row>
    <row r="47" customFormat="false" ht="15" hidden="false" customHeight="false" outlineLevel="0" collapsed="false">
      <c r="A47" s="257" t="s">
        <v>262</v>
      </c>
      <c r="B47" s="256"/>
    </row>
    <row r="48" customFormat="false" ht="15" hidden="false" customHeight="false" outlineLevel="0" collapsed="false">
      <c r="A48" s="289" t="s">
        <v>132</v>
      </c>
      <c r="B48" s="290" t="s">
        <v>258</v>
      </c>
    </row>
    <row r="49" customFormat="false" ht="15" hidden="false" customHeight="false" outlineLevel="0" collapsed="false">
      <c r="A49" s="291" t="s">
        <v>251</v>
      </c>
      <c r="B49" s="301" t="n">
        <v>19</v>
      </c>
    </row>
    <row r="50" customFormat="false" ht="15" hidden="false" customHeight="false" outlineLevel="0" collapsed="false">
      <c r="A50" s="291" t="s">
        <v>252</v>
      </c>
      <c r="B50" s="301" t="n">
        <v>8</v>
      </c>
    </row>
    <row r="51" customFormat="false" ht="15" hidden="false" customHeight="false" outlineLevel="0" collapsed="false">
      <c r="A51" s="291" t="s">
        <v>253</v>
      </c>
      <c r="B51" s="301" t="n">
        <v>9</v>
      </c>
    </row>
    <row r="52" customFormat="false" ht="15" hidden="false" customHeight="false" outlineLevel="0" collapsed="false">
      <c r="A52" s="291" t="s">
        <v>254</v>
      </c>
      <c r="B52" s="301" t="n">
        <v>4</v>
      </c>
    </row>
    <row r="53" customFormat="false" ht="15" hidden="false" customHeight="false" outlineLevel="0" collapsed="false">
      <c r="A53" s="291" t="s">
        <v>261</v>
      </c>
      <c r="B53" s="301" t="n">
        <v>1</v>
      </c>
    </row>
    <row r="54" customFormat="false" ht="15" hidden="false" customHeight="false" outlineLevel="0" collapsed="false">
      <c r="A54" s="291" t="s">
        <v>256</v>
      </c>
      <c r="B54" s="301" t="n">
        <v>4</v>
      </c>
    </row>
    <row r="55" customFormat="false" ht="15" hidden="false" customHeight="false" outlineLevel="0" collapsed="false">
      <c r="A55" s="291" t="s">
        <v>134</v>
      </c>
      <c r="B55" s="292" t="n">
        <v>7</v>
      </c>
    </row>
    <row r="56" customFormat="false" ht="15" hidden="false" customHeight="false" outlineLevel="0" collapsed="false">
      <c r="A56" s="293" t="s">
        <v>133</v>
      </c>
      <c r="B56" s="294" t="n">
        <v>0</v>
      </c>
    </row>
    <row r="57" customFormat="false" ht="15" hidden="false" customHeight="false" outlineLevel="0" collapsed="false">
      <c r="B57" s="300"/>
    </row>
    <row r="58" customFormat="false" ht="15" hidden="false" customHeight="false" outlineLevel="0" collapsed="false">
      <c r="A58" s="257" t="s">
        <v>263</v>
      </c>
      <c r="B58" s="256"/>
    </row>
    <row r="59" customFormat="false" ht="15" hidden="false" customHeight="false" outlineLevel="0" collapsed="false">
      <c r="A59" s="289" t="s">
        <v>132</v>
      </c>
      <c r="B59" s="290" t="s">
        <v>105</v>
      </c>
    </row>
    <row r="60" customFormat="false" ht="15" hidden="false" customHeight="false" outlineLevel="0" collapsed="false">
      <c r="A60" s="291" t="s">
        <v>251</v>
      </c>
      <c r="B60" s="301" t="n">
        <v>2</v>
      </c>
    </row>
    <row r="61" customFormat="false" ht="15" hidden="false" customHeight="false" outlineLevel="0" collapsed="false">
      <c r="A61" s="291" t="s">
        <v>252</v>
      </c>
      <c r="B61" s="301" t="n">
        <v>1</v>
      </c>
    </row>
    <row r="62" customFormat="false" ht="15" hidden="false" customHeight="false" outlineLevel="0" collapsed="false">
      <c r="A62" s="291" t="s">
        <v>253</v>
      </c>
      <c r="B62" s="301" t="n">
        <v>0</v>
      </c>
    </row>
    <row r="63" customFormat="false" ht="15" hidden="false" customHeight="false" outlineLevel="0" collapsed="false">
      <c r="A63" s="291" t="s">
        <v>254</v>
      </c>
      <c r="B63" s="301" t="n">
        <v>0</v>
      </c>
    </row>
    <row r="64" customFormat="false" ht="15" hidden="false" customHeight="false" outlineLevel="0" collapsed="false">
      <c r="A64" s="291" t="s">
        <v>255</v>
      </c>
      <c r="B64" s="301" t="n">
        <v>0</v>
      </c>
    </row>
    <row r="65" customFormat="false" ht="15" hidden="false" customHeight="false" outlineLevel="0" collapsed="false">
      <c r="A65" s="291" t="s">
        <v>256</v>
      </c>
      <c r="B65" s="301" t="n">
        <v>0</v>
      </c>
    </row>
    <row r="66" customFormat="false" ht="15" hidden="false" customHeight="false" outlineLevel="0" collapsed="false">
      <c r="A66" s="291" t="s">
        <v>134</v>
      </c>
      <c r="B66" s="301" t="n">
        <v>0</v>
      </c>
    </row>
    <row r="67" customFormat="false" ht="15" hidden="false" customHeight="false" outlineLevel="0" collapsed="false">
      <c r="A67" s="293" t="s">
        <v>133</v>
      </c>
      <c r="B67" s="294" t="n">
        <v>0</v>
      </c>
    </row>
    <row r="68" customFormat="false" ht="15" hidden="false" customHeight="false" outlineLevel="0" collapsed="false">
      <c r="B68" s="300"/>
    </row>
    <row r="69" customFormat="false" ht="15" hidden="false" customHeight="false" outlineLevel="0" collapsed="false">
      <c r="A69" s="257" t="s">
        <v>264</v>
      </c>
      <c r="B69" s="256"/>
    </row>
    <row r="70" customFormat="false" ht="15" hidden="false" customHeight="false" outlineLevel="0" collapsed="false">
      <c r="A70" s="289" t="s">
        <v>132</v>
      </c>
      <c r="B70" s="290" t="s">
        <v>250</v>
      </c>
    </row>
    <row r="71" customFormat="false" ht="15" hidden="false" customHeight="false" outlineLevel="0" collapsed="false">
      <c r="A71" s="291" t="s">
        <v>251</v>
      </c>
      <c r="B71" s="301" t="n">
        <v>24545</v>
      </c>
    </row>
    <row r="72" customFormat="false" ht="15" hidden="false" customHeight="false" outlineLevel="0" collapsed="false">
      <c r="A72" s="291" t="s">
        <v>252</v>
      </c>
      <c r="B72" s="301" t="n">
        <v>22976</v>
      </c>
    </row>
    <row r="73" customFormat="false" ht="15" hidden="false" customHeight="false" outlineLevel="0" collapsed="false">
      <c r="A73" s="291" t="s">
        <v>253</v>
      </c>
      <c r="B73" s="301" t="n">
        <v>16174</v>
      </c>
    </row>
    <row r="74" customFormat="false" ht="15" hidden="false" customHeight="false" outlineLevel="0" collapsed="false">
      <c r="A74" s="291" t="s">
        <v>254</v>
      </c>
      <c r="B74" s="301" t="n">
        <v>6941</v>
      </c>
    </row>
    <row r="75" customFormat="false" ht="15" hidden="false" customHeight="false" outlineLevel="0" collapsed="false">
      <c r="A75" s="291" t="s">
        <v>255</v>
      </c>
      <c r="B75" s="301" t="n">
        <v>5977</v>
      </c>
    </row>
    <row r="76" customFormat="false" ht="15" hidden="false" customHeight="false" outlineLevel="0" collapsed="false">
      <c r="A76" s="291" t="s">
        <v>256</v>
      </c>
      <c r="B76" s="301" t="n">
        <v>9042</v>
      </c>
    </row>
    <row r="77" customFormat="false" ht="15" hidden="false" customHeight="false" outlineLevel="0" collapsed="false">
      <c r="A77" s="291" t="s">
        <v>134</v>
      </c>
      <c r="B77" s="301" t="n">
        <v>9739</v>
      </c>
    </row>
    <row r="78" customFormat="false" ht="15" hidden="false" customHeight="false" outlineLevel="0" collapsed="false">
      <c r="A78" s="293" t="s">
        <v>133</v>
      </c>
      <c r="B78" s="294" t="n">
        <v>0</v>
      </c>
    </row>
    <row r="80" customFormat="false" ht="15" hidden="false" customHeight="false" outlineLevel="0" collapsed="false">
      <c r="A80" s="257" t="s">
        <v>265</v>
      </c>
      <c r="B80" s="256"/>
    </row>
    <row r="81" customFormat="false" ht="15" hidden="false" customHeight="false" outlineLevel="0" collapsed="false">
      <c r="A81" s="289" t="s">
        <v>132</v>
      </c>
      <c r="B81" s="290" t="s">
        <v>258</v>
      </c>
    </row>
    <row r="82" customFormat="false" ht="15" hidden="false" customHeight="false" outlineLevel="0" collapsed="false">
      <c r="A82" s="291" t="s">
        <v>251</v>
      </c>
      <c r="B82" s="301" t="n">
        <v>25793</v>
      </c>
    </row>
    <row r="83" customFormat="false" ht="15" hidden="false" customHeight="false" outlineLevel="0" collapsed="false">
      <c r="A83" s="291" t="s">
        <v>252</v>
      </c>
      <c r="B83" s="301" t="n">
        <v>24371</v>
      </c>
    </row>
    <row r="84" customFormat="false" ht="15" hidden="false" customHeight="false" outlineLevel="0" collapsed="false">
      <c r="A84" s="291" t="s">
        <v>253</v>
      </c>
      <c r="B84" s="301" t="n">
        <v>17657</v>
      </c>
    </row>
    <row r="85" customFormat="false" ht="15" hidden="false" customHeight="false" outlineLevel="0" collapsed="false">
      <c r="A85" s="291" t="s">
        <v>254</v>
      </c>
      <c r="B85" s="301" t="n">
        <v>7422</v>
      </c>
    </row>
    <row r="86" customFormat="false" ht="15" hidden="false" customHeight="false" outlineLevel="0" collapsed="false">
      <c r="A86" s="291" t="s">
        <v>255</v>
      </c>
      <c r="B86" s="301" t="n">
        <v>6468</v>
      </c>
    </row>
    <row r="87" customFormat="false" ht="15" hidden="false" customHeight="false" outlineLevel="0" collapsed="false">
      <c r="A87" s="291" t="s">
        <v>256</v>
      </c>
      <c r="B87" s="301" t="n">
        <v>9470</v>
      </c>
    </row>
    <row r="88" customFormat="false" ht="15" hidden="false" customHeight="false" outlineLevel="0" collapsed="false">
      <c r="A88" s="291" t="s">
        <v>134</v>
      </c>
      <c r="B88" s="301" t="n">
        <v>9977</v>
      </c>
    </row>
    <row r="89" customFormat="false" ht="15" hidden="false" customHeight="false" outlineLevel="0" collapsed="false">
      <c r="A89" s="293" t="s">
        <v>133</v>
      </c>
      <c r="B89" s="294" t="n">
        <v>18277</v>
      </c>
    </row>
    <row r="90" customFormat="false" ht="15" hidden="false" customHeight="false" outlineLevel="0" collapsed="false">
      <c r="B90" s="300"/>
    </row>
    <row r="91" customFormat="false" ht="15" hidden="false" customHeight="false" outlineLevel="0" collapsed="false">
      <c r="A91" s="257" t="s">
        <v>266</v>
      </c>
      <c r="B91" s="256"/>
    </row>
    <row r="92" customFormat="false" ht="15" hidden="false" customHeight="false" outlineLevel="0" collapsed="false">
      <c r="A92" s="289" t="s">
        <v>132</v>
      </c>
      <c r="B92" s="290" t="s">
        <v>105</v>
      </c>
    </row>
    <row r="93" customFormat="false" ht="15" hidden="false" customHeight="false" outlineLevel="0" collapsed="false">
      <c r="A93" s="291" t="s">
        <v>251</v>
      </c>
      <c r="B93" s="301" t="n">
        <v>13632</v>
      </c>
    </row>
    <row r="94" customFormat="false" ht="15" hidden="false" customHeight="false" outlineLevel="0" collapsed="false">
      <c r="A94" s="291" t="s">
        <v>252</v>
      </c>
      <c r="B94" s="301" t="n">
        <v>13203</v>
      </c>
    </row>
    <row r="95" customFormat="false" ht="15" hidden="false" customHeight="false" outlineLevel="0" collapsed="false">
      <c r="A95" s="291" t="s">
        <v>253</v>
      </c>
      <c r="B95" s="301" t="n">
        <v>10998</v>
      </c>
    </row>
    <row r="96" customFormat="false" ht="15" hidden="false" customHeight="false" outlineLevel="0" collapsed="false">
      <c r="A96" s="291" t="s">
        <v>254</v>
      </c>
      <c r="B96" s="301" t="n">
        <v>64</v>
      </c>
    </row>
    <row r="97" customFormat="false" ht="15" hidden="false" customHeight="false" outlineLevel="0" collapsed="false">
      <c r="A97" s="291" t="s">
        <v>255</v>
      </c>
      <c r="B97" s="301" t="n">
        <v>4065</v>
      </c>
    </row>
    <row r="98" customFormat="false" ht="15" hidden="false" customHeight="false" outlineLevel="0" collapsed="false">
      <c r="A98" s="291" t="s">
        <v>256</v>
      </c>
      <c r="B98" s="301" t="n">
        <v>5801</v>
      </c>
    </row>
    <row r="99" customFormat="false" ht="15" hidden="false" customHeight="false" outlineLevel="0" collapsed="false">
      <c r="A99" s="291" t="s">
        <v>134</v>
      </c>
      <c r="B99" s="301" t="n">
        <v>6458</v>
      </c>
    </row>
    <row r="100" customFormat="false" ht="15" hidden="false" customHeight="false" outlineLevel="0" collapsed="false">
      <c r="A100" s="293" t="s">
        <v>133</v>
      </c>
      <c r="B100" s="294" t="n">
        <v>0</v>
      </c>
    </row>
    <row r="101" customFormat="false" ht="15" hidden="false" customHeight="false" outlineLevel="0" collapsed="false">
      <c r="B101" s="300"/>
    </row>
    <row r="102" customFormat="false" ht="15" hidden="false" customHeight="false" outlineLevel="0" collapsed="false">
      <c r="A102" s="257" t="s">
        <v>267</v>
      </c>
      <c r="B102" s="256"/>
    </row>
    <row r="103" customFormat="false" ht="15" hidden="false" customHeight="false" outlineLevel="0" collapsed="false">
      <c r="A103" s="289" t="s">
        <v>268</v>
      </c>
      <c r="B103" s="302" t="s">
        <v>251</v>
      </c>
      <c r="C103" s="302" t="s">
        <v>252</v>
      </c>
      <c r="D103" s="302" t="s">
        <v>253</v>
      </c>
      <c r="E103" s="302" t="s">
        <v>254</v>
      </c>
      <c r="F103" s="302" t="s">
        <v>261</v>
      </c>
      <c r="G103" s="302" t="s">
        <v>256</v>
      </c>
      <c r="H103" s="302" t="s">
        <v>134</v>
      </c>
      <c r="I103" s="290" t="s">
        <v>133</v>
      </c>
    </row>
    <row r="104" customFormat="false" ht="15" hidden="false" customHeight="false" outlineLevel="0" collapsed="false">
      <c r="A104" s="291" t="s">
        <v>269</v>
      </c>
      <c r="B104" s="303"/>
      <c r="C104" s="303"/>
      <c r="D104" s="303"/>
      <c r="E104" s="303"/>
      <c r="F104" s="304" t="n">
        <v>23</v>
      </c>
      <c r="G104" s="304" t="n">
        <v>123</v>
      </c>
      <c r="H104" s="304" t="n">
        <v>70</v>
      </c>
      <c r="I104" s="301" t="n">
        <v>0</v>
      </c>
    </row>
    <row r="105" customFormat="false" ht="15" hidden="false" customHeight="false" outlineLevel="0" collapsed="false">
      <c r="A105" s="291" t="s">
        <v>270</v>
      </c>
      <c r="B105" s="303" t="n">
        <v>0</v>
      </c>
      <c r="C105" s="303" t="n">
        <v>0</v>
      </c>
      <c r="D105" s="303" t="n">
        <v>0</v>
      </c>
      <c r="E105" s="304" t="n">
        <v>10</v>
      </c>
      <c r="F105" s="304" t="n">
        <v>37</v>
      </c>
      <c r="G105" s="304" t="n">
        <v>69</v>
      </c>
      <c r="H105" s="304" t="n">
        <v>56</v>
      </c>
      <c r="I105" s="301" t="n">
        <v>0</v>
      </c>
    </row>
    <row r="106" customFormat="false" ht="15" hidden="false" customHeight="false" outlineLevel="0" collapsed="false">
      <c r="A106" s="291" t="s">
        <v>271</v>
      </c>
      <c r="B106" s="303"/>
      <c r="C106" s="303"/>
      <c r="D106" s="303"/>
      <c r="E106" s="303"/>
      <c r="F106" s="304" t="n">
        <v>54</v>
      </c>
      <c r="G106" s="304" t="n">
        <v>129</v>
      </c>
      <c r="H106" s="304" t="n">
        <v>70</v>
      </c>
      <c r="I106" s="301" t="n">
        <v>0</v>
      </c>
    </row>
    <row r="107" customFormat="false" ht="15" hidden="false" customHeight="false" outlineLevel="0" collapsed="false">
      <c r="A107" s="291" t="s">
        <v>272</v>
      </c>
      <c r="B107" s="304" t="n">
        <v>10119</v>
      </c>
      <c r="C107" s="304" t="n">
        <v>9164</v>
      </c>
      <c r="D107" s="304" t="n">
        <v>6123</v>
      </c>
      <c r="E107" s="304" t="n">
        <v>5270</v>
      </c>
      <c r="F107" s="304" t="n">
        <v>6607</v>
      </c>
      <c r="G107" s="304" t="n">
        <v>5089</v>
      </c>
      <c r="H107" s="304" t="n">
        <v>4958</v>
      </c>
      <c r="I107" s="301" t="n">
        <v>0</v>
      </c>
    </row>
    <row r="108" customFormat="false" ht="15" hidden="false" customHeight="false" outlineLevel="0" collapsed="false">
      <c r="A108" s="291" t="s">
        <v>273</v>
      </c>
      <c r="B108" s="303"/>
      <c r="C108" s="303"/>
      <c r="D108" s="303"/>
      <c r="E108" s="303"/>
      <c r="F108" s="303"/>
      <c r="G108" s="304" t="n">
        <v>39</v>
      </c>
      <c r="H108" s="304" t="n">
        <v>34</v>
      </c>
      <c r="I108" s="301" t="n">
        <v>0</v>
      </c>
    </row>
    <row r="109" customFormat="false" ht="15" hidden="false" customHeight="false" outlineLevel="0" collapsed="false">
      <c r="A109" s="291" t="s">
        <v>274</v>
      </c>
      <c r="B109" s="303" t="n">
        <v>0</v>
      </c>
      <c r="C109" s="303" t="n">
        <v>0</v>
      </c>
      <c r="D109" s="303" t="n">
        <v>0</v>
      </c>
      <c r="E109" s="304" t="n">
        <v>1303</v>
      </c>
      <c r="F109" s="304" t="n">
        <v>4296</v>
      </c>
      <c r="G109" s="304" t="n">
        <v>1008</v>
      </c>
      <c r="H109" s="304" t="n">
        <v>551</v>
      </c>
      <c r="I109" s="301" t="n">
        <v>0</v>
      </c>
    </row>
    <row r="110" customFormat="false" ht="15" hidden="false" customHeight="false" outlineLevel="0" collapsed="false">
      <c r="A110" s="291" t="s">
        <v>275</v>
      </c>
      <c r="B110" s="304" t="n">
        <v>13597</v>
      </c>
      <c r="C110" s="304" t="n">
        <v>13716</v>
      </c>
      <c r="D110" s="304" t="n">
        <v>9950</v>
      </c>
      <c r="E110" s="304" t="n">
        <v>10790</v>
      </c>
      <c r="F110" s="304" t="n">
        <v>16487</v>
      </c>
      <c r="G110" s="304" t="n">
        <v>11532</v>
      </c>
      <c r="H110" s="304" t="n">
        <v>12273</v>
      </c>
      <c r="I110" s="301" t="n">
        <v>0</v>
      </c>
    </row>
    <row r="111" customFormat="false" ht="15" hidden="false" customHeight="false" outlineLevel="0" collapsed="false">
      <c r="A111" s="291" t="s">
        <v>276</v>
      </c>
      <c r="B111" s="303"/>
      <c r="C111" s="303"/>
      <c r="D111" s="303"/>
      <c r="E111" s="303"/>
      <c r="F111" s="303"/>
      <c r="G111" s="303"/>
      <c r="H111" s="303"/>
      <c r="I111" s="305" t="n">
        <v>0</v>
      </c>
    </row>
    <row r="112" customFormat="false" ht="15" hidden="false" customHeight="false" outlineLevel="0" collapsed="false">
      <c r="A112" s="291" t="s">
        <v>277</v>
      </c>
      <c r="B112" s="304" t="n">
        <v>53</v>
      </c>
      <c r="C112" s="304" t="n">
        <v>34</v>
      </c>
      <c r="D112" s="304" t="n">
        <v>36</v>
      </c>
      <c r="E112" s="304" t="n">
        <v>11</v>
      </c>
      <c r="F112" s="304" t="n">
        <v>30</v>
      </c>
      <c r="G112" s="304" t="n">
        <v>58</v>
      </c>
      <c r="H112" s="304" t="n">
        <v>35</v>
      </c>
      <c r="I112" s="301" t="n">
        <v>0</v>
      </c>
    </row>
    <row r="113" customFormat="false" ht="15" hidden="false" customHeight="false" outlineLevel="0" collapsed="false">
      <c r="A113" s="291" t="s">
        <v>278</v>
      </c>
      <c r="B113" s="304" t="n">
        <v>637</v>
      </c>
      <c r="C113" s="304" t="n">
        <v>823</v>
      </c>
      <c r="D113" s="304" t="n">
        <v>543</v>
      </c>
      <c r="E113" s="304" t="n">
        <v>2222</v>
      </c>
      <c r="F113" s="304" t="n">
        <v>10858</v>
      </c>
      <c r="G113" s="304" t="n">
        <v>21525</v>
      </c>
      <c r="H113" s="304" t="n">
        <v>8651</v>
      </c>
      <c r="I113" s="301" t="n">
        <v>0</v>
      </c>
    </row>
    <row r="114" customFormat="false" ht="15" hidden="false" customHeight="false" outlineLevel="0" collapsed="false">
      <c r="A114" s="291" t="s">
        <v>279</v>
      </c>
      <c r="B114" s="304" t="n">
        <v>236</v>
      </c>
      <c r="C114" s="304" t="n">
        <v>132</v>
      </c>
      <c r="D114" s="304" t="n">
        <v>105</v>
      </c>
      <c r="E114" s="304" t="n">
        <v>52</v>
      </c>
      <c r="F114" s="304" t="n">
        <v>88</v>
      </c>
      <c r="G114" s="304" t="n">
        <v>194</v>
      </c>
      <c r="H114" s="304" t="n">
        <v>68</v>
      </c>
      <c r="I114" s="301" t="n">
        <v>0</v>
      </c>
    </row>
    <row r="115" customFormat="false" ht="15" hidden="false" customHeight="false" outlineLevel="0" collapsed="false">
      <c r="A115" s="291" t="s">
        <v>280</v>
      </c>
      <c r="B115" s="304" t="n">
        <v>81</v>
      </c>
      <c r="C115" s="304" t="n">
        <v>40</v>
      </c>
      <c r="D115" s="304" t="n">
        <v>29</v>
      </c>
      <c r="E115" s="304" t="n">
        <v>12</v>
      </c>
      <c r="F115" s="304" t="n">
        <v>5</v>
      </c>
      <c r="G115" s="304" t="n">
        <v>8</v>
      </c>
      <c r="H115" s="304" t="n">
        <v>4</v>
      </c>
      <c r="I115" s="301" t="n">
        <v>0</v>
      </c>
    </row>
    <row r="116" customFormat="false" ht="15" hidden="false" customHeight="false" outlineLevel="0" collapsed="false">
      <c r="A116" s="291" t="s">
        <v>281</v>
      </c>
      <c r="B116" s="304" t="n">
        <v>134</v>
      </c>
      <c r="C116" s="304" t="n">
        <v>82</v>
      </c>
      <c r="D116" s="304" t="n">
        <v>72</v>
      </c>
      <c r="E116" s="304" t="n">
        <v>29</v>
      </c>
      <c r="F116" s="304" t="n">
        <v>26</v>
      </c>
      <c r="G116" s="304" t="n">
        <v>38</v>
      </c>
      <c r="H116" s="304" t="n">
        <v>58</v>
      </c>
      <c r="I116" s="301" t="n">
        <v>0</v>
      </c>
    </row>
    <row r="117" customFormat="false" ht="15" hidden="false" customHeight="false" outlineLevel="0" collapsed="false">
      <c r="A117" s="291" t="s">
        <v>282</v>
      </c>
      <c r="B117" s="304" t="n">
        <v>27</v>
      </c>
      <c r="C117" s="304" t="n">
        <v>19</v>
      </c>
      <c r="D117" s="304" t="n">
        <v>17</v>
      </c>
      <c r="E117" s="304" t="n">
        <v>7</v>
      </c>
      <c r="F117" s="304" t="n">
        <v>12</v>
      </c>
      <c r="G117" s="304" t="n">
        <v>25</v>
      </c>
      <c r="H117" s="304" t="n">
        <v>40</v>
      </c>
      <c r="I117" s="301" t="n">
        <v>0</v>
      </c>
    </row>
    <row r="118" customFormat="false" ht="15" hidden="false" customHeight="false" outlineLevel="0" collapsed="false">
      <c r="A118" s="291" t="s">
        <v>283</v>
      </c>
      <c r="B118" s="303"/>
      <c r="C118" s="303"/>
      <c r="D118" s="303"/>
      <c r="E118" s="303"/>
      <c r="F118" s="304" t="n">
        <v>86</v>
      </c>
      <c r="G118" s="304" t="n">
        <v>199</v>
      </c>
      <c r="H118" s="304" t="n">
        <v>38</v>
      </c>
      <c r="I118" s="301" t="n">
        <v>0</v>
      </c>
    </row>
    <row r="119" customFormat="false" ht="15" hidden="false" customHeight="false" outlineLevel="0" collapsed="false">
      <c r="A119" s="291" t="s">
        <v>284</v>
      </c>
      <c r="B119" s="303" t="n">
        <v>0</v>
      </c>
      <c r="C119" s="303" t="n">
        <v>0</v>
      </c>
      <c r="D119" s="303" t="n">
        <v>0</v>
      </c>
      <c r="E119" s="304" t="n">
        <v>2452</v>
      </c>
      <c r="F119" s="304" t="n">
        <v>17061</v>
      </c>
      <c r="G119" s="304" t="n">
        <v>17048</v>
      </c>
      <c r="H119" s="304" t="n">
        <v>4979</v>
      </c>
      <c r="I119" s="301" t="n">
        <v>0</v>
      </c>
    </row>
    <row r="120" customFormat="false" ht="15" hidden="false" customHeight="false" outlineLevel="0" collapsed="false">
      <c r="A120" s="293" t="s">
        <v>285</v>
      </c>
      <c r="B120" s="306" t="n">
        <v>51</v>
      </c>
      <c r="C120" s="306" t="n">
        <v>32</v>
      </c>
      <c r="D120" s="306" t="n">
        <v>14</v>
      </c>
      <c r="E120" s="306" t="n">
        <v>5</v>
      </c>
      <c r="F120" s="306" t="n">
        <v>24</v>
      </c>
      <c r="G120" s="306" t="n">
        <v>9</v>
      </c>
      <c r="H120" s="306" t="n">
        <v>11</v>
      </c>
      <c r="I120" s="294" t="n">
        <v>0</v>
      </c>
    </row>
    <row r="122" customFormat="false" ht="15" hidden="false" customHeight="false" outlineLevel="0" collapsed="false">
      <c r="A122" s="257" t="s">
        <v>286</v>
      </c>
      <c r="B122" s="256"/>
    </row>
    <row r="123" customFormat="false" ht="15" hidden="false" customHeight="false" outlineLevel="0" collapsed="false">
      <c r="A123" s="289" t="s">
        <v>268</v>
      </c>
      <c r="B123" s="302" t="s">
        <v>251</v>
      </c>
      <c r="C123" s="302" t="s">
        <v>252</v>
      </c>
      <c r="D123" s="302" t="s">
        <v>253</v>
      </c>
      <c r="E123" s="302" t="s">
        <v>254</v>
      </c>
      <c r="F123" s="302" t="s">
        <v>261</v>
      </c>
      <c r="G123" s="302" t="s">
        <v>256</v>
      </c>
      <c r="H123" s="302" t="s">
        <v>134</v>
      </c>
      <c r="I123" s="290" t="s">
        <v>133</v>
      </c>
    </row>
    <row r="124" customFormat="false" ht="15" hidden="false" customHeight="false" outlineLevel="0" collapsed="false">
      <c r="A124" s="291" t="s">
        <v>269</v>
      </c>
      <c r="B124" s="303"/>
      <c r="C124" s="303"/>
      <c r="D124" s="303"/>
      <c r="E124" s="303"/>
      <c r="F124" s="304" t="n">
        <v>173</v>
      </c>
      <c r="G124" s="304" t="n">
        <v>649</v>
      </c>
      <c r="H124" s="304" t="n">
        <v>491</v>
      </c>
      <c r="I124" s="301" t="n">
        <v>0</v>
      </c>
    </row>
    <row r="125" customFormat="false" ht="15" hidden="false" customHeight="false" outlineLevel="0" collapsed="false">
      <c r="A125" s="291" t="s">
        <v>270</v>
      </c>
      <c r="B125" s="303" t="n">
        <v>0</v>
      </c>
      <c r="C125" s="303" t="n">
        <v>0</v>
      </c>
      <c r="D125" s="303" t="n">
        <v>0</v>
      </c>
      <c r="E125" s="304" t="n">
        <v>10</v>
      </c>
      <c r="F125" s="304" t="n">
        <v>36</v>
      </c>
      <c r="G125" s="304" t="n">
        <v>49</v>
      </c>
      <c r="H125" s="304" t="n">
        <v>55</v>
      </c>
      <c r="I125" s="301" t="n">
        <v>0</v>
      </c>
    </row>
    <row r="126" customFormat="false" ht="15" hidden="false" customHeight="false" outlineLevel="0" collapsed="false">
      <c r="A126" s="291" t="s">
        <v>271</v>
      </c>
      <c r="B126" s="303"/>
      <c r="C126" s="303"/>
      <c r="D126" s="303"/>
      <c r="E126" s="303"/>
      <c r="F126" s="304" t="n">
        <v>108</v>
      </c>
      <c r="G126" s="304" t="n">
        <v>689</v>
      </c>
      <c r="H126" s="304" t="n">
        <v>551</v>
      </c>
      <c r="I126" s="301" t="n">
        <v>0</v>
      </c>
    </row>
    <row r="127" customFormat="false" ht="15" hidden="false" customHeight="false" outlineLevel="0" collapsed="false">
      <c r="A127" s="291" t="s">
        <v>272</v>
      </c>
      <c r="B127" s="304" t="n">
        <v>33169</v>
      </c>
      <c r="C127" s="304" t="n">
        <v>43408</v>
      </c>
      <c r="D127" s="304" t="n">
        <v>11108</v>
      </c>
      <c r="E127" s="304" t="n">
        <v>5137</v>
      </c>
      <c r="F127" s="304" t="n">
        <v>5367</v>
      </c>
      <c r="G127" s="304" t="n">
        <v>8904</v>
      </c>
      <c r="H127" s="304" t="n">
        <v>10786</v>
      </c>
      <c r="I127" s="301" t="n">
        <v>0</v>
      </c>
    </row>
    <row r="128" customFormat="false" ht="15" hidden="false" customHeight="false" outlineLevel="0" collapsed="false">
      <c r="A128" s="291" t="s">
        <v>273</v>
      </c>
      <c r="B128" s="303"/>
      <c r="C128" s="303"/>
      <c r="D128" s="303"/>
      <c r="E128" s="303"/>
      <c r="F128" s="303"/>
      <c r="G128" s="304" t="n">
        <v>200</v>
      </c>
      <c r="H128" s="304" t="n">
        <v>282</v>
      </c>
      <c r="I128" s="301" t="n">
        <v>0</v>
      </c>
    </row>
    <row r="129" customFormat="false" ht="15" hidden="false" customHeight="false" outlineLevel="0" collapsed="false">
      <c r="A129" s="291" t="s">
        <v>274</v>
      </c>
      <c r="B129" s="303" t="n">
        <v>0</v>
      </c>
      <c r="C129" s="303" t="n">
        <v>0</v>
      </c>
      <c r="D129" s="303" t="n">
        <v>0</v>
      </c>
      <c r="E129" s="304" t="n">
        <v>12331</v>
      </c>
      <c r="F129" s="304" t="n">
        <v>3926</v>
      </c>
      <c r="G129" s="304" t="n">
        <v>1684</v>
      </c>
      <c r="H129" s="304" t="n">
        <v>2239</v>
      </c>
      <c r="I129" s="301" t="n">
        <v>0</v>
      </c>
    </row>
    <row r="130" customFormat="false" ht="15" hidden="false" customHeight="false" outlineLevel="0" collapsed="false">
      <c r="A130" s="291" t="s">
        <v>275</v>
      </c>
      <c r="B130" s="304" t="n">
        <v>62461</v>
      </c>
      <c r="C130" s="304" t="n">
        <v>104166</v>
      </c>
      <c r="D130" s="304" t="n">
        <v>16860</v>
      </c>
      <c r="E130" s="304" t="n">
        <v>13106</v>
      </c>
      <c r="F130" s="304" t="n">
        <v>11239</v>
      </c>
      <c r="G130" s="304" t="n">
        <v>21610</v>
      </c>
      <c r="H130" s="304" t="n">
        <v>27895</v>
      </c>
      <c r="I130" s="301" t="n">
        <v>0</v>
      </c>
    </row>
    <row r="131" customFormat="false" ht="15" hidden="false" customHeight="false" outlineLevel="0" collapsed="false">
      <c r="A131" s="291" t="s">
        <v>276</v>
      </c>
      <c r="B131" s="303"/>
      <c r="C131" s="303"/>
      <c r="D131" s="303"/>
      <c r="E131" s="303"/>
      <c r="F131" s="303"/>
      <c r="G131" s="303"/>
      <c r="H131" s="303"/>
      <c r="I131" s="305" t="n">
        <v>0</v>
      </c>
    </row>
    <row r="132" customFormat="false" ht="15" hidden="false" customHeight="false" outlineLevel="0" collapsed="false">
      <c r="A132" s="291" t="s">
        <v>277</v>
      </c>
      <c r="B132" s="304" t="n">
        <v>777</v>
      </c>
      <c r="C132" s="304" t="n">
        <v>371</v>
      </c>
      <c r="D132" s="304" t="n">
        <v>152</v>
      </c>
      <c r="E132" s="304" t="n">
        <v>384</v>
      </c>
      <c r="F132" s="304" t="n">
        <v>962</v>
      </c>
      <c r="G132" s="304" t="n">
        <v>835</v>
      </c>
      <c r="H132" s="304" t="n">
        <v>693</v>
      </c>
      <c r="I132" s="301" t="n">
        <v>0</v>
      </c>
    </row>
    <row r="133" customFormat="false" ht="15" hidden="false" customHeight="false" outlineLevel="0" collapsed="false">
      <c r="A133" s="291" t="s">
        <v>278</v>
      </c>
      <c r="B133" s="304" t="n">
        <v>3428</v>
      </c>
      <c r="C133" s="304" t="n">
        <v>7893</v>
      </c>
      <c r="D133" s="304" t="n">
        <v>1467</v>
      </c>
      <c r="E133" s="304" t="n">
        <v>26920</v>
      </c>
      <c r="F133" s="304" t="n">
        <v>48045</v>
      </c>
      <c r="G133" s="304" t="n">
        <v>4448</v>
      </c>
      <c r="H133" s="304" t="n">
        <v>10335</v>
      </c>
      <c r="I133" s="301" t="n">
        <v>0</v>
      </c>
    </row>
    <row r="134" customFormat="false" ht="15" hidden="false" customHeight="false" outlineLevel="0" collapsed="false">
      <c r="A134" s="291" t="s">
        <v>279</v>
      </c>
      <c r="B134" s="304" t="n">
        <v>290</v>
      </c>
      <c r="C134" s="304" t="n">
        <v>155</v>
      </c>
      <c r="D134" s="304" t="n">
        <v>129</v>
      </c>
      <c r="E134" s="304" t="n">
        <v>106</v>
      </c>
      <c r="F134" s="304" t="n">
        <v>502</v>
      </c>
      <c r="G134" s="304" t="n">
        <v>496</v>
      </c>
      <c r="H134" s="304" t="n">
        <v>191</v>
      </c>
      <c r="I134" s="301" t="n">
        <v>0</v>
      </c>
    </row>
    <row r="135" customFormat="false" ht="15" hidden="false" customHeight="false" outlineLevel="0" collapsed="false">
      <c r="A135" s="291" t="s">
        <v>280</v>
      </c>
      <c r="B135" s="304" t="n">
        <v>113</v>
      </c>
      <c r="C135" s="304" t="n">
        <v>61</v>
      </c>
      <c r="D135" s="304" t="n">
        <v>39</v>
      </c>
      <c r="E135" s="304" t="n">
        <v>15</v>
      </c>
      <c r="F135" s="304" t="n">
        <v>9</v>
      </c>
      <c r="G135" s="304" t="n">
        <v>11</v>
      </c>
      <c r="H135" s="304" t="n">
        <v>7</v>
      </c>
      <c r="I135" s="301" t="n">
        <v>0</v>
      </c>
    </row>
    <row r="136" customFormat="false" ht="15" hidden="false" customHeight="false" outlineLevel="0" collapsed="false">
      <c r="A136" s="291" t="s">
        <v>281</v>
      </c>
      <c r="B136" s="304" t="n">
        <v>121</v>
      </c>
      <c r="C136" s="304" t="n">
        <v>73</v>
      </c>
      <c r="D136" s="304" t="n">
        <v>68</v>
      </c>
      <c r="E136" s="304" t="n">
        <v>46</v>
      </c>
      <c r="F136" s="304" t="n">
        <v>58</v>
      </c>
      <c r="G136" s="304" t="n">
        <v>125</v>
      </c>
      <c r="H136" s="304" t="n">
        <v>508</v>
      </c>
      <c r="I136" s="301" t="n">
        <v>0</v>
      </c>
    </row>
    <row r="137" customFormat="false" ht="15" hidden="false" customHeight="false" outlineLevel="0" collapsed="false">
      <c r="A137" s="291" t="s">
        <v>282</v>
      </c>
      <c r="B137" s="304" t="n">
        <v>41</v>
      </c>
      <c r="C137" s="304" t="n">
        <v>31</v>
      </c>
      <c r="D137" s="304" t="n">
        <v>21</v>
      </c>
      <c r="E137" s="304" t="n">
        <v>19</v>
      </c>
      <c r="F137" s="304" t="n">
        <v>107</v>
      </c>
      <c r="G137" s="304" t="n">
        <v>192</v>
      </c>
      <c r="H137" s="304" t="n">
        <v>269</v>
      </c>
      <c r="I137" s="301" t="n">
        <v>0</v>
      </c>
    </row>
    <row r="138" customFormat="false" ht="15" hidden="false" customHeight="false" outlineLevel="0" collapsed="false">
      <c r="A138" s="291" t="s">
        <v>283</v>
      </c>
      <c r="B138" s="303"/>
      <c r="C138" s="303"/>
      <c r="D138" s="303"/>
      <c r="E138" s="303"/>
      <c r="F138" s="304" t="n">
        <v>75</v>
      </c>
      <c r="G138" s="304" t="n">
        <v>105</v>
      </c>
      <c r="H138" s="304" t="n">
        <v>106</v>
      </c>
      <c r="I138" s="301" t="n">
        <v>0</v>
      </c>
    </row>
    <row r="139" customFormat="false" ht="15" hidden="false" customHeight="false" outlineLevel="0" collapsed="false">
      <c r="A139" s="291" t="s">
        <v>284</v>
      </c>
      <c r="B139" s="303" t="n">
        <v>0</v>
      </c>
      <c r="C139" s="303" t="n">
        <v>0</v>
      </c>
      <c r="D139" s="303" t="n">
        <v>0</v>
      </c>
      <c r="E139" s="304" t="n">
        <v>3823</v>
      </c>
      <c r="F139" s="304" t="n">
        <v>36644</v>
      </c>
      <c r="G139" s="304" t="n">
        <v>14918</v>
      </c>
      <c r="H139" s="304" t="n">
        <v>18343</v>
      </c>
      <c r="I139" s="301" t="n">
        <v>0</v>
      </c>
    </row>
    <row r="140" customFormat="false" ht="15" hidden="false" customHeight="false" outlineLevel="0" collapsed="false">
      <c r="A140" s="293" t="s">
        <v>285</v>
      </c>
      <c r="B140" s="306" t="n">
        <v>99</v>
      </c>
      <c r="C140" s="306" t="n">
        <v>83</v>
      </c>
      <c r="D140" s="306" t="n">
        <v>37</v>
      </c>
      <c r="E140" s="306" t="n">
        <v>43</v>
      </c>
      <c r="F140" s="306" t="n">
        <v>75</v>
      </c>
      <c r="G140" s="306" t="n">
        <v>42</v>
      </c>
      <c r="H140" s="306" t="n">
        <v>96</v>
      </c>
      <c r="I140" s="294" t="n">
        <v>0</v>
      </c>
    </row>
    <row r="141" customFormat="false" ht="15" hidden="false" customHeight="false" outlineLevel="0" collapsed="false">
      <c r="A141" s="307"/>
      <c r="B141" s="308"/>
      <c r="C141" s="308"/>
      <c r="D141" s="308"/>
      <c r="E141" s="308"/>
      <c r="F141" s="308"/>
    </row>
    <row r="142" customFormat="false" ht="15" hidden="false" customHeight="false" outlineLevel="0" collapsed="false">
      <c r="A142" s="257" t="s">
        <v>287</v>
      </c>
      <c r="B142" s="256"/>
    </row>
    <row r="143" customFormat="false" ht="15" hidden="false" customHeight="false" outlineLevel="0" collapsed="false">
      <c r="A143" s="289" t="s">
        <v>268</v>
      </c>
      <c r="B143" s="302" t="s">
        <v>251</v>
      </c>
      <c r="C143" s="302" t="s">
        <v>252</v>
      </c>
      <c r="D143" s="302" t="s">
        <v>253</v>
      </c>
      <c r="E143" s="302" t="s">
        <v>254</v>
      </c>
      <c r="F143" s="302" t="s">
        <v>261</v>
      </c>
      <c r="G143" s="302" t="s">
        <v>256</v>
      </c>
      <c r="H143" s="302" t="s">
        <v>134</v>
      </c>
      <c r="I143" s="290" t="s">
        <v>133</v>
      </c>
    </row>
    <row r="144" customFormat="false" ht="15" hidden="false" customHeight="false" outlineLevel="0" collapsed="false">
      <c r="A144" s="291" t="s">
        <v>269</v>
      </c>
      <c r="B144" s="303"/>
      <c r="C144" s="303"/>
      <c r="D144" s="303"/>
      <c r="E144" s="303"/>
      <c r="F144" s="304" t="n">
        <v>8</v>
      </c>
      <c r="G144" s="304" t="n">
        <v>47</v>
      </c>
      <c r="H144" s="304" t="n">
        <v>122</v>
      </c>
      <c r="I144" s="301" t="n">
        <v>0</v>
      </c>
    </row>
    <row r="145" customFormat="false" ht="15" hidden="false" customHeight="false" outlineLevel="0" collapsed="false">
      <c r="A145" s="291" t="s">
        <v>270</v>
      </c>
      <c r="B145" s="303" t="n">
        <v>0</v>
      </c>
      <c r="C145" s="303" t="n">
        <v>0</v>
      </c>
      <c r="D145" s="303" t="n">
        <v>0</v>
      </c>
      <c r="E145" s="304" t="n">
        <v>0</v>
      </c>
      <c r="F145" s="304" t="n">
        <v>1</v>
      </c>
      <c r="G145" s="304" t="n">
        <v>2</v>
      </c>
      <c r="H145" s="304" t="n">
        <v>1</v>
      </c>
      <c r="I145" s="301" t="n">
        <v>0</v>
      </c>
    </row>
    <row r="146" customFormat="false" ht="15" hidden="false" customHeight="false" outlineLevel="0" collapsed="false">
      <c r="A146" s="291" t="s">
        <v>271</v>
      </c>
      <c r="B146" s="303"/>
      <c r="C146" s="303"/>
      <c r="D146" s="303"/>
      <c r="E146" s="303"/>
      <c r="F146" s="304" t="n">
        <v>5</v>
      </c>
      <c r="G146" s="304" t="n">
        <v>42</v>
      </c>
      <c r="H146" s="304" t="n">
        <v>24</v>
      </c>
      <c r="I146" s="301" t="n">
        <v>0</v>
      </c>
    </row>
    <row r="147" customFormat="false" ht="15" hidden="false" customHeight="false" outlineLevel="0" collapsed="false">
      <c r="A147" s="291" t="s">
        <v>272</v>
      </c>
      <c r="B147" s="304" t="n">
        <v>15445</v>
      </c>
      <c r="C147" s="304" t="n">
        <v>18981</v>
      </c>
      <c r="D147" s="304" t="n">
        <v>12590</v>
      </c>
      <c r="E147" s="304" t="n">
        <v>2872</v>
      </c>
      <c r="F147" s="304" t="n">
        <v>7376</v>
      </c>
      <c r="G147" s="304" t="n">
        <v>8600</v>
      </c>
      <c r="H147" s="304" t="n">
        <v>15255</v>
      </c>
      <c r="I147" s="301" t="n">
        <v>0</v>
      </c>
    </row>
    <row r="148" customFormat="false" ht="15" hidden="false" customHeight="false" outlineLevel="0" collapsed="false">
      <c r="A148" s="291" t="s">
        <v>273</v>
      </c>
      <c r="B148" s="303"/>
      <c r="C148" s="303"/>
      <c r="D148" s="303"/>
      <c r="E148" s="303"/>
      <c r="F148" s="303"/>
      <c r="G148" s="304" t="n">
        <v>37</v>
      </c>
      <c r="H148" s="304" t="n">
        <v>27</v>
      </c>
      <c r="I148" s="301" t="n">
        <v>0</v>
      </c>
    </row>
    <row r="149" customFormat="false" ht="15" hidden="false" customHeight="false" outlineLevel="0" collapsed="false">
      <c r="A149" s="291" t="s">
        <v>274</v>
      </c>
      <c r="B149" s="303" t="n">
        <v>0</v>
      </c>
      <c r="C149" s="303" t="n">
        <v>0</v>
      </c>
      <c r="D149" s="303" t="n">
        <v>0</v>
      </c>
      <c r="E149" s="304" t="n">
        <v>16</v>
      </c>
      <c r="F149" s="304" t="n">
        <v>1612</v>
      </c>
      <c r="G149" s="304" t="n">
        <v>1115</v>
      </c>
      <c r="H149" s="304" t="n">
        <v>767</v>
      </c>
      <c r="I149" s="301" t="n">
        <v>0</v>
      </c>
    </row>
    <row r="150" customFormat="false" ht="15" hidden="false" customHeight="false" outlineLevel="0" collapsed="false">
      <c r="A150" s="291" t="s">
        <v>275</v>
      </c>
      <c r="B150" s="304" t="n">
        <v>28894</v>
      </c>
      <c r="C150" s="304" t="n">
        <v>41800</v>
      </c>
      <c r="D150" s="304" t="n">
        <v>21139</v>
      </c>
      <c r="E150" s="304" t="n">
        <v>4904</v>
      </c>
      <c r="F150" s="304" t="n">
        <v>6541</v>
      </c>
      <c r="G150" s="304" t="n">
        <v>22631</v>
      </c>
      <c r="H150" s="304" t="n">
        <v>45535</v>
      </c>
      <c r="I150" s="301" t="n">
        <v>0</v>
      </c>
    </row>
    <row r="151" customFormat="false" ht="15" hidden="false" customHeight="false" outlineLevel="0" collapsed="false">
      <c r="A151" s="291" t="s">
        <v>276</v>
      </c>
      <c r="B151" s="303"/>
      <c r="C151" s="303"/>
      <c r="D151" s="303"/>
      <c r="E151" s="303"/>
      <c r="F151" s="303"/>
      <c r="G151" s="303"/>
      <c r="H151" s="303"/>
      <c r="I151" s="305" t="n">
        <v>0</v>
      </c>
    </row>
    <row r="152" customFormat="false" ht="15" hidden="false" customHeight="false" outlineLevel="0" collapsed="false">
      <c r="A152" s="291" t="s">
        <v>277</v>
      </c>
      <c r="B152" s="304" t="n">
        <v>45</v>
      </c>
      <c r="C152" s="304" t="n">
        <v>162</v>
      </c>
      <c r="D152" s="304" t="n">
        <v>97</v>
      </c>
      <c r="E152" s="304" t="n">
        <v>23</v>
      </c>
      <c r="F152" s="304" t="n">
        <v>32</v>
      </c>
      <c r="G152" s="304" t="n">
        <v>26</v>
      </c>
      <c r="H152" s="304" t="n">
        <v>57</v>
      </c>
      <c r="I152" s="301" t="n">
        <v>0</v>
      </c>
    </row>
    <row r="153" customFormat="false" ht="15" hidden="false" customHeight="false" outlineLevel="0" collapsed="false">
      <c r="A153" s="291" t="s">
        <v>278</v>
      </c>
      <c r="B153" s="304" t="n">
        <v>879</v>
      </c>
      <c r="C153" s="304" t="n">
        <v>2240</v>
      </c>
      <c r="D153" s="304" t="n">
        <v>1416</v>
      </c>
      <c r="E153" s="304" t="n">
        <v>964</v>
      </c>
      <c r="F153" s="304" t="n">
        <v>2605</v>
      </c>
      <c r="G153" s="304" t="n">
        <v>2408</v>
      </c>
      <c r="H153" s="304" t="n">
        <v>3857</v>
      </c>
      <c r="I153" s="301" t="n">
        <v>0</v>
      </c>
    </row>
    <row r="154" customFormat="false" ht="15" hidden="false" customHeight="false" outlineLevel="0" collapsed="false">
      <c r="A154" s="291" t="s">
        <v>279</v>
      </c>
      <c r="B154" s="304" t="n">
        <v>229</v>
      </c>
      <c r="C154" s="304" t="n">
        <v>151</v>
      </c>
      <c r="D154" s="304" t="n">
        <v>112</v>
      </c>
      <c r="E154" s="304" t="n">
        <v>47</v>
      </c>
      <c r="F154" s="304" t="n">
        <v>23</v>
      </c>
      <c r="G154" s="304" t="n">
        <v>47</v>
      </c>
      <c r="H154" s="304" t="n">
        <v>63</v>
      </c>
      <c r="I154" s="301" t="n">
        <v>0</v>
      </c>
    </row>
    <row r="155" customFormat="false" ht="15" hidden="false" customHeight="false" outlineLevel="0" collapsed="false">
      <c r="A155" s="291" t="s">
        <v>280</v>
      </c>
      <c r="B155" s="304" t="n">
        <v>61</v>
      </c>
      <c r="C155" s="304" t="n">
        <v>65</v>
      </c>
      <c r="D155" s="304" t="n">
        <v>41</v>
      </c>
      <c r="E155" s="304" t="n">
        <v>22</v>
      </c>
      <c r="F155" s="304" t="n">
        <v>0</v>
      </c>
      <c r="G155" s="304" t="n">
        <v>4</v>
      </c>
      <c r="H155" s="304" t="n">
        <v>0</v>
      </c>
      <c r="I155" s="301" t="n">
        <v>0</v>
      </c>
    </row>
    <row r="156" customFormat="false" ht="15" hidden="false" customHeight="false" outlineLevel="0" collapsed="false">
      <c r="A156" s="291" t="s">
        <v>281</v>
      </c>
      <c r="B156" s="304" t="n">
        <v>42</v>
      </c>
      <c r="C156" s="304" t="n">
        <v>18</v>
      </c>
      <c r="D156" s="304" t="n">
        <v>17</v>
      </c>
      <c r="E156" s="304" t="n">
        <v>4</v>
      </c>
      <c r="F156" s="304" t="n">
        <v>9</v>
      </c>
      <c r="G156" s="304" t="n">
        <v>15</v>
      </c>
      <c r="H156" s="304" t="n">
        <v>5</v>
      </c>
      <c r="I156" s="301" t="n">
        <v>0</v>
      </c>
    </row>
    <row r="157" customFormat="false" ht="15" hidden="false" customHeight="false" outlineLevel="0" collapsed="false">
      <c r="A157" s="291" t="s">
        <v>282</v>
      </c>
      <c r="B157" s="304" t="n">
        <v>7</v>
      </c>
      <c r="C157" s="304" t="n">
        <v>9</v>
      </c>
      <c r="D157" s="304" t="n">
        <v>2</v>
      </c>
      <c r="E157" s="304" t="n">
        <v>0</v>
      </c>
      <c r="F157" s="304" t="n">
        <v>6</v>
      </c>
      <c r="G157" s="304" t="n">
        <v>19</v>
      </c>
      <c r="H157" s="304" t="n">
        <v>10</v>
      </c>
      <c r="I157" s="301" t="n">
        <v>0</v>
      </c>
    </row>
    <row r="158" customFormat="false" ht="15" hidden="false" customHeight="false" outlineLevel="0" collapsed="false">
      <c r="A158" s="291" t="s">
        <v>283</v>
      </c>
      <c r="B158" s="303"/>
      <c r="C158" s="303"/>
      <c r="D158" s="303"/>
      <c r="E158" s="303"/>
      <c r="F158" s="304" t="n">
        <v>10</v>
      </c>
      <c r="G158" s="304" t="n">
        <v>41</v>
      </c>
      <c r="H158" s="304" t="n">
        <v>53</v>
      </c>
      <c r="I158" s="301" t="n">
        <v>0</v>
      </c>
    </row>
    <row r="159" customFormat="false" ht="15" hidden="false" customHeight="false" outlineLevel="0" collapsed="false">
      <c r="A159" s="291" t="s">
        <v>284</v>
      </c>
      <c r="B159" s="303" t="n">
        <v>0</v>
      </c>
      <c r="C159" s="303" t="n">
        <v>0</v>
      </c>
      <c r="D159" s="303" t="n">
        <v>0</v>
      </c>
      <c r="E159" s="304" t="n">
        <v>18</v>
      </c>
      <c r="F159" s="304" t="n">
        <v>197</v>
      </c>
      <c r="G159" s="304" t="n">
        <v>894</v>
      </c>
      <c r="H159" s="304" t="n">
        <v>3249</v>
      </c>
      <c r="I159" s="301" t="n">
        <v>0</v>
      </c>
    </row>
    <row r="160" customFormat="false" ht="15" hidden="false" customHeight="false" outlineLevel="0" collapsed="false">
      <c r="A160" s="293" t="s">
        <v>285</v>
      </c>
      <c r="B160" s="306" t="n">
        <v>24</v>
      </c>
      <c r="C160" s="306" t="n">
        <v>46</v>
      </c>
      <c r="D160" s="306" t="n">
        <v>14</v>
      </c>
      <c r="E160" s="306" t="n">
        <v>6</v>
      </c>
      <c r="F160" s="306" t="n">
        <v>17</v>
      </c>
      <c r="G160" s="306" t="n">
        <v>12</v>
      </c>
      <c r="H160" s="306" t="n">
        <v>11</v>
      </c>
      <c r="I160" s="294" t="n">
        <v>0</v>
      </c>
    </row>
  </sheetData>
  <mergeCells count="1">
    <mergeCell ref="A1:L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J8" activeCellId="0" sqref="J8"/>
    </sheetView>
  </sheetViews>
  <sheetFormatPr defaultColWidth="8.7578125" defaultRowHeight="15" customHeight="false" zeroHeight="false" outlineLevelRow="0" outlineLevelCol="0"/>
  <cols>
    <col collapsed="false" customWidth="true" hidden="false" outlineLevel="0" max="1" min="1" style="256" width="64"/>
    <col collapsed="false" customWidth="true" hidden="false" outlineLevel="0" max="2" min="2" style="256" width="13.75"/>
    <col collapsed="false" customWidth="true" hidden="false" outlineLevel="0" max="3" min="3" style="256" width="13.56"/>
    <col collapsed="false" customWidth="true" hidden="false" outlineLevel="0" max="4" min="4" style="256" width="15.22"/>
    <col collapsed="false" customWidth="true" hidden="false" outlineLevel="0" max="5" min="5" style="256" width="10.44"/>
    <col collapsed="false" customWidth="true" hidden="false" outlineLevel="0" max="7" min="6" style="256" width="10.2"/>
    <col collapsed="false" customWidth="true" hidden="false" outlineLevel="0" max="9" min="8" style="256" width="10.56"/>
    <col collapsed="false" customWidth="true" hidden="false" outlineLevel="0" max="10" min="10" style="256" width="11.44"/>
    <col collapsed="false" customWidth="true" hidden="false" outlineLevel="0" max="11" min="11" style="256" width="11.56"/>
    <col collapsed="false" customWidth="true" hidden="false" outlineLevel="0" max="12" min="12" style="256" width="13.56"/>
    <col collapsed="false" customWidth="true" hidden="false" outlineLevel="0" max="13" min="13" style="256" width="11.56"/>
    <col collapsed="false" customWidth="true" hidden="false" outlineLevel="0" max="14" min="14" style="256" width="14.44"/>
    <col collapsed="false" customWidth="true" hidden="false" outlineLevel="0" max="15" min="15" style="256" width="11"/>
    <col collapsed="false" customWidth="true" hidden="false" outlineLevel="0" max="16" min="16" style="256" width="13.44"/>
    <col collapsed="false" customWidth="false" hidden="false" outlineLevel="0" max="16384" min="17" style="256" width="8.76"/>
  </cols>
  <sheetData>
    <row r="1" customFormat="false" ht="15" hidden="false" customHeight="false" outlineLevel="0" collapsed="false">
      <c r="A1" s="257" t="s">
        <v>288</v>
      </c>
    </row>
    <row r="3" customFormat="false" ht="15" hidden="false" customHeight="false" outlineLevel="0" collapsed="false">
      <c r="A3" s="289"/>
      <c r="B3" s="302" t="n">
        <v>45689</v>
      </c>
      <c r="C3" s="302" t="n">
        <v>45717</v>
      </c>
      <c r="D3" s="302" t="n">
        <v>45748</v>
      </c>
      <c r="E3" s="302" t="n">
        <v>45778</v>
      </c>
      <c r="F3" s="302" t="n">
        <v>45809</v>
      </c>
      <c r="G3" s="302" t="n">
        <v>45839</v>
      </c>
      <c r="H3" s="302" t="n">
        <v>45870</v>
      </c>
      <c r="I3" s="290" t="n">
        <v>45901</v>
      </c>
      <c r="J3" s="309" t="n">
        <v>45931</v>
      </c>
      <c r="K3" s="310" t="n">
        <v>45962</v>
      </c>
      <c r="L3" s="310" t="n">
        <v>45992</v>
      </c>
      <c r="M3" s="310" t="n">
        <v>46023</v>
      </c>
      <c r="N3" s="310" t="n">
        <v>46054</v>
      </c>
      <c r="O3" s="310" t="n">
        <v>46082</v>
      </c>
      <c r="P3" s="311" t="n">
        <v>46113</v>
      </c>
    </row>
    <row r="4" customFormat="false" ht="15" hidden="false" customHeight="false" outlineLevel="0" collapsed="false">
      <c r="A4" s="291" t="s">
        <v>289</v>
      </c>
      <c r="B4" s="304" t="n">
        <v>0</v>
      </c>
      <c r="C4" s="304" t="n">
        <v>0</v>
      </c>
      <c r="D4" s="304" t="n">
        <v>0</v>
      </c>
      <c r="E4" s="304" t="n">
        <v>0</v>
      </c>
      <c r="F4" s="304" t="n">
        <v>0</v>
      </c>
      <c r="G4" s="304" t="n">
        <v>0</v>
      </c>
      <c r="H4" s="304" t="n">
        <v>0</v>
      </c>
      <c r="I4" s="301" t="n">
        <v>0</v>
      </c>
      <c r="J4" s="312" t="n">
        <v>1124</v>
      </c>
      <c r="K4" s="304" t="n">
        <v>1335</v>
      </c>
      <c r="L4" s="304" t="n">
        <v>2154</v>
      </c>
      <c r="M4" s="304" t="n">
        <v>2356</v>
      </c>
      <c r="N4" s="304" t="n">
        <v>2152</v>
      </c>
      <c r="O4" s="304" t="n">
        <v>2239</v>
      </c>
      <c r="P4" s="301" t="n">
        <v>236</v>
      </c>
    </row>
    <row r="5" customFormat="false" ht="15" hidden="false" customHeight="false" outlineLevel="0" collapsed="false">
      <c r="A5" s="291" t="s">
        <v>290</v>
      </c>
      <c r="B5" s="304" t="n">
        <v>0</v>
      </c>
      <c r="C5" s="304" t="n">
        <v>0</v>
      </c>
      <c r="D5" s="304" t="n">
        <v>0</v>
      </c>
      <c r="E5" s="304" t="n">
        <v>0</v>
      </c>
      <c r="F5" s="304" t="n">
        <v>0</v>
      </c>
      <c r="G5" s="304" t="n">
        <v>0</v>
      </c>
      <c r="H5" s="304" t="n">
        <v>0</v>
      </c>
      <c r="I5" s="301" t="n">
        <v>0</v>
      </c>
      <c r="J5" s="312" t="n">
        <v>37537</v>
      </c>
      <c r="K5" s="304" t="n">
        <v>36448</v>
      </c>
      <c r="L5" s="304" t="n">
        <v>38736</v>
      </c>
      <c r="M5" s="304" t="n">
        <v>37397</v>
      </c>
      <c r="N5" s="304" t="n">
        <v>36630</v>
      </c>
      <c r="O5" s="304" t="n">
        <v>36837</v>
      </c>
      <c r="P5" s="301" t="n">
        <v>4110</v>
      </c>
    </row>
    <row r="6" customFormat="false" ht="15" hidden="false" customHeight="false" outlineLevel="0" collapsed="false">
      <c r="A6" s="291" t="s">
        <v>291</v>
      </c>
      <c r="B6" s="313" t="n">
        <v>0</v>
      </c>
      <c r="C6" s="313" t="n">
        <v>0</v>
      </c>
      <c r="D6" s="313" t="n">
        <v>0</v>
      </c>
      <c r="E6" s="313" t="n">
        <v>0</v>
      </c>
      <c r="F6" s="313" t="n">
        <v>0</v>
      </c>
      <c r="G6" s="313" t="n">
        <v>0</v>
      </c>
      <c r="H6" s="313" t="n">
        <v>0</v>
      </c>
      <c r="I6" s="314" t="n">
        <v>0</v>
      </c>
      <c r="J6" s="315" t="n">
        <f aca="false">IF(ISERROR(J5/J4),0,J5/J4)</f>
        <v>33.3959074733096</v>
      </c>
      <c r="K6" s="313" t="n">
        <f aca="false">IF(ISERROR(K5/K4),0,K5/K4)</f>
        <v>27.301872659176</v>
      </c>
      <c r="L6" s="313" t="n">
        <f aca="false">IF(ISERROR(L5/L4),0,L5/L4)</f>
        <v>17.983286908078</v>
      </c>
      <c r="M6" s="313" t="n">
        <f aca="false">IF(ISERROR(M5/M4),0,M5/M4)</f>
        <v>15.8730899830221</v>
      </c>
      <c r="N6" s="313" t="n">
        <f aca="false">IF(ISERROR(N5/N4),0,N5/N4)</f>
        <v>17.021375464684</v>
      </c>
      <c r="O6" s="313" t="n">
        <f aca="false">IF(ISERROR(O5/O4),0,O5/O4)</f>
        <v>16.4524341223761</v>
      </c>
      <c r="P6" s="314" t="n">
        <f aca="false">IF(ISERROR(P5/P4),0,P5/P4)</f>
        <v>17.4152542372881</v>
      </c>
    </row>
    <row r="7" customFormat="false" ht="15" hidden="false" customHeight="false" outlineLevel="0" collapsed="false">
      <c r="A7" s="291" t="s">
        <v>292</v>
      </c>
      <c r="B7" s="316" t="n">
        <v>0</v>
      </c>
      <c r="C7" s="316" t="n">
        <v>0</v>
      </c>
      <c r="D7" s="316" t="n">
        <v>0</v>
      </c>
      <c r="E7" s="316" t="n">
        <v>0</v>
      </c>
      <c r="F7" s="316" t="n">
        <v>0</v>
      </c>
      <c r="G7" s="316" t="n">
        <v>0</v>
      </c>
      <c r="H7" s="316" t="n">
        <v>0</v>
      </c>
      <c r="I7" s="317" t="n">
        <v>0</v>
      </c>
      <c r="J7" s="318" t="n">
        <v>7352.00764818355</v>
      </c>
      <c r="K7" s="316" t="n">
        <v>7548.72792362768</v>
      </c>
      <c r="L7" s="316" t="n">
        <v>7003.40798442064</v>
      </c>
      <c r="M7" s="316" t="n">
        <v>7773.66209641751</v>
      </c>
      <c r="N7" s="316" t="n">
        <v>8833.95815295815</v>
      </c>
      <c r="O7" s="316" t="n">
        <v>8932.74898785425</v>
      </c>
      <c r="P7" s="317" t="n">
        <v>9897.21362229102</v>
      </c>
    </row>
    <row r="8" customFormat="false" ht="15" hidden="false" customHeight="false" outlineLevel="0" collapsed="false">
      <c r="A8" s="293" t="s">
        <v>293</v>
      </c>
      <c r="B8" s="319" t="n">
        <v>0</v>
      </c>
      <c r="C8" s="319" t="n">
        <v>0</v>
      </c>
      <c r="D8" s="319" t="n">
        <v>0</v>
      </c>
      <c r="E8" s="319" t="n">
        <v>0</v>
      </c>
      <c r="F8" s="319" t="n">
        <v>0</v>
      </c>
      <c r="G8" s="319" t="n">
        <v>0</v>
      </c>
      <c r="H8" s="319" t="n">
        <v>0</v>
      </c>
      <c r="I8" s="320" t="n">
        <v>0</v>
      </c>
      <c r="J8" s="321" t="n">
        <v>51.3167</v>
      </c>
      <c r="K8" s="319" t="n">
        <v>53.3506</v>
      </c>
      <c r="L8" s="319" t="n">
        <v>57.9986</v>
      </c>
      <c r="M8" s="319" t="n">
        <v>67.326</v>
      </c>
      <c r="N8" s="319" t="n">
        <v>68.2672</v>
      </c>
      <c r="O8" s="319" t="n">
        <v>75.8678</v>
      </c>
      <c r="P8" s="320" t="n">
        <v>88.4661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0" topLeftCell="B43" activePane="bottomRight" state="frozen"/>
      <selection pane="topLeft" activeCell="A1" activeCellId="0" sqref="A1"/>
      <selection pane="topRight" activeCell="B1" activeCellId="0" sqref="B1"/>
      <selection pane="bottomLeft" activeCell="A43" activeCellId="0" sqref="A43"/>
      <selection pane="bottomRight" activeCell="A50" activeCellId="0" sqref="A50"/>
    </sheetView>
  </sheetViews>
  <sheetFormatPr defaultColWidth="9.00390625" defaultRowHeight="14.25" customHeight="false" zeroHeight="false" outlineLevelRow="0" outlineLevelCol="0"/>
  <cols>
    <col collapsed="false" customWidth="true" hidden="false" outlineLevel="0" max="1" min="1" style="1" width="63.79"/>
    <col collapsed="false" customWidth="true" hidden="false" outlineLevel="0" max="2" min="2" style="1" width="51.44"/>
    <col collapsed="false" customWidth="true" hidden="false" outlineLevel="0" max="3" min="3" style="1" width="24.78"/>
    <col collapsed="false" customWidth="true" hidden="false" outlineLevel="0" max="4" min="4" style="1" width="6.77"/>
    <col collapsed="false" customWidth="true" hidden="false" outlineLevel="0" max="5" min="5" style="1" width="7.44"/>
    <col collapsed="false" customWidth="true" hidden="false" outlineLevel="0" max="6" min="6" style="1" width="6.67"/>
    <col collapsed="false" customWidth="true" hidden="false" outlineLevel="0" max="7" min="7" style="1" width="15.78"/>
    <col collapsed="false" customWidth="true" hidden="false" outlineLevel="0" max="8" min="8" style="1" width="15"/>
    <col collapsed="false" customWidth="true" hidden="false" outlineLevel="0" max="9" min="9" style="1" width="17.22"/>
    <col collapsed="false" customWidth="true" hidden="false" outlineLevel="0" max="11" min="10" style="1" width="9.21"/>
    <col collapsed="false" customWidth="true" hidden="false" outlineLevel="0" max="12" min="12" style="1" width="9.56"/>
    <col collapsed="false" customWidth="true" hidden="false" outlineLevel="0" max="13" min="13" style="1" width="9.21"/>
    <col collapsed="false" customWidth="true" hidden="false" outlineLevel="0" max="14" min="14" style="1" width="13"/>
    <col collapsed="false" customWidth="true" hidden="false" outlineLevel="0" max="15" min="15" style="1" width="18.22"/>
    <col collapsed="false" customWidth="true" hidden="false" outlineLevel="0" max="16" min="16" style="1" width="15.44"/>
    <col collapsed="false" customWidth="true" hidden="false" outlineLevel="0" max="17" min="17" style="1" width="18.67"/>
    <col collapsed="false" customWidth="true" hidden="false" outlineLevel="0" max="18" min="18" style="1" width="14.21"/>
    <col collapsed="false" customWidth="true" hidden="false" outlineLevel="0" max="19" min="19" style="1" width="14.67"/>
    <col collapsed="false" customWidth="true" hidden="false" outlineLevel="0" max="20" min="20" style="1" width="16.22"/>
    <col collapsed="false" customWidth="true" hidden="false" outlineLevel="0" max="21" min="21" style="1" width="15.22"/>
    <col collapsed="false" customWidth="true" hidden="false" outlineLevel="0" max="22" min="22" style="1" width="15"/>
    <col collapsed="false" customWidth="true" hidden="false" outlineLevel="0" max="23" min="23" style="1" width="14.56"/>
    <col collapsed="false" customWidth="true" hidden="false" outlineLevel="0" max="24" min="24" style="1" width="16.67"/>
    <col collapsed="false" customWidth="true" hidden="false" outlineLevel="0" max="25" min="25" style="322" width="28.22"/>
    <col collapsed="false" customWidth="true" hidden="false" outlineLevel="0" max="26" min="26" style="1" width="31.22"/>
    <col collapsed="false" customWidth="true" hidden="false" outlineLevel="0" max="27" min="27" style="1" width="20"/>
  </cols>
  <sheetData>
    <row r="1" customFormat="false" ht="15" hidden="false" customHeight="false" outlineLevel="0" collapsed="false">
      <c r="A1" s="257" t="s">
        <v>294</v>
      </c>
    </row>
    <row r="3" customFormat="false" ht="15" hidden="false" customHeight="false" outlineLevel="0" collapsed="false">
      <c r="A3" s="257" t="s">
        <v>295</v>
      </c>
    </row>
    <row r="4" customFormat="false" ht="15" hidden="false" customHeight="false" outlineLevel="0" collapsed="false">
      <c r="A4" s="257" t="s">
        <v>296</v>
      </c>
    </row>
    <row r="5" customFormat="false" ht="15" hidden="false" customHeight="false" outlineLevel="0" collapsed="false">
      <c r="A5" s="257" t="s">
        <v>297</v>
      </c>
    </row>
    <row r="7" customFormat="false" ht="15" hidden="false" customHeight="false" outlineLevel="0" collapsed="false">
      <c r="A7" s="257" t="s">
        <v>298</v>
      </c>
    </row>
    <row r="9" customFormat="false" ht="28.4" hidden="false" customHeight="true" outlineLevel="0" collapsed="false">
      <c r="A9" s="323" t="s">
        <v>299</v>
      </c>
      <c r="B9" s="323"/>
      <c r="C9" s="323"/>
      <c r="D9" s="323"/>
      <c r="E9" s="323"/>
      <c r="F9" s="323"/>
      <c r="G9" s="323"/>
      <c r="H9" s="323"/>
      <c r="I9" s="324" t="s">
        <v>300</v>
      </c>
      <c r="J9" s="323" t="s">
        <v>301</v>
      </c>
      <c r="K9" s="323"/>
      <c r="L9" s="323"/>
      <c r="M9" s="323"/>
      <c r="N9" s="323" t="s">
        <v>302</v>
      </c>
      <c r="O9" s="323"/>
      <c r="P9" s="323"/>
      <c r="Q9" s="323"/>
      <c r="R9" s="323" t="s">
        <v>303</v>
      </c>
      <c r="S9" s="323"/>
      <c r="T9" s="323"/>
      <c r="U9" s="323"/>
      <c r="V9" s="324" t="s">
        <v>304</v>
      </c>
      <c r="W9" s="323" t="s">
        <v>305</v>
      </c>
      <c r="X9" s="323"/>
      <c r="Y9" s="323"/>
      <c r="Z9" s="323"/>
      <c r="AA9" s="323"/>
    </row>
    <row r="10" customFormat="false" ht="28.4" hidden="false" customHeight="false" outlineLevel="0" collapsed="false">
      <c r="A10" s="325" t="s">
        <v>306</v>
      </c>
      <c r="B10" s="325" t="s">
        <v>307</v>
      </c>
      <c r="C10" s="325" t="s">
        <v>308</v>
      </c>
      <c r="D10" s="325" t="s">
        <v>309</v>
      </c>
      <c r="E10" s="325" t="s">
        <v>310</v>
      </c>
      <c r="F10" s="325" t="s">
        <v>311</v>
      </c>
      <c r="G10" s="325" t="s">
        <v>312</v>
      </c>
      <c r="H10" s="325" t="s">
        <v>313</v>
      </c>
      <c r="I10" s="325" t="s">
        <v>314</v>
      </c>
      <c r="J10" s="325" t="s">
        <v>315</v>
      </c>
      <c r="K10" s="325" t="s">
        <v>316</v>
      </c>
      <c r="L10" s="325" t="s">
        <v>317</v>
      </c>
      <c r="M10" s="325" t="s">
        <v>318</v>
      </c>
      <c r="N10" s="325" t="s">
        <v>319</v>
      </c>
      <c r="O10" s="325" t="s">
        <v>320</v>
      </c>
      <c r="P10" s="325" t="s">
        <v>321</v>
      </c>
      <c r="Q10" s="326" t="s">
        <v>322</v>
      </c>
      <c r="R10" s="326" t="s">
        <v>323</v>
      </c>
      <c r="S10" s="326" t="s">
        <v>324</v>
      </c>
      <c r="T10" s="326" t="s">
        <v>325</v>
      </c>
      <c r="U10" s="326" t="s">
        <v>326</v>
      </c>
      <c r="V10" s="325" t="s">
        <v>327</v>
      </c>
      <c r="W10" s="326" t="s">
        <v>328</v>
      </c>
      <c r="X10" s="326" t="s">
        <v>329</v>
      </c>
      <c r="Y10" s="327" t="s">
        <v>330</v>
      </c>
      <c r="Z10" s="325" t="s">
        <v>331</v>
      </c>
      <c r="AA10" s="325" t="s">
        <v>332</v>
      </c>
    </row>
    <row r="11" customFormat="false" ht="15" hidden="false" customHeight="false" outlineLevel="0" collapsed="false">
      <c r="A11" s="328" t="s">
        <v>142</v>
      </c>
      <c r="B11" s="328" t="s">
        <v>333</v>
      </c>
      <c r="C11" s="328" t="s">
        <v>334</v>
      </c>
      <c r="D11" s="328" t="s">
        <v>335</v>
      </c>
      <c r="E11" s="328" t="s">
        <v>336</v>
      </c>
      <c r="F11" s="328" t="s">
        <v>337</v>
      </c>
      <c r="G11" s="328" t="s">
        <v>338</v>
      </c>
      <c r="H11" s="328" t="s">
        <v>339</v>
      </c>
      <c r="I11" s="329" t="n">
        <v>37.1787896543065</v>
      </c>
      <c r="J11" s="329" t="n">
        <v>1709.327869</v>
      </c>
      <c r="K11" s="329" t="n">
        <v>262.344262</v>
      </c>
      <c r="L11" s="329" t="n">
        <v>90.071038</v>
      </c>
      <c r="M11" s="329" t="n">
        <v>61.775956</v>
      </c>
      <c r="N11" s="329" t="n">
        <v>179.4153</v>
      </c>
      <c r="O11" s="329" t="n">
        <v>1944.103825</v>
      </c>
      <c r="P11" s="329" t="n">
        <v>0</v>
      </c>
      <c r="Q11" s="329" t="n">
        <v>0</v>
      </c>
      <c r="R11" s="329" t="n">
        <v>65.595628</v>
      </c>
      <c r="S11" s="329" t="n">
        <v>62.191257</v>
      </c>
      <c r="T11" s="329" t="n">
        <v>109.612022</v>
      </c>
      <c r="U11" s="329" t="n">
        <v>1886.120219</v>
      </c>
      <c r="V11" s="329" t="n">
        <v>1377.530055</v>
      </c>
      <c r="W11" s="329" t="n">
        <v>1436</v>
      </c>
      <c r="X11" s="330" t="s">
        <v>340</v>
      </c>
      <c r="Y11" s="331" t="n">
        <v>45673</v>
      </c>
      <c r="Z11" s="328" t="s">
        <v>341</v>
      </c>
      <c r="AA11" s="328" t="s">
        <v>342</v>
      </c>
    </row>
    <row r="12" customFormat="false" ht="15" hidden="false" customHeight="false" outlineLevel="0" collapsed="false">
      <c r="A12" s="328" t="s">
        <v>144</v>
      </c>
      <c r="B12" s="328" t="s">
        <v>343</v>
      </c>
      <c r="C12" s="328" t="s">
        <v>344</v>
      </c>
      <c r="D12" s="328" t="s">
        <v>345</v>
      </c>
      <c r="E12" s="328" t="s">
        <v>346</v>
      </c>
      <c r="F12" s="328" t="s">
        <v>347</v>
      </c>
      <c r="G12" s="328" t="s">
        <v>348</v>
      </c>
      <c r="H12" s="328" t="s">
        <v>339</v>
      </c>
      <c r="I12" s="329" t="n">
        <v>52.5547147846333</v>
      </c>
      <c r="J12" s="329" t="n">
        <v>642.688525</v>
      </c>
      <c r="K12" s="329" t="n">
        <v>179.273224</v>
      </c>
      <c r="L12" s="329" t="n">
        <v>418.147541</v>
      </c>
      <c r="M12" s="329" t="n">
        <v>493.043716</v>
      </c>
      <c r="N12" s="329" t="n">
        <v>665.180328</v>
      </c>
      <c r="O12" s="329" t="n">
        <v>806.196721</v>
      </c>
      <c r="P12" s="329" t="n">
        <v>31.016393</v>
      </c>
      <c r="Q12" s="329" t="n">
        <v>230.759563</v>
      </c>
      <c r="R12" s="329" t="n">
        <v>522.918033</v>
      </c>
      <c r="S12" s="329" t="n">
        <v>180.808743</v>
      </c>
      <c r="T12" s="329" t="n">
        <v>140.349727</v>
      </c>
      <c r="U12" s="329" t="n">
        <v>889.076502</v>
      </c>
      <c r="V12" s="329" t="n">
        <v>857.224044</v>
      </c>
      <c r="W12" s="329" t="n">
        <v>640</v>
      </c>
      <c r="X12" s="330" t="s">
        <v>340</v>
      </c>
      <c r="Y12" s="331" t="n">
        <v>45918</v>
      </c>
      <c r="Z12" s="328" t="s">
        <v>341</v>
      </c>
      <c r="AA12" s="328" t="s">
        <v>342</v>
      </c>
    </row>
    <row r="13" customFormat="false" ht="15" hidden="false" customHeight="false" outlineLevel="0" collapsed="false">
      <c r="A13" s="328" t="s">
        <v>349</v>
      </c>
      <c r="B13" s="328" t="s">
        <v>350</v>
      </c>
      <c r="C13" s="328" t="s">
        <v>351</v>
      </c>
      <c r="D13" s="328" t="s">
        <v>352</v>
      </c>
      <c r="E13" s="328" t="s">
        <v>353</v>
      </c>
      <c r="F13" s="328" t="s">
        <v>337</v>
      </c>
      <c r="G13" s="328" t="s">
        <v>354</v>
      </c>
      <c r="H13" s="328" t="s">
        <v>339</v>
      </c>
      <c r="I13" s="329" t="n">
        <v>2.80663903486048</v>
      </c>
      <c r="J13" s="329" t="n">
        <v>247.480874</v>
      </c>
      <c r="K13" s="329" t="n">
        <v>57.978142</v>
      </c>
      <c r="L13" s="329" t="n">
        <v>56.10929</v>
      </c>
      <c r="M13" s="329" t="n">
        <v>43.857923</v>
      </c>
      <c r="N13" s="329" t="n">
        <v>87.377049</v>
      </c>
      <c r="O13" s="329" t="n">
        <v>317.06011</v>
      </c>
      <c r="P13" s="329" t="n">
        <v>0.092896</v>
      </c>
      <c r="Q13" s="329" t="n">
        <v>0.896175</v>
      </c>
      <c r="R13" s="329" t="n">
        <v>49.043716</v>
      </c>
      <c r="S13" s="329" t="n">
        <v>24.469945</v>
      </c>
      <c r="T13" s="329" t="n">
        <v>39.153005</v>
      </c>
      <c r="U13" s="329" t="n">
        <v>292.759562</v>
      </c>
      <c r="V13" s="329" t="n">
        <v>294.027322</v>
      </c>
      <c r="W13" s="328"/>
      <c r="X13" s="330" t="s">
        <v>340</v>
      </c>
      <c r="Y13" s="331" t="n">
        <v>45715</v>
      </c>
      <c r="Z13" s="328" t="s">
        <v>341</v>
      </c>
      <c r="AA13" s="328" t="s">
        <v>342</v>
      </c>
    </row>
    <row r="14" customFormat="false" ht="15" hidden="false" customHeight="false" outlineLevel="0" collapsed="false">
      <c r="A14" s="328" t="s">
        <v>355</v>
      </c>
      <c r="B14" s="328" t="s">
        <v>356</v>
      </c>
      <c r="C14" s="328" t="s">
        <v>357</v>
      </c>
      <c r="D14" s="328" t="s">
        <v>358</v>
      </c>
      <c r="E14" s="328" t="s">
        <v>359</v>
      </c>
      <c r="F14" s="328" t="s">
        <v>360</v>
      </c>
      <c r="G14" s="328" t="s">
        <v>361</v>
      </c>
      <c r="H14" s="328" t="s">
        <v>362</v>
      </c>
      <c r="I14" s="329" t="n">
        <v>8.20422535211268</v>
      </c>
      <c r="J14" s="329" t="n">
        <v>6.344262</v>
      </c>
      <c r="K14" s="329" t="n">
        <v>0</v>
      </c>
      <c r="L14" s="329" t="n">
        <v>0</v>
      </c>
      <c r="M14" s="329" t="n">
        <v>0.136612</v>
      </c>
      <c r="N14" s="329" t="n">
        <v>0</v>
      </c>
      <c r="O14" s="329" t="n">
        <v>0</v>
      </c>
      <c r="P14" s="329" t="n">
        <v>0.103825</v>
      </c>
      <c r="Q14" s="329" t="n">
        <v>6.377049</v>
      </c>
      <c r="R14" s="329" t="n">
        <v>0.027322</v>
      </c>
      <c r="S14" s="329" t="n">
        <v>0</v>
      </c>
      <c r="T14" s="329" t="n">
        <v>0.240437</v>
      </c>
      <c r="U14" s="329" t="n">
        <v>6.213115</v>
      </c>
      <c r="V14" s="329" t="n">
        <v>2.983607</v>
      </c>
      <c r="W14" s="328"/>
      <c r="X14" s="330"/>
      <c r="Y14" s="330" t="s">
        <v>363</v>
      </c>
      <c r="Z14" s="328"/>
      <c r="AA14" s="328"/>
    </row>
    <row r="15" customFormat="false" ht="15" hidden="false" customHeight="false" outlineLevel="0" collapsed="false">
      <c r="A15" s="328" t="s">
        <v>364</v>
      </c>
      <c r="B15" s="328" t="s">
        <v>365</v>
      </c>
      <c r="C15" s="328" t="s">
        <v>366</v>
      </c>
      <c r="D15" s="328" t="s">
        <v>352</v>
      </c>
      <c r="E15" s="328" t="s">
        <v>367</v>
      </c>
      <c r="F15" s="328" t="s">
        <v>337</v>
      </c>
      <c r="G15" s="328" t="s">
        <v>368</v>
      </c>
      <c r="H15" s="328" t="s">
        <v>339</v>
      </c>
      <c r="I15" s="329" t="n">
        <v>66.6854368932039</v>
      </c>
      <c r="J15" s="329" t="n">
        <v>79.857923</v>
      </c>
      <c r="K15" s="329" t="n">
        <v>9.300546</v>
      </c>
      <c r="L15" s="329" t="n">
        <v>36.409836</v>
      </c>
      <c r="M15" s="329" t="n">
        <v>13.644809</v>
      </c>
      <c r="N15" s="329" t="n">
        <v>44.185793</v>
      </c>
      <c r="O15" s="329" t="n">
        <v>94.967213</v>
      </c>
      <c r="P15" s="329" t="n">
        <v>0</v>
      </c>
      <c r="Q15" s="329" t="n">
        <v>0.060109</v>
      </c>
      <c r="R15" s="329" t="n">
        <v>35.491803</v>
      </c>
      <c r="S15" s="329" t="n">
        <v>14.989071</v>
      </c>
      <c r="T15" s="329" t="n">
        <v>3.300546</v>
      </c>
      <c r="U15" s="329" t="n">
        <v>85.431694</v>
      </c>
      <c r="V15" s="329" t="n">
        <v>106.398907</v>
      </c>
      <c r="W15" s="329" t="n">
        <v>170</v>
      </c>
      <c r="X15" s="330" t="s">
        <v>340</v>
      </c>
      <c r="Y15" s="331" t="n">
        <v>46107</v>
      </c>
      <c r="Z15" s="328" t="s">
        <v>341</v>
      </c>
      <c r="AA15" s="328" t="s">
        <v>342</v>
      </c>
    </row>
    <row r="16" customFormat="false" ht="15" hidden="false" customHeight="false" outlineLevel="0" collapsed="false">
      <c r="A16" s="328" t="s">
        <v>369</v>
      </c>
      <c r="B16" s="328" t="s">
        <v>370</v>
      </c>
      <c r="C16" s="328" t="s">
        <v>371</v>
      </c>
      <c r="D16" s="328" t="s">
        <v>372</v>
      </c>
      <c r="E16" s="328" t="s">
        <v>373</v>
      </c>
      <c r="F16" s="328" t="s">
        <v>374</v>
      </c>
      <c r="G16" s="328" t="s">
        <v>375</v>
      </c>
      <c r="H16" s="328" t="s">
        <v>339</v>
      </c>
      <c r="I16" s="329" t="n">
        <v>21.1270671969856</v>
      </c>
      <c r="J16" s="329" t="n">
        <v>487.136612</v>
      </c>
      <c r="K16" s="329" t="n">
        <v>146.693989</v>
      </c>
      <c r="L16" s="329" t="n">
        <v>127.748634</v>
      </c>
      <c r="M16" s="329" t="n">
        <v>127.431694</v>
      </c>
      <c r="N16" s="329" t="n">
        <v>238.191257</v>
      </c>
      <c r="O16" s="329" t="n">
        <v>650.819672</v>
      </c>
      <c r="P16" s="329" t="n">
        <v>0</v>
      </c>
      <c r="Q16" s="329" t="n">
        <v>0</v>
      </c>
      <c r="R16" s="329" t="n">
        <v>156.497268</v>
      </c>
      <c r="S16" s="329" t="n">
        <v>57.076503</v>
      </c>
      <c r="T16" s="329" t="n">
        <v>78.89071</v>
      </c>
      <c r="U16" s="329" t="n">
        <v>596.546448</v>
      </c>
      <c r="V16" s="329" t="n">
        <v>474.240437</v>
      </c>
      <c r="W16" s="328"/>
      <c r="X16" s="330"/>
      <c r="Y16" s="330"/>
      <c r="Z16" s="328"/>
      <c r="AA16" s="328"/>
    </row>
    <row r="17" customFormat="false" ht="15" hidden="false" customHeight="false" outlineLevel="0" collapsed="false">
      <c r="A17" s="328" t="s">
        <v>148</v>
      </c>
      <c r="B17" s="328" t="s">
        <v>376</v>
      </c>
      <c r="C17" s="328" t="s">
        <v>377</v>
      </c>
      <c r="D17" s="328" t="s">
        <v>372</v>
      </c>
      <c r="E17" s="328" t="s">
        <v>378</v>
      </c>
      <c r="F17" s="328" t="s">
        <v>374</v>
      </c>
      <c r="G17" s="328" t="s">
        <v>368</v>
      </c>
      <c r="H17" s="328" t="s">
        <v>362</v>
      </c>
      <c r="I17" s="329" t="n">
        <v>47.3272200772201</v>
      </c>
      <c r="J17" s="329" t="n">
        <v>73.879781</v>
      </c>
      <c r="K17" s="329" t="n">
        <v>32.218579</v>
      </c>
      <c r="L17" s="329" t="n">
        <v>106.043716</v>
      </c>
      <c r="M17" s="329" t="n">
        <v>66.278689</v>
      </c>
      <c r="N17" s="329" t="n">
        <v>67.956284</v>
      </c>
      <c r="O17" s="329" t="n">
        <v>104.355191</v>
      </c>
      <c r="P17" s="329" t="n">
        <v>29.344262</v>
      </c>
      <c r="Q17" s="329" t="n">
        <v>76.765027</v>
      </c>
      <c r="R17" s="329" t="n">
        <v>58.081967</v>
      </c>
      <c r="S17" s="329" t="n">
        <v>25.060109</v>
      </c>
      <c r="T17" s="329" t="n">
        <v>30.114754</v>
      </c>
      <c r="U17" s="329" t="n">
        <v>165.163934</v>
      </c>
      <c r="V17" s="329" t="n">
        <v>164.699454</v>
      </c>
      <c r="W17" s="329" t="n">
        <v>250</v>
      </c>
      <c r="X17" s="330" t="s">
        <v>340</v>
      </c>
      <c r="Y17" s="331" t="s">
        <v>363</v>
      </c>
      <c r="Z17" s="328" t="s">
        <v>379</v>
      </c>
      <c r="AA17" s="328" t="s">
        <v>342</v>
      </c>
    </row>
    <row r="18" customFormat="false" ht="15" hidden="false" customHeight="false" outlineLevel="0" collapsed="false">
      <c r="A18" s="328" t="s">
        <v>380</v>
      </c>
      <c r="B18" s="328" t="s">
        <v>381</v>
      </c>
      <c r="C18" s="328" t="s">
        <v>382</v>
      </c>
      <c r="D18" s="328" t="s">
        <v>383</v>
      </c>
      <c r="E18" s="328" t="s">
        <v>384</v>
      </c>
      <c r="F18" s="328" t="s">
        <v>337</v>
      </c>
      <c r="G18" s="328" t="s">
        <v>361</v>
      </c>
      <c r="H18" s="328" t="s">
        <v>362</v>
      </c>
      <c r="I18" s="329" t="n">
        <v>2.6624704956727</v>
      </c>
      <c r="J18" s="329" t="n">
        <v>14.781421</v>
      </c>
      <c r="K18" s="329" t="n">
        <v>1.721311</v>
      </c>
      <c r="L18" s="329" t="n">
        <v>0.994536</v>
      </c>
      <c r="M18" s="329" t="n">
        <v>1.213115</v>
      </c>
      <c r="N18" s="329" t="n">
        <v>2.065574</v>
      </c>
      <c r="O18" s="329" t="n">
        <v>15.300546</v>
      </c>
      <c r="P18" s="329" t="n">
        <v>0.04918</v>
      </c>
      <c r="Q18" s="329" t="n">
        <v>1.295082</v>
      </c>
      <c r="R18" s="329" t="n">
        <v>0.63388</v>
      </c>
      <c r="S18" s="329" t="n">
        <v>0.84153</v>
      </c>
      <c r="T18" s="329" t="n">
        <v>1.459016</v>
      </c>
      <c r="U18" s="329" t="n">
        <v>15.775956</v>
      </c>
      <c r="V18" s="329" t="n">
        <v>9.748634</v>
      </c>
      <c r="W18" s="328"/>
      <c r="X18" s="330" t="s">
        <v>340</v>
      </c>
      <c r="Y18" s="331" t="s">
        <v>363</v>
      </c>
      <c r="Z18" s="328" t="s">
        <v>379</v>
      </c>
      <c r="AA18" s="328" t="s">
        <v>385</v>
      </c>
    </row>
    <row r="19" customFormat="false" ht="15" hidden="false" customHeight="false" outlineLevel="0" collapsed="false">
      <c r="A19" s="328" t="s">
        <v>386</v>
      </c>
      <c r="B19" s="328" t="s">
        <v>387</v>
      </c>
      <c r="C19" s="328" t="s">
        <v>388</v>
      </c>
      <c r="D19" s="328" t="s">
        <v>389</v>
      </c>
      <c r="E19" s="328" t="s">
        <v>390</v>
      </c>
      <c r="F19" s="328" t="s">
        <v>391</v>
      </c>
      <c r="G19" s="328" t="s">
        <v>392</v>
      </c>
      <c r="H19" s="328" t="s">
        <v>339</v>
      </c>
      <c r="I19" s="329" t="n">
        <v>66.0168421052632</v>
      </c>
      <c r="J19" s="329" t="n">
        <v>89.57377</v>
      </c>
      <c r="K19" s="329" t="n">
        <v>14.967213</v>
      </c>
      <c r="L19" s="329" t="n">
        <v>48.84153</v>
      </c>
      <c r="M19" s="329" t="n">
        <v>25.289617</v>
      </c>
      <c r="N19" s="329" t="n">
        <v>32.726776</v>
      </c>
      <c r="O19" s="329" t="n">
        <v>145.808744</v>
      </c>
      <c r="P19" s="329" t="n">
        <v>0</v>
      </c>
      <c r="Q19" s="329" t="n">
        <v>0.136612</v>
      </c>
      <c r="R19" s="329" t="n">
        <v>19.213115</v>
      </c>
      <c r="S19" s="329" t="n">
        <v>8.36612</v>
      </c>
      <c r="T19" s="329" t="n">
        <v>12.103825</v>
      </c>
      <c r="U19" s="329" t="n">
        <v>138.989071</v>
      </c>
      <c r="V19" s="329" t="n">
        <v>74.081967</v>
      </c>
      <c r="W19" s="328"/>
      <c r="X19" s="330"/>
      <c r="Y19" s="330"/>
      <c r="Z19" s="328"/>
      <c r="AA19" s="328"/>
    </row>
    <row r="20" customFormat="false" ht="15" hidden="false" customHeight="false" outlineLevel="0" collapsed="false">
      <c r="A20" s="328" t="s">
        <v>393</v>
      </c>
      <c r="B20" s="328" t="s">
        <v>394</v>
      </c>
      <c r="C20" s="328" t="s">
        <v>395</v>
      </c>
      <c r="D20" s="328" t="s">
        <v>396</v>
      </c>
      <c r="E20" s="328" t="s">
        <v>397</v>
      </c>
      <c r="F20" s="328" t="s">
        <v>398</v>
      </c>
      <c r="G20" s="328" t="s">
        <v>338</v>
      </c>
      <c r="H20" s="328" t="s">
        <v>362</v>
      </c>
      <c r="I20" s="329" t="n">
        <v>19.3536563071298</v>
      </c>
      <c r="J20" s="329" t="n">
        <v>592.071038</v>
      </c>
      <c r="K20" s="329" t="n">
        <v>120.568306</v>
      </c>
      <c r="L20" s="329" t="n">
        <v>195.224044</v>
      </c>
      <c r="M20" s="329" t="n">
        <v>103.42623</v>
      </c>
      <c r="N20" s="329" t="n">
        <v>216.797814</v>
      </c>
      <c r="O20" s="329" t="n">
        <v>649.52459</v>
      </c>
      <c r="P20" s="329" t="n">
        <v>7.355191</v>
      </c>
      <c r="Q20" s="329" t="n">
        <v>137.612022</v>
      </c>
      <c r="R20" s="329" t="n">
        <v>121.628415</v>
      </c>
      <c r="S20" s="329" t="n">
        <v>82.606557</v>
      </c>
      <c r="T20" s="329" t="n">
        <v>111.956284</v>
      </c>
      <c r="U20" s="329" t="n">
        <v>695.09836</v>
      </c>
      <c r="V20" s="329" t="n">
        <v>597.437158</v>
      </c>
      <c r="W20" s="329" t="n">
        <v>750</v>
      </c>
      <c r="X20" s="330" t="s">
        <v>340</v>
      </c>
      <c r="Y20" s="331" t="n">
        <v>45638</v>
      </c>
      <c r="Z20" s="328" t="s">
        <v>341</v>
      </c>
      <c r="AA20" s="328" t="s">
        <v>342</v>
      </c>
    </row>
    <row r="21" customFormat="false" ht="15" hidden="false" customHeight="false" outlineLevel="0" collapsed="false">
      <c r="A21" s="328" t="s">
        <v>399</v>
      </c>
      <c r="B21" s="328" t="s">
        <v>400</v>
      </c>
      <c r="C21" s="328" t="s">
        <v>401</v>
      </c>
      <c r="D21" s="328" t="s">
        <v>402</v>
      </c>
      <c r="E21" s="328" t="s">
        <v>403</v>
      </c>
      <c r="F21" s="328" t="s">
        <v>404</v>
      </c>
      <c r="G21" s="328" t="s">
        <v>361</v>
      </c>
      <c r="H21" s="328" t="s">
        <v>362</v>
      </c>
      <c r="I21" s="329" t="n">
        <v>53.8916797488226</v>
      </c>
      <c r="J21" s="329" t="n">
        <v>91.404372</v>
      </c>
      <c r="K21" s="329" t="n">
        <v>30.114754</v>
      </c>
      <c r="L21" s="329" t="n">
        <v>46.038251</v>
      </c>
      <c r="M21" s="329" t="n">
        <v>38.726776</v>
      </c>
      <c r="N21" s="329" t="n">
        <v>83.901639</v>
      </c>
      <c r="O21" s="329" t="n">
        <v>116.021858</v>
      </c>
      <c r="P21" s="329" t="n">
        <v>0.967213</v>
      </c>
      <c r="Q21" s="329" t="n">
        <v>5.393443</v>
      </c>
      <c r="R21" s="329" t="n">
        <v>39.043716</v>
      </c>
      <c r="S21" s="329" t="n">
        <v>34.174863</v>
      </c>
      <c r="T21" s="329" t="n">
        <v>30.20765</v>
      </c>
      <c r="U21" s="329" t="n">
        <v>102.857923</v>
      </c>
      <c r="V21" s="329" t="n">
        <v>123.15847</v>
      </c>
      <c r="W21" s="328"/>
      <c r="X21" s="330" t="s">
        <v>340</v>
      </c>
      <c r="Y21" s="331" t="n">
        <v>45617</v>
      </c>
      <c r="Z21" s="328" t="s">
        <v>379</v>
      </c>
      <c r="AA21" s="328" t="s">
        <v>342</v>
      </c>
    </row>
    <row r="22" customFormat="false" ht="15" hidden="false" customHeight="false" outlineLevel="0" collapsed="false">
      <c r="A22" s="328" t="s">
        <v>405</v>
      </c>
      <c r="B22" s="328" t="s">
        <v>406</v>
      </c>
      <c r="C22" s="328" t="s">
        <v>407</v>
      </c>
      <c r="D22" s="328" t="s">
        <v>358</v>
      </c>
      <c r="E22" s="328" t="s">
        <v>408</v>
      </c>
      <c r="F22" s="328" t="s">
        <v>409</v>
      </c>
      <c r="G22" s="328" t="s">
        <v>392</v>
      </c>
      <c r="H22" s="328" t="s">
        <v>362</v>
      </c>
      <c r="I22" s="329" t="n">
        <v>42.2825651302605</v>
      </c>
      <c r="J22" s="329" t="n">
        <v>115.584699</v>
      </c>
      <c r="K22" s="329" t="n">
        <v>22.983607</v>
      </c>
      <c r="L22" s="329" t="n">
        <v>0.584699</v>
      </c>
      <c r="M22" s="329" t="n">
        <v>1.142077</v>
      </c>
      <c r="N22" s="329" t="n">
        <v>25.808743</v>
      </c>
      <c r="O22" s="329" t="n">
        <v>114.486339</v>
      </c>
      <c r="P22" s="329" t="n">
        <v>0</v>
      </c>
      <c r="Q22" s="329" t="n">
        <v>0</v>
      </c>
      <c r="R22" s="329" t="n">
        <v>2.912568</v>
      </c>
      <c r="S22" s="329" t="n">
        <v>12.595628</v>
      </c>
      <c r="T22" s="329" t="n">
        <v>18.469945</v>
      </c>
      <c r="U22" s="329" t="n">
        <v>106.31694</v>
      </c>
      <c r="V22" s="329" t="n">
        <v>49.311475</v>
      </c>
      <c r="W22" s="328"/>
      <c r="X22" s="330"/>
      <c r="Y22" s="330" t="s">
        <v>363</v>
      </c>
      <c r="Z22" s="328"/>
      <c r="AA22" s="328"/>
    </row>
    <row r="23" customFormat="false" ht="15" hidden="false" customHeight="false" outlineLevel="0" collapsed="false">
      <c r="A23" s="328" t="s">
        <v>410</v>
      </c>
      <c r="B23" s="328" t="s">
        <v>411</v>
      </c>
      <c r="C23" s="328" t="s">
        <v>412</v>
      </c>
      <c r="D23" s="328" t="s">
        <v>358</v>
      </c>
      <c r="E23" s="328" t="s">
        <v>413</v>
      </c>
      <c r="F23" s="328" t="s">
        <v>360</v>
      </c>
      <c r="G23" s="328" t="s">
        <v>361</v>
      </c>
      <c r="H23" s="328" t="s">
        <v>362</v>
      </c>
      <c r="I23" s="329" t="n">
        <v>58.4016393442623</v>
      </c>
      <c r="J23" s="329" t="n">
        <v>36.229508</v>
      </c>
      <c r="K23" s="329" t="n">
        <v>1.748634</v>
      </c>
      <c r="L23" s="329" t="n">
        <v>1.15847</v>
      </c>
      <c r="M23" s="329" t="n">
        <v>0.650273</v>
      </c>
      <c r="N23" s="329" t="n">
        <v>1.967213</v>
      </c>
      <c r="O23" s="329" t="n">
        <v>37.819672</v>
      </c>
      <c r="P23" s="329" t="n">
        <v>0</v>
      </c>
      <c r="Q23" s="329" t="n">
        <v>0</v>
      </c>
      <c r="R23" s="329" t="n">
        <v>0.918033</v>
      </c>
      <c r="S23" s="329" t="n">
        <v>0.054645</v>
      </c>
      <c r="T23" s="329" t="n">
        <v>3.04918</v>
      </c>
      <c r="U23" s="329" t="n">
        <v>35.765027</v>
      </c>
      <c r="V23" s="329" t="n">
        <v>15.202186</v>
      </c>
      <c r="W23" s="328"/>
      <c r="X23" s="330"/>
      <c r="Y23" s="330" t="s">
        <v>363</v>
      </c>
      <c r="Z23" s="328"/>
      <c r="AA23" s="328"/>
    </row>
    <row r="24" customFormat="false" ht="15" hidden="false" customHeight="false" outlineLevel="0" collapsed="false">
      <c r="A24" s="328" t="s">
        <v>414</v>
      </c>
      <c r="B24" s="328" t="s">
        <v>415</v>
      </c>
      <c r="C24" s="328" t="s">
        <v>416</v>
      </c>
      <c r="D24" s="328" t="s">
        <v>372</v>
      </c>
      <c r="E24" s="328" t="s">
        <v>417</v>
      </c>
      <c r="F24" s="328" t="s">
        <v>374</v>
      </c>
      <c r="G24" s="328" t="s">
        <v>368</v>
      </c>
      <c r="H24" s="328" t="s">
        <v>362</v>
      </c>
      <c r="I24" s="329" t="n">
        <v>1.07100591715976</v>
      </c>
      <c r="J24" s="329" t="n">
        <v>1.043716</v>
      </c>
      <c r="K24" s="329" t="n">
        <v>0.371585</v>
      </c>
      <c r="L24" s="329" t="n">
        <v>1.185792</v>
      </c>
      <c r="M24" s="329" t="n">
        <v>0.622951</v>
      </c>
      <c r="N24" s="329" t="n">
        <v>0.431694</v>
      </c>
      <c r="O24" s="329" t="n">
        <v>2.092896</v>
      </c>
      <c r="P24" s="329" t="n">
        <v>0.076503</v>
      </c>
      <c r="Q24" s="329" t="n">
        <v>0.622951</v>
      </c>
      <c r="R24" s="329" t="n">
        <v>0.349727</v>
      </c>
      <c r="S24" s="329" t="n">
        <v>0.131148</v>
      </c>
      <c r="T24" s="329" t="n">
        <v>0.147541</v>
      </c>
      <c r="U24" s="329" t="n">
        <v>2.595628</v>
      </c>
      <c r="V24" s="329" t="n">
        <v>1.278689</v>
      </c>
      <c r="W24" s="328"/>
      <c r="X24" s="330"/>
      <c r="Y24" s="332"/>
      <c r="Z24" s="328"/>
      <c r="AA24" s="328"/>
    </row>
    <row r="25" customFormat="false" ht="15" hidden="false" customHeight="false" outlineLevel="0" collapsed="false">
      <c r="A25" s="328" t="s">
        <v>418</v>
      </c>
      <c r="B25" s="328" t="s">
        <v>419</v>
      </c>
      <c r="C25" s="328" t="s">
        <v>420</v>
      </c>
      <c r="D25" s="328" t="s">
        <v>372</v>
      </c>
      <c r="E25" s="328" t="s">
        <v>421</v>
      </c>
      <c r="F25" s="328" t="s">
        <v>374</v>
      </c>
      <c r="G25" s="328" t="s">
        <v>348</v>
      </c>
      <c r="H25" s="328" t="s">
        <v>362</v>
      </c>
      <c r="I25" s="329" t="n">
        <v>23.8206766027916</v>
      </c>
      <c r="J25" s="329" t="n">
        <v>500.273224</v>
      </c>
      <c r="K25" s="329" t="n">
        <v>170.57377</v>
      </c>
      <c r="L25" s="329" t="n">
        <v>9.431694</v>
      </c>
      <c r="M25" s="329" t="n">
        <v>4.579235</v>
      </c>
      <c r="N25" s="329" t="n">
        <v>57.857923</v>
      </c>
      <c r="O25" s="329" t="n">
        <v>524.47541</v>
      </c>
      <c r="P25" s="329" t="n">
        <v>7.163934</v>
      </c>
      <c r="Q25" s="329" t="n">
        <v>95.360656</v>
      </c>
      <c r="R25" s="329" t="n">
        <v>12.759563</v>
      </c>
      <c r="S25" s="329" t="n">
        <v>24.344262</v>
      </c>
      <c r="T25" s="329" t="n">
        <v>55.196721</v>
      </c>
      <c r="U25" s="329" t="n">
        <v>592.557377</v>
      </c>
      <c r="V25" s="329" t="n">
        <v>336.743169</v>
      </c>
      <c r="W25" s="329" t="n">
        <v>700</v>
      </c>
      <c r="X25" s="330" t="s">
        <v>340</v>
      </c>
      <c r="Y25" s="331" t="n">
        <v>45645</v>
      </c>
      <c r="Z25" s="328" t="s">
        <v>341</v>
      </c>
      <c r="AA25" s="328" t="s">
        <v>342</v>
      </c>
    </row>
    <row r="26" customFormat="false" ht="15" hidden="false" customHeight="false" outlineLevel="0" collapsed="false">
      <c r="A26" s="328" t="s">
        <v>422</v>
      </c>
      <c r="B26" s="328" t="s">
        <v>423</v>
      </c>
      <c r="C26" s="328" t="s">
        <v>424</v>
      </c>
      <c r="D26" s="328" t="s">
        <v>358</v>
      </c>
      <c r="E26" s="328" t="s">
        <v>425</v>
      </c>
      <c r="F26" s="328" t="s">
        <v>360</v>
      </c>
      <c r="G26" s="328" t="s">
        <v>426</v>
      </c>
      <c r="H26" s="328" t="s">
        <v>339</v>
      </c>
      <c r="I26" s="329" t="n">
        <v>37.6636921360848</v>
      </c>
      <c r="J26" s="329" t="n">
        <v>588.103825</v>
      </c>
      <c r="K26" s="329" t="n">
        <v>48.415301</v>
      </c>
      <c r="L26" s="329" t="n">
        <v>40.508197</v>
      </c>
      <c r="M26" s="329" t="n">
        <v>59.945355</v>
      </c>
      <c r="N26" s="329" t="n">
        <v>116.803279</v>
      </c>
      <c r="O26" s="329" t="n">
        <v>620.163934</v>
      </c>
      <c r="P26" s="329" t="n">
        <v>0</v>
      </c>
      <c r="Q26" s="329" t="n">
        <v>0.005464</v>
      </c>
      <c r="R26" s="329" t="n">
        <v>86.513661</v>
      </c>
      <c r="S26" s="329" t="n">
        <v>22.814208</v>
      </c>
      <c r="T26" s="329" t="n">
        <v>40.163934</v>
      </c>
      <c r="U26" s="329" t="n">
        <v>587.480874</v>
      </c>
      <c r="V26" s="329" t="n">
        <v>262.284153</v>
      </c>
      <c r="W26" s="329" t="n">
        <v>650</v>
      </c>
      <c r="X26" s="330" t="s">
        <v>340</v>
      </c>
      <c r="Y26" s="331" t="n">
        <v>45596</v>
      </c>
      <c r="Z26" s="328" t="s">
        <v>341</v>
      </c>
      <c r="AA26" s="328" t="s">
        <v>342</v>
      </c>
    </row>
    <row r="27" customFormat="false" ht="15" hidden="false" customHeight="false" outlineLevel="0" collapsed="false">
      <c r="A27" s="328" t="s">
        <v>427</v>
      </c>
      <c r="B27" s="328" t="s">
        <v>428</v>
      </c>
      <c r="C27" s="328" t="s">
        <v>429</v>
      </c>
      <c r="D27" s="328" t="s">
        <v>430</v>
      </c>
      <c r="E27" s="328" t="s">
        <v>431</v>
      </c>
      <c r="F27" s="328" t="s">
        <v>432</v>
      </c>
      <c r="G27" s="328" t="s">
        <v>361</v>
      </c>
      <c r="H27" s="328" t="s">
        <v>362</v>
      </c>
      <c r="I27" s="329" t="n">
        <v>29.252427184466</v>
      </c>
      <c r="J27" s="329" t="n">
        <v>4.42623</v>
      </c>
      <c r="K27" s="329" t="n">
        <v>4.808743</v>
      </c>
      <c r="L27" s="329" t="n">
        <v>3.284153</v>
      </c>
      <c r="M27" s="329" t="n">
        <v>0.590164</v>
      </c>
      <c r="N27" s="329" t="n">
        <v>1.704918</v>
      </c>
      <c r="O27" s="329" t="n">
        <v>10.480874</v>
      </c>
      <c r="P27" s="329" t="n">
        <v>0.114754</v>
      </c>
      <c r="Q27" s="329" t="n">
        <v>0.808743</v>
      </c>
      <c r="R27" s="329" t="n">
        <v>1.174863</v>
      </c>
      <c r="S27" s="329" t="n">
        <v>0.770492</v>
      </c>
      <c r="T27" s="329" t="n">
        <v>0.748634</v>
      </c>
      <c r="U27" s="329" t="n">
        <v>10.415301</v>
      </c>
      <c r="V27" s="329" t="n">
        <v>5.956284</v>
      </c>
      <c r="W27" s="328"/>
      <c r="X27" s="330"/>
      <c r="Y27" s="330" t="s">
        <v>363</v>
      </c>
      <c r="Z27" s="328"/>
      <c r="AA27" s="328"/>
    </row>
    <row r="28" customFormat="false" ht="15" hidden="false" customHeight="false" outlineLevel="0" collapsed="false">
      <c r="A28" s="328" t="s">
        <v>152</v>
      </c>
      <c r="B28" s="328" t="s">
        <v>433</v>
      </c>
      <c r="C28" s="328" t="s">
        <v>434</v>
      </c>
      <c r="D28" s="328" t="s">
        <v>435</v>
      </c>
      <c r="E28" s="328" t="s">
        <v>436</v>
      </c>
      <c r="F28" s="328" t="s">
        <v>437</v>
      </c>
      <c r="G28" s="328" t="s">
        <v>361</v>
      </c>
      <c r="H28" s="328" t="s">
        <v>362</v>
      </c>
      <c r="I28" s="329" t="n">
        <v>31.799795186892</v>
      </c>
      <c r="J28" s="329" t="n">
        <v>167.306011</v>
      </c>
      <c r="K28" s="329" t="n">
        <v>140.612022</v>
      </c>
      <c r="L28" s="329" t="n">
        <v>37.437158</v>
      </c>
      <c r="M28" s="329" t="n">
        <v>13.519126</v>
      </c>
      <c r="N28" s="329" t="n">
        <v>55.989071</v>
      </c>
      <c r="O28" s="329" t="n">
        <v>279.185792</v>
      </c>
      <c r="P28" s="329" t="n">
        <v>3.825137</v>
      </c>
      <c r="Q28" s="329" t="n">
        <v>19.874317</v>
      </c>
      <c r="R28" s="329" t="n">
        <v>24.087432</v>
      </c>
      <c r="S28" s="329" t="n">
        <v>15.519126</v>
      </c>
      <c r="T28" s="329" t="n">
        <v>37.748634</v>
      </c>
      <c r="U28" s="329" t="n">
        <v>281.519126</v>
      </c>
      <c r="V28" s="329" t="n">
        <v>210.163934</v>
      </c>
      <c r="W28" s="328"/>
      <c r="X28" s="330" t="s">
        <v>438</v>
      </c>
      <c r="Y28" s="331" t="s">
        <v>439</v>
      </c>
      <c r="Z28" s="328" t="s">
        <v>440</v>
      </c>
      <c r="AA28" s="328" t="s">
        <v>385</v>
      </c>
    </row>
    <row r="29" customFormat="false" ht="15" hidden="false" customHeight="false" outlineLevel="0" collapsed="false">
      <c r="A29" s="328" t="s">
        <v>441</v>
      </c>
      <c r="B29" s="328" t="s">
        <v>442</v>
      </c>
      <c r="C29" s="328" t="s">
        <v>443</v>
      </c>
      <c r="D29" s="328" t="s">
        <v>444</v>
      </c>
      <c r="E29" s="328" t="s">
        <v>445</v>
      </c>
      <c r="F29" s="328" t="s">
        <v>437</v>
      </c>
      <c r="G29" s="328" t="s">
        <v>368</v>
      </c>
      <c r="H29" s="328" t="s">
        <v>362</v>
      </c>
      <c r="I29" s="329" t="n">
        <v>52.7833655705996</v>
      </c>
      <c r="J29" s="329" t="n">
        <v>151.508197</v>
      </c>
      <c r="K29" s="329" t="n">
        <v>11.836066</v>
      </c>
      <c r="L29" s="329" t="n">
        <v>7.409836</v>
      </c>
      <c r="M29" s="329" t="n">
        <v>7.57377</v>
      </c>
      <c r="N29" s="329" t="n">
        <v>16.404372</v>
      </c>
      <c r="O29" s="329" t="n">
        <v>141.076503</v>
      </c>
      <c r="P29" s="329" t="n">
        <v>0.251366</v>
      </c>
      <c r="Q29" s="329" t="n">
        <v>20.595628</v>
      </c>
      <c r="R29" s="329" t="n">
        <v>8.557377</v>
      </c>
      <c r="S29" s="329" t="n">
        <v>2.743169</v>
      </c>
      <c r="T29" s="329" t="n">
        <v>9.125683</v>
      </c>
      <c r="U29" s="329" t="n">
        <v>157.901639</v>
      </c>
      <c r="V29" s="329" t="n">
        <v>103.36612</v>
      </c>
      <c r="W29" s="329" t="n">
        <v>200</v>
      </c>
      <c r="X29" s="330" t="s">
        <v>340</v>
      </c>
      <c r="Y29" s="331" t="s">
        <v>363</v>
      </c>
      <c r="Z29" s="328" t="s">
        <v>379</v>
      </c>
      <c r="AA29" s="328" t="s">
        <v>342</v>
      </c>
    </row>
    <row r="30" customFormat="false" ht="15" hidden="false" customHeight="false" outlineLevel="0" collapsed="false">
      <c r="A30" s="328" t="s">
        <v>446</v>
      </c>
      <c r="B30" s="328" t="s">
        <v>447</v>
      </c>
      <c r="C30" s="328" t="s">
        <v>448</v>
      </c>
      <c r="D30" s="328" t="s">
        <v>345</v>
      </c>
      <c r="E30" s="328" t="s">
        <v>449</v>
      </c>
      <c r="F30" s="328" t="s">
        <v>450</v>
      </c>
      <c r="G30" s="328" t="s">
        <v>348</v>
      </c>
      <c r="H30" s="328" t="s">
        <v>362</v>
      </c>
      <c r="I30" s="329" t="n">
        <v>50.2709891936825</v>
      </c>
      <c r="J30" s="329" t="n">
        <v>806.89071</v>
      </c>
      <c r="K30" s="329" t="n">
        <v>126.218579</v>
      </c>
      <c r="L30" s="329" t="n">
        <v>168.84153</v>
      </c>
      <c r="M30" s="329" t="n">
        <v>202.038251</v>
      </c>
      <c r="N30" s="329" t="n">
        <v>283.918033</v>
      </c>
      <c r="O30" s="329" t="n">
        <v>826.125683</v>
      </c>
      <c r="P30" s="329" t="n">
        <v>32.934426</v>
      </c>
      <c r="Q30" s="329" t="n">
        <v>161.010929</v>
      </c>
      <c r="R30" s="329" t="n">
        <v>226.879781</v>
      </c>
      <c r="S30" s="329" t="n">
        <v>66.557377</v>
      </c>
      <c r="T30" s="329" t="n">
        <v>88.295082</v>
      </c>
      <c r="U30" s="329" t="n">
        <v>922.256831</v>
      </c>
      <c r="V30" s="329" t="n">
        <v>387.945355</v>
      </c>
      <c r="W30" s="329" t="n">
        <v>2560</v>
      </c>
      <c r="X30" s="330"/>
      <c r="Y30" s="330" t="s">
        <v>363</v>
      </c>
      <c r="Z30" s="328"/>
      <c r="AA30" s="328"/>
    </row>
    <row r="31" customFormat="false" ht="15" hidden="false" customHeight="false" outlineLevel="0" collapsed="false">
      <c r="A31" s="328" t="s">
        <v>451</v>
      </c>
      <c r="B31" s="328" t="s">
        <v>452</v>
      </c>
      <c r="C31" s="328" t="s">
        <v>453</v>
      </c>
      <c r="D31" s="328" t="s">
        <v>454</v>
      </c>
      <c r="E31" s="328" t="s">
        <v>455</v>
      </c>
      <c r="F31" s="328" t="s">
        <v>456</v>
      </c>
      <c r="G31" s="328" t="s">
        <v>361</v>
      </c>
      <c r="H31" s="328" t="s">
        <v>339</v>
      </c>
      <c r="I31" s="329" t="n">
        <v>8.12357414448669</v>
      </c>
      <c r="J31" s="329" t="n">
        <v>28.431694</v>
      </c>
      <c r="K31" s="329" t="n">
        <v>2.967213</v>
      </c>
      <c r="L31" s="329" t="n">
        <v>4.322404</v>
      </c>
      <c r="M31" s="329" t="n">
        <v>3.57377</v>
      </c>
      <c r="N31" s="329" t="n">
        <v>5.961749</v>
      </c>
      <c r="O31" s="329" t="n">
        <v>19.196721</v>
      </c>
      <c r="P31" s="329" t="n">
        <v>1.726776</v>
      </c>
      <c r="Q31" s="329" t="n">
        <v>12.409836</v>
      </c>
      <c r="R31" s="329" t="n">
        <v>5.147541</v>
      </c>
      <c r="S31" s="329" t="n">
        <v>1.628415</v>
      </c>
      <c r="T31" s="329" t="n">
        <v>3.857923</v>
      </c>
      <c r="U31" s="329" t="n">
        <v>28.661202</v>
      </c>
      <c r="V31" s="329" t="n">
        <v>18.628415</v>
      </c>
      <c r="W31" s="328"/>
      <c r="X31" s="330"/>
      <c r="Y31" s="330" t="s">
        <v>363</v>
      </c>
      <c r="Z31" s="328"/>
      <c r="AA31" s="328"/>
    </row>
    <row r="32" customFormat="false" ht="15" hidden="false" customHeight="false" outlineLevel="0" collapsed="false">
      <c r="A32" s="328" t="s">
        <v>457</v>
      </c>
      <c r="B32" s="328" t="s">
        <v>458</v>
      </c>
      <c r="C32" s="328" t="s">
        <v>459</v>
      </c>
      <c r="D32" s="328" t="s">
        <v>402</v>
      </c>
      <c r="E32" s="328" t="s">
        <v>460</v>
      </c>
      <c r="F32" s="328" t="s">
        <v>404</v>
      </c>
      <c r="G32" s="328" t="s">
        <v>361</v>
      </c>
      <c r="H32" s="328" t="s">
        <v>362</v>
      </c>
      <c r="I32" s="329" t="n">
        <v>66.7465277777778</v>
      </c>
      <c r="J32" s="329" t="n">
        <v>100.387978</v>
      </c>
      <c r="K32" s="329" t="n">
        <v>23.639344</v>
      </c>
      <c r="L32" s="329" t="n">
        <v>10.47541</v>
      </c>
      <c r="M32" s="329" t="n">
        <v>7.103825</v>
      </c>
      <c r="N32" s="329" t="n">
        <v>23.874317</v>
      </c>
      <c r="O32" s="329" t="n">
        <v>86.010929</v>
      </c>
      <c r="P32" s="329" t="n">
        <v>3.661202</v>
      </c>
      <c r="Q32" s="329" t="n">
        <v>28.060109</v>
      </c>
      <c r="R32" s="329" t="n">
        <v>8.661202</v>
      </c>
      <c r="S32" s="329" t="n">
        <v>8.693989</v>
      </c>
      <c r="T32" s="329" t="n">
        <v>15.786885</v>
      </c>
      <c r="U32" s="329" t="n">
        <v>108.46448</v>
      </c>
      <c r="V32" s="329" t="n">
        <v>66.622951</v>
      </c>
      <c r="W32" s="328"/>
      <c r="X32" s="330"/>
      <c r="Y32" s="330" t="s">
        <v>363</v>
      </c>
      <c r="Z32" s="328"/>
      <c r="AA32" s="328"/>
    </row>
    <row r="33" customFormat="false" ht="15" hidden="false" customHeight="false" outlineLevel="0" collapsed="false">
      <c r="A33" s="328" t="s">
        <v>158</v>
      </c>
      <c r="B33" s="328" t="s">
        <v>461</v>
      </c>
      <c r="C33" s="328" t="s">
        <v>462</v>
      </c>
      <c r="D33" s="328" t="s">
        <v>463</v>
      </c>
      <c r="E33" s="328" t="s">
        <v>464</v>
      </c>
      <c r="F33" s="328" t="s">
        <v>465</v>
      </c>
      <c r="G33" s="328" t="s">
        <v>338</v>
      </c>
      <c r="H33" s="328" t="s">
        <v>362</v>
      </c>
      <c r="I33" s="329" t="n">
        <v>53.0506108202443</v>
      </c>
      <c r="J33" s="329" t="n">
        <v>131.295082</v>
      </c>
      <c r="K33" s="329" t="n">
        <v>98.125683</v>
      </c>
      <c r="L33" s="329" t="n">
        <v>56.081967</v>
      </c>
      <c r="M33" s="329" t="n">
        <v>58.639344</v>
      </c>
      <c r="N33" s="329" t="n">
        <v>105.04918</v>
      </c>
      <c r="O33" s="329" t="n">
        <v>218.726776</v>
      </c>
      <c r="P33" s="329" t="n">
        <v>4.010929</v>
      </c>
      <c r="Q33" s="329" t="n">
        <v>16.355191</v>
      </c>
      <c r="R33" s="329" t="n">
        <v>72.857923</v>
      </c>
      <c r="S33" s="329" t="n">
        <v>29.142077</v>
      </c>
      <c r="T33" s="329" t="n">
        <v>27.590164</v>
      </c>
      <c r="U33" s="329" t="n">
        <v>214.551913</v>
      </c>
      <c r="V33" s="329" t="n">
        <v>177.781421</v>
      </c>
      <c r="W33" s="329" t="n">
        <v>224</v>
      </c>
      <c r="X33" s="330" t="s">
        <v>340</v>
      </c>
      <c r="Y33" s="331" t="n">
        <v>45764</v>
      </c>
      <c r="Z33" s="328" t="s">
        <v>341</v>
      </c>
      <c r="AA33" s="328" t="s">
        <v>342</v>
      </c>
    </row>
    <row r="34" customFormat="false" ht="15" hidden="false" customHeight="false" outlineLevel="0" collapsed="false">
      <c r="A34" s="328" t="s">
        <v>466</v>
      </c>
      <c r="B34" s="328" t="s">
        <v>467</v>
      </c>
      <c r="C34" s="328" t="s">
        <v>468</v>
      </c>
      <c r="D34" s="328" t="s">
        <v>469</v>
      </c>
      <c r="E34" s="328" t="s">
        <v>470</v>
      </c>
      <c r="F34" s="328" t="s">
        <v>471</v>
      </c>
      <c r="G34" s="328" t="s">
        <v>361</v>
      </c>
      <c r="H34" s="328" t="s">
        <v>339</v>
      </c>
      <c r="I34" s="329" t="n">
        <v>5.84705882352941</v>
      </c>
      <c r="J34" s="329" t="n">
        <v>1.387978</v>
      </c>
      <c r="K34" s="329" t="n">
        <v>1.404372</v>
      </c>
      <c r="L34" s="329" t="n">
        <v>0.387978</v>
      </c>
      <c r="M34" s="329" t="n">
        <v>0.311475</v>
      </c>
      <c r="N34" s="329" t="n">
        <v>0.68306</v>
      </c>
      <c r="O34" s="329" t="n">
        <v>2.808743</v>
      </c>
      <c r="P34" s="329" t="n">
        <v>0</v>
      </c>
      <c r="Q34" s="329" t="n">
        <v>0</v>
      </c>
      <c r="R34" s="329" t="n">
        <v>0.431694</v>
      </c>
      <c r="S34" s="329" t="n">
        <v>0.142077</v>
      </c>
      <c r="T34" s="329" t="n">
        <v>0.655738</v>
      </c>
      <c r="U34" s="329" t="n">
        <v>2.262295</v>
      </c>
      <c r="V34" s="329" t="n">
        <v>2.480874</v>
      </c>
      <c r="W34" s="328"/>
      <c r="X34" s="330" t="s">
        <v>340</v>
      </c>
      <c r="Y34" s="330" t="s">
        <v>363</v>
      </c>
      <c r="Z34" s="328" t="s">
        <v>379</v>
      </c>
      <c r="AA34" s="328" t="s">
        <v>385</v>
      </c>
    </row>
    <row r="35" customFormat="false" ht="15" hidden="false" customHeight="false" outlineLevel="0" collapsed="false">
      <c r="A35" s="328" t="s">
        <v>472</v>
      </c>
      <c r="B35" s="328" t="s">
        <v>473</v>
      </c>
      <c r="C35" s="328" t="s">
        <v>474</v>
      </c>
      <c r="D35" s="328" t="s">
        <v>475</v>
      </c>
      <c r="E35" s="328" t="s">
        <v>476</v>
      </c>
      <c r="F35" s="328" t="s">
        <v>432</v>
      </c>
      <c r="G35" s="328" t="s">
        <v>361</v>
      </c>
      <c r="H35" s="328" t="s">
        <v>362</v>
      </c>
      <c r="I35" s="329" t="n">
        <v>19.7668711656442</v>
      </c>
      <c r="J35" s="329" t="n">
        <v>7.639344</v>
      </c>
      <c r="K35" s="329" t="n">
        <v>1.459016</v>
      </c>
      <c r="L35" s="329" t="n">
        <v>3.224044</v>
      </c>
      <c r="M35" s="329" t="n">
        <v>2.590164</v>
      </c>
      <c r="N35" s="329" t="n">
        <v>5.169399</v>
      </c>
      <c r="O35" s="329" t="n">
        <v>8.677596</v>
      </c>
      <c r="P35" s="329" t="n">
        <v>0.437158</v>
      </c>
      <c r="Q35" s="329" t="n">
        <v>0.628415</v>
      </c>
      <c r="R35" s="329" t="n">
        <v>1.967213</v>
      </c>
      <c r="S35" s="329" t="n">
        <v>1.907104</v>
      </c>
      <c r="T35" s="329" t="n">
        <v>3.136612</v>
      </c>
      <c r="U35" s="329" t="n">
        <v>7.901639</v>
      </c>
      <c r="V35" s="329" t="n">
        <v>9.322404</v>
      </c>
      <c r="W35" s="328"/>
      <c r="X35" s="330"/>
      <c r="Y35" s="330"/>
      <c r="Z35" s="328"/>
      <c r="AA35" s="328"/>
    </row>
    <row r="36" customFormat="false" ht="15" hidden="false" customHeight="false" outlineLevel="0" collapsed="false">
      <c r="A36" s="328" t="s">
        <v>162</v>
      </c>
      <c r="B36" s="328" t="s">
        <v>477</v>
      </c>
      <c r="C36" s="328" t="s">
        <v>478</v>
      </c>
      <c r="D36" s="328" t="s">
        <v>479</v>
      </c>
      <c r="E36" s="328" t="s">
        <v>480</v>
      </c>
      <c r="F36" s="328" t="s">
        <v>481</v>
      </c>
      <c r="G36" s="328" t="s">
        <v>482</v>
      </c>
      <c r="H36" s="328" t="s">
        <v>339</v>
      </c>
      <c r="I36" s="329" t="n">
        <v>33.5927234192865</v>
      </c>
      <c r="J36" s="329" t="n">
        <v>187.038251</v>
      </c>
      <c r="K36" s="329" t="n">
        <v>59.393443</v>
      </c>
      <c r="L36" s="329" t="n">
        <v>145.142077</v>
      </c>
      <c r="M36" s="329" t="n">
        <v>126.273224</v>
      </c>
      <c r="N36" s="329" t="n">
        <v>207.819672</v>
      </c>
      <c r="O36" s="329" t="n">
        <v>309.420765</v>
      </c>
      <c r="P36" s="329" t="n">
        <v>0.016393</v>
      </c>
      <c r="Q36" s="329" t="n">
        <v>0.590164</v>
      </c>
      <c r="R36" s="329" t="n">
        <v>110.535519</v>
      </c>
      <c r="S36" s="329" t="n">
        <v>58.431694</v>
      </c>
      <c r="T36" s="329" t="n">
        <v>77.961749</v>
      </c>
      <c r="U36" s="329" t="n">
        <v>270.918033</v>
      </c>
      <c r="V36" s="329" t="n">
        <v>314.245902</v>
      </c>
      <c r="W36" s="328"/>
      <c r="X36" s="330" t="s">
        <v>340</v>
      </c>
      <c r="Y36" s="331" t="n">
        <v>45638</v>
      </c>
      <c r="Z36" s="328" t="s">
        <v>379</v>
      </c>
      <c r="AA36" s="328" t="s">
        <v>342</v>
      </c>
    </row>
    <row r="37" customFormat="false" ht="15" hidden="false" customHeight="false" outlineLevel="0" collapsed="false">
      <c r="A37" s="328" t="s">
        <v>483</v>
      </c>
      <c r="B37" s="328" t="s">
        <v>484</v>
      </c>
      <c r="C37" s="328" t="s">
        <v>485</v>
      </c>
      <c r="D37" s="328" t="s">
        <v>352</v>
      </c>
      <c r="E37" s="328" t="s">
        <v>486</v>
      </c>
      <c r="F37" s="328" t="s">
        <v>337</v>
      </c>
      <c r="G37" s="328" t="s">
        <v>368</v>
      </c>
      <c r="H37" s="328" t="s">
        <v>339</v>
      </c>
      <c r="I37" s="329" t="n">
        <v>21.973631840796</v>
      </c>
      <c r="J37" s="329" t="n">
        <v>689.289617</v>
      </c>
      <c r="K37" s="329" t="n">
        <v>166.021858</v>
      </c>
      <c r="L37" s="329" t="n">
        <v>191.617486</v>
      </c>
      <c r="M37" s="329" t="n">
        <v>149.677596</v>
      </c>
      <c r="N37" s="329" t="n">
        <v>241.26776</v>
      </c>
      <c r="O37" s="329" t="n">
        <v>955.065574</v>
      </c>
      <c r="P37" s="329" t="n">
        <v>0.021858</v>
      </c>
      <c r="Q37" s="329" t="n">
        <v>0.251366</v>
      </c>
      <c r="R37" s="329" t="n">
        <v>140.202186</v>
      </c>
      <c r="S37" s="329" t="n">
        <v>71.912568</v>
      </c>
      <c r="T37" s="329" t="n">
        <v>104.967213</v>
      </c>
      <c r="U37" s="329" t="n">
        <v>879.524591</v>
      </c>
      <c r="V37" s="329" t="n">
        <v>886.344262</v>
      </c>
      <c r="W37" s="329" t="n">
        <v>1170</v>
      </c>
      <c r="X37" s="330" t="s">
        <v>340</v>
      </c>
      <c r="Y37" s="331" t="n">
        <v>46030</v>
      </c>
      <c r="Z37" s="328" t="s">
        <v>341</v>
      </c>
      <c r="AA37" s="328" t="s">
        <v>342</v>
      </c>
    </row>
    <row r="38" customFormat="false" ht="15" hidden="false" customHeight="false" outlineLevel="0" collapsed="false">
      <c r="A38" s="328" t="s">
        <v>487</v>
      </c>
      <c r="B38" s="328" t="s">
        <v>488</v>
      </c>
      <c r="C38" s="328" t="s">
        <v>489</v>
      </c>
      <c r="D38" s="328" t="s">
        <v>490</v>
      </c>
      <c r="E38" s="328" t="s">
        <v>491</v>
      </c>
      <c r="F38" s="328" t="s">
        <v>404</v>
      </c>
      <c r="G38" s="328" t="s">
        <v>368</v>
      </c>
      <c r="H38" s="328" t="s">
        <v>362</v>
      </c>
      <c r="I38" s="329" t="n">
        <v>22.8685047720042</v>
      </c>
      <c r="J38" s="329" t="n">
        <v>56.076503</v>
      </c>
      <c r="K38" s="329" t="n">
        <v>19.431694</v>
      </c>
      <c r="L38" s="329" t="n">
        <v>21.349727</v>
      </c>
      <c r="M38" s="329" t="n">
        <v>19.546448</v>
      </c>
      <c r="N38" s="329" t="n">
        <v>34.4153</v>
      </c>
      <c r="O38" s="329" t="n">
        <v>65.480874</v>
      </c>
      <c r="P38" s="329" t="n">
        <v>2.874317</v>
      </c>
      <c r="Q38" s="329" t="n">
        <v>13.63388</v>
      </c>
      <c r="R38" s="329" t="n">
        <v>15.797814</v>
      </c>
      <c r="S38" s="329" t="n">
        <v>7.622951</v>
      </c>
      <c r="T38" s="329" t="n">
        <v>21.437158</v>
      </c>
      <c r="U38" s="329" t="n">
        <v>71.546448</v>
      </c>
      <c r="V38" s="329" t="n">
        <v>76.47541</v>
      </c>
      <c r="W38" s="328"/>
      <c r="X38" s="330" t="s">
        <v>340</v>
      </c>
      <c r="Y38" s="331" t="n">
        <v>45729</v>
      </c>
      <c r="Z38" s="328" t="s">
        <v>379</v>
      </c>
      <c r="AA38" s="328" t="s">
        <v>342</v>
      </c>
    </row>
    <row r="39" customFormat="false" ht="15" hidden="false" customHeight="false" outlineLevel="0" collapsed="false">
      <c r="A39" s="328" t="s">
        <v>492</v>
      </c>
      <c r="B39" s="328" t="s">
        <v>493</v>
      </c>
      <c r="C39" s="328" t="s">
        <v>494</v>
      </c>
      <c r="D39" s="328" t="s">
        <v>444</v>
      </c>
      <c r="E39" s="328" t="s">
        <v>495</v>
      </c>
      <c r="F39" s="328" t="s">
        <v>437</v>
      </c>
      <c r="G39" s="328" t="s">
        <v>368</v>
      </c>
      <c r="H39" s="328" t="s">
        <v>339</v>
      </c>
      <c r="I39" s="329" t="n">
        <v>59.8672566371681</v>
      </c>
      <c r="J39" s="329" t="n">
        <v>26.10929</v>
      </c>
      <c r="K39" s="329" t="n">
        <v>2.398907</v>
      </c>
      <c r="L39" s="329" t="n">
        <v>6.136612</v>
      </c>
      <c r="M39" s="329" t="n">
        <v>1.879781</v>
      </c>
      <c r="N39" s="329" t="n">
        <v>5.737705</v>
      </c>
      <c r="O39" s="329" t="n">
        <v>30.786885</v>
      </c>
      <c r="P39" s="329" t="n">
        <v>0</v>
      </c>
      <c r="Q39" s="329" t="n">
        <v>0</v>
      </c>
      <c r="R39" s="329" t="n">
        <v>2.038251</v>
      </c>
      <c r="S39" s="329" t="n">
        <v>2.360656</v>
      </c>
      <c r="T39" s="329" t="n">
        <v>2.912568</v>
      </c>
      <c r="U39" s="329" t="n">
        <v>29.213115</v>
      </c>
      <c r="V39" s="329" t="n">
        <v>21.431694</v>
      </c>
      <c r="W39" s="328"/>
      <c r="X39" s="330" t="s">
        <v>340</v>
      </c>
      <c r="Y39" s="331" t="s">
        <v>439</v>
      </c>
      <c r="Z39" s="328" t="s">
        <v>379</v>
      </c>
      <c r="AA39" s="328" t="s">
        <v>342</v>
      </c>
    </row>
    <row r="40" customFormat="false" ht="15" hidden="false" customHeight="false" outlineLevel="0" collapsed="false">
      <c r="A40" s="328" t="s">
        <v>496</v>
      </c>
      <c r="B40" s="328" t="s">
        <v>497</v>
      </c>
      <c r="C40" s="328" t="s">
        <v>498</v>
      </c>
      <c r="D40" s="328" t="s">
        <v>499</v>
      </c>
      <c r="E40" s="328" t="s">
        <v>500</v>
      </c>
      <c r="F40" s="328" t="s">
        <v>391</v>
      </c>
      <c r="G40" s="328" t="s">
        <v>361</v>
      </c>
      <c r="H40" s="328" t="s">
        <v>362</v>
      </c>
      <c r="I40" s="329" t="n">
        <v>11.027397260274</v>
      </c>
      <c r="J40" s="329" t="n">
        <v>4.021858</v>
      </c>
      <c r="K40" s="329" t="n">
        <v>0</v>
      </c>
      <c r="L40" s="329" t="n">
        <v>0.409836</v>
      </c>
      <c r="M40" s="329" t="n">
        <v>0.016393</v>
      </c>
      <c r="N40" s="329" t="n">
        <v>0</v>
      </c>
      <c r="O40" s="329" t="n">
        <v>0.010929</v>
      </c>
      <c r="P40" s="329" t="n">
        <v>0.016393</v>
      </c>
      <c r="Q40" s="329" t="n">
        <v>4.420765</v>
      </c>
      <c r="R40" s="329" t="n">
        <v>0.016393</v>
      </c>
      <c r="S40" s="329" t="n">
        <v>0</v>
      </c>
      <c r="T40" s="329" t="n">
        <v>0.234973</v>
      </c>
      <c r="U40" s="329" t="n">
        <v>4.196721</v>
      </c>
      <c r="V40" s="329" t="n">
        <v>1.311475</v>
      </c>
      <c r="W40" s="328"/>
      <c r="X40" s="330" t="s">
        <v>438</v>
      </c>
      <c r="Y40" s="331" t="s">
        <v>439</v>
      </c>
      <c r="Z40" s="328" t="s">
        <v>440</v>
      </c>
      <c r="AA40" s="328" t="s">
        <v>342</v>
      </c>
    </row>
    <row r="41" customFormat="false" ht="15" hidden="false" customHeight="false" outlineLevel="0" collapsed="false">
      <c r="A41" s="328" t="s">
        <v>166</v>
      </c>
      <c r="B41" s="328" t="s">
        <v>501</v>
      </c>
      <c r="C41" s="328" t="s">
        <v>502</v>
      </c>
      <c r="D41" s="328" t="s">
        <v>402</v>
      </c>
      <c r="E41" s="328" t="s">
        <v>503</v>
      </c>
      <c r="F41" s="328" t="s">
        <v>404</v>
      </c>
      <c r="G41" s="328" t="s">
        <v>361</v>
      </c>
      <c r="H41" s="328" t="s">
        <v>362</v>
      </c>
      <c r="I41" s="329" t="n">
        <v>40.4027777777778</v>
      </c>
      <c r="J41" s="329" t="n">
        <v>65.808743</v>
      </c>
      <c r="K41" s="329" t="n">
        <v>10.459016</v>
      </c>
      <c r="L41" s="329" t="n">
        <v>21.754098</v>
      </c>
      <c r="M41" s="329" t="n">
        <v>12.273224</v>
      </c>
      <c r="N41" s="329" t="n">
        <v>21.169399</v>
      </c>
      <c r="O41" s="329" t="n">
        <v>88.20765</v>
      </c>
      <c r="P41" s="329" t="n">
        <v>0.513661</v>
      </c>
      <c r="Q41" s="329" t="n">
        <v>0.404372</v>
      </c>
      <c r="R41" s="329" t="n">
        <v>13.715847</v>
      </c>
      <c r="S41" s="329" t="n">
        <v>7.480874</v>
      </c>
      <c r="T41" s="329" t="n">
        <v>9.387978</v>
      </c>
      <c r="U41" s="329" t="n">
        <v>79.710383</v>
      </c>
      <c r="V41" s="329" t="n">
        <v>55.825137</v>
      </c>
      <c r="W41" s="328"/>
      <c r="X41" s="330"/>
      <c r="Y41" s="330"/>
      <c r="Z41" s="328"/>
      <c r="AA41" s="328"/>
    </row>
    <row r="42" customFormat="false" ht="15" hidden="false" customHeight="false" outlineLevel="0" collapsed="false">
      <c r="A42" s="328" t="s">
        <v>504</v>
      </c>
      <c r="B42" s="328" t="s">
        <v>505</v>
      </c>
      <c r="C42" s="328" t="s">
        <v>506</v>
      </c>
      <c r="D42" s="328" t="s">
        <v>507</v>
      </c>
      <c r="E42" s="328" t="s">
        <v>508</v>
      </c>
      <c r="F42" s="328" t="s">
        <v>509</v>
      </c>
      <c r="G42" s="328" t="s">
        <v>368</v>
      </c>
      <c r="H42" s="328" t="s">
        <v>339</v>
      </c>
      <c r="I42" s="329" t="n">
        <v>65.4391080617496</v>
      </c>
      <c r="J42" s="329" t="n">
        <v>160.901639</v>
      </c>
      <c r="K42" s="329" t="n">
        <v>43.743169</v>
      </c>
      <c r="L42" s="329" t="n">
        <v>23.907104</v>
      </c>
      <c r="M42" s="329" t="n">
        <v>6.885246</v>
      </c>
      <c r="N42" s="329" t="n">
        <v>27.306011</v>
      </c>
      <c r="O42" s="329" t="n">
        <v>208.131148</v>
      </c>
      <c r="P42" s="329" t="n">
        <v>0</v>
      </c>
      <c r="Q42" s="329" t="n">
        <v>0</v>
      </c>
      <c r="R42" s="329" t="n">
        <v>8.349727</v>
      </c>
      <c r="S42" s="329" t="n">
        <v>7.874317</v>
      </c>
      <c r="T42" s="329" t="n">
        <v>20.939891</v>
      </c>
      <c r="U42" s="329" t="n">
        <v>198.273224</v>
      </c>
      <c r="V42" s="329" t="n">
        <v>81.360656</v>
      </c>
      <c r="W42" s="328"/>
      <c r="X42" s="330" t="s">
        <v>340</v>
      </c>
      <c r="Y42" s="331" t="n">
        <v>45715</v>
      </c>
      <c r="Z42" s="328" t="s">
        <v>341</v>
      </c>
      <c r="AA42" s="328" t="s">
        <v>342</v>
      </c>
    </row>
    <row r="43" customFormat="false" ht="15" hidden="false" customHeight="false" outlineLevel="0" collapsed="false">
      <c r="A43" s="328" t="s">
        <v>510</v>
      </c>
      <c r="B43" s="328" t="s">
        <v>511</v>
      </c>
      <c r="C43" s="328" t="s">
        <v>512</v>
      </c>
      <c r="D43" s="328" t="s">
        <v>513</v>
      </c>
      <c r="E43" s="328" t="s">
        <v>514</v>
      </c>
      <c r="F43" s="328" t="s">
        <v>398</v>
      </c>
      <c r="G43" s="328" t="s">
        <v>361</v>
      </c>
      <c r="H43" s="328" t="s">
        <v>339</v>
      </c>
      <c r="I43" s="329" t="n">
        <v>42.1109871723369</v>
      </c>
      <c r="J43" s="329" t="n">
        <v>425.10929</v>
      </c>
      <c r="K43" s="329" t="n">
        <v>51.344262</v>
      </c>
      <c r="L43" s="329" t="n">
        <v>65</v>
      </c>
      <c r="M43" s="329" t="n">
        <v>48.300546</v>
      </c>
      <c r="N43" s="329" t="n">
        <v>122.934426</v>
      </c>
      <c r="O43" s="329" t="n">
        <v>466.819672</v>
      </c>
      <c r="P43" s="329" t="n">
        <v>0</v>
      </c>
      <c r="Q43" s="329" t="n">
        <v>0</v>
      </c>
      <c r="R43" s="329" t="n">
        <v>59.852459</v>
      </c>
      <c r="S43" s="329" t="n">
        <v>34.934426</v>
      </c>
      <c r="T43" s="329" t="n">
        <v>45.612022</v>
      </c>
      <c r="U43" s="329" t="n">
        <v>449.355191</v>
      </c>
      <c r="V43" s="329" t="n">
        <v>299.513661</v>
      </c>
      <c r="W43" s="328"/>
      <c r="X43" s="330" t="s">
        <v>515</v>
      </c>
      <c r="Y43" s="332" t="n">
        <v>45687</v>
      </c>
      <c r="Z43" s="328" t="s">
        <v>516</v>
      </c>
      <c r="AA43" s="328" t="s">
        <v>342</v>
      </c>
    </row>
    <row r="44" customFormat="false" ht="15" hidden="false" customHeight="false" outlineLevel="0" collapsed="false">
      <c r="A44" s="328" t="s">
        <v>517</v>
      </c>
      <c r="B44" s="328" t="s">
        <v>518</v>
      </c>
      <c r="C44" s="328" t="s">
        <v>519</v>
      </c>
      <c r="D44" s="328" t="s">
        <v>520</v>
      </c>
      <c r="E44" s="328" t="s">
        <v>521</v>
      </c>
      <c r="F44" s="328" t="s">
        <v>404</v>
      </c>
      <c r="G44" s="328" t="s">
        <v>361</v>
      </c>
      <c r="H44" s="328" t="s">
        <v>362</v>
      </c>
      <c r="I44" s="329" t="n">
        <v>55.521897810219</v>
      </c>
      <c r="J44" s="329" t="n">
        <v>57.010929</v>
      </c>
      <c r="K44" s="329" t="n">
        <v>16.371585</v>
      </c>
      <c r="L44" s="329" t="n">
        <v>10.136612</v>
      </c>
      <c r="M44" s="329" t="n">
        <v>6.409836</v>
      </c>
      <c r="N44" s="329" t="n">
        <v>4.726776</v>
      </c>
      <c r="O44" s="329" t="n">
        <v>22.163934</v>
      </c>
      <c r="P44" s="329" t="n">
        <v>6.387978</v>
      </c>
      <c r="Q44" s="329" t="n">
        <v>56.650273</v>
      </c>
      <c r="R44" s="329" t="n">
        <v>9.535519</v>
      </c>
      <c r="S44" s="329" t="n">
        <v>3.333333</v>
      </c>
      <c r="T44" s="329" t="n">
        <v>6.415301</v>
      </c>
      <c r="U44" s="329" t="n">
        <v>70.644808</v>
      </c>
      <c r="V44" s="329" t="n">
        <v>50.502732</v>
      </c>
      <c r="W44" s="328"/>
      <c r="X44" s="330"/>
      <c r="Y44" s="330" t="s">
        <v>363</v>
      </c>
      <c r="Z44" s="328"/>
      <c r="AA44" s="328"/>
    </row>
    <row r="45" customFormat="false" ht="15" hidden="false" customHeight="false" outlineLevel="0" collapsed="false">
      <c r="A45" s="328" t="s">
        <v>522</v>
      </c>
      <c r="B45" s="328" t="s">
        <v>523</v>
      </c>
      <c r="C45" s="328" t="s">
        <v>524</v>
      </c>
      <c r="D45" s="328" t="s">
        <v>520</v>
      </c>
      <c r="E45" s="328" t="s">
        <v>525</v>
      </c>
      <c r="F45" s="328" t="s">
        <v>404</v>
      </c>
      <c r="G45" s="328" t="s">
        <v>361</v>
      </c>
      <c r="H45" s="328" t="s">
        <v>362</v>
      </c>
      <c r="I45" s="329" t="n">
        <v>10.7634961439589</v>
      </c>
      <c r="J45" s="329" t="n">
        <v>147.36612</v>
      </c>
      <c r="K45" s="329" t="n">
        <v>27.748634</v>
      </c>
      <c r="L45" s="329" t="n">
        <v>41.311475</v>
      </c>
      <c r="M45" s="329" t="n">
        <v>28.781421</v>
      </c>
      <c r="N45" s="329" t="n">
        <v>54.989071</v>
      </c>
      <c r="O45" s="329" t="n">
        <v>189.262295</v>
      </c>
      <c r="P45" s="329" t="n">
        <v>0.114754</v>
      </c>
      <c r="Q45" s="329" t="n">
        <v>0.84153</v>
      </c>
      <c r="R45" s="329" t="n">
        <v>26.797814</v>
      </c>
      <c r="S45" s="329" t="n">
        <v>17.15847</v>
      </c>
      <c r="T45" s="329" t="n">
        <v>29.934426</v>
      </c>
      <c r="U45" s="329" t="n">
        <v>171.316939</v>
      </c>
      <c r="V45" s="329" t="n">
        <v>122.180328</v>
      </c>
      <c r="W45" s="328"/>
      <c r="X45" s="330" t="s">
        <v>340</v>
      </c>
      <c r="Y45" s="331" t="s">
        <v>439</v>
      </c>
      <c r="Z45" s="328" t="s">
        <v>379</v>
      </c>
      <c r="AA45" s="328" t="s">
        <v>342</v>
      </c>
    </row>
    <row r="46" customFormat="false" ht="15" hidden="false" customHeight="false" outlineLevel="0" collapsed="false">
      <c r="A46" s="328" t="s">
        <v>526</v>
      </c>
      <c r="B46" s="328" t="s">
        <v>527</v>
      </c>
      <c r="C46" s="328" t="s">
        <v>528</v>
      </c>
      <c r="D46" s="328" t="s">
        <v>454</v>
      </c>
      <c r="E46" s="328" t="s">
        <v>529</v>
      </c>
      <c r="F46" s="328" t="s">
        <v>456</v>
      </c>
      <c r="G46" s="328" t="s">
        <v>361</v>
      </c>
      <c r="H46" s="328" t="s">
        <v>362</v>
      </c>
      <c r="I46" s="329" t="n">
        <v>53.2423398328691</v>
      </c>
      <c r="J46" s="329" t="n">
        <v>22.978142</v>
      </c>
      <c r="K46" s="329" t="n">
        <v>21.251366</v>
      </c>
      <c r="L46" s="329" t="n">
        <v>22.721311</v>
      </c>
      <c r="M46" s="329" t="n">
        <v>25.415301</v>
      </c>
      <c r="N46" s="329" t="n">
        <v>44.639344</v>
      </c>
      <c r="O46" s="329" t="n">
        <v>35.978142</v>
      </c>
      <c r="P46" s="329" t="n">
        <v>2.245902</v>
      </c>
      <c r="Q46" s="329" t="n">
        <v>9.502732</v>
      </c>
      <c r="R46" s="329" t="n">
        <v>40.846995</v>
      </c>
      <c r="S46" s="329" t="n">
        <v>5.972678</v>
      </c>
      <c r="T46" s="329" t="n">
        <v>3.983607</v>
      </c>
      <c r="U46" s="329" t="n">
        <v>41.562841</v>
      </c>
      <c r="V46" s="329" t="n">
        <v>45.557377</v>
      </c>
      <c r="W46" s="328"/>
      <c r="X46" s="330" t="s">
        <v>340</v>
      </c>
      <c r="Y46" s="331" t="n">
        <v>45673</v>
      </c>
      <c r="Z46" s="328" t="s">
        <v>379</v>
      </c>
      <c r="AA46" s="328" t="s">
        <v>342</v>
      </c>
    </row>
    <row r="47" customFormat="false" ht="15" hidden="false" customHeight="false" outlineLevel="0" collapsed="false">
      <c r="A47" s="328" t="s">
        <v>530</v>
      </c>
      <c r="B47" s="328" t="s">
        <v>531</v>
      </c>
      <c r="C47" s="328" t="s">
        <v>532</v>
      </c>
      <c r="D47" s="328" t="s">
        <v>520</v>
      </c>
      <c r="E47" s="328" t="s">
        <v>533</v>
      </c>
      <c r="F47" s="328" t="s">
        <v>404</v>
      </c>
      <c r="G47" s="328" t="s">
        <v>361</v>
      </c>
      <c r="H47" s="328" t="s">
        <v>362</v>
      </c>
      <c r="I47" s="329" t="n">
        <v>5.65205843293493</v>
      </c>
      <c r="J47" s="329" t="n">
        <v>13.306011</v>
      </c>
      <c r="K47" s="329" t="n">
        <v>4.557377</v>
      </c>
      <c r="L47" s="329" t="n">
        <v>4.098361</v>
      </c>
      <c r="M47" s="329" t="n">
        <v>5.595628</v>
      </c>
      <c r="N47" s="329" t="n">
        <v>7.792349</v>
      </c>
      <c r="O47" s="329" t="n">
        <v>12.393443</v>
      </c>
      <c r="P47" s="329" t="n">
        <v>2.10929</v>
      </c>
      <c r="Q47" s="329" t="n">
        <v>5.262295</v>
      </c>
      <c r="R47" s="329" t="n">
        <v>6.027322</v>
      </c>
      <c r="S47" s="329" t="n">
        <v>3.42623</v>
      </c>
      <c r="T47" s="329" t="n">
        <v>2.071038</v>
      </c>
      <c r="U47" s="329" t="n">
        <v>16.032787</v>
      </c>
      <c r="V47" s="329" t="n">
        <v>18.874317</v>
      </c>
      <c r="W47" s="328"/>
      <c r="X47" s="330"/>
      <c r="Y47" s="330" t="s">
        <v>439</v>
      </c>
      <c r="Z47" s="328"/>
      <c r="AA47" s="328"/>
    </row>
    <row r="48" customFormat="false" ht="15" hidden="false" customHeight="false" outlineLevel="0" collapsed="false">
      <c r="A48" s="328" t="s">
        <v>534</v>
      </c>
      <c r="B48" s="328" t="s">
        <v>535</v>
      </c>
      <c r="C48" s="328" t="s">
        <v>536</v>
      </c>
      <c r="D48" s="328" t="s">
        <v>396</v>
      </c>
      <c r="E48" s="328" t="s">
        <v>537</v>
      </c>
      <c r="F48" s="328" t="s">
        <v>538</v>
      </c>
      <c r="G48" s="328" t="s">
        <v>361</v>
      </c>
      <c r="H48" s="328" t="s">
        <v>362</v>
      </c>
      <c r="I48" s="329" t="n">
        <v>6.17161520190024</v>
      </c>
      <c r="J48" s="329" t="n">
        <v>37.142077</v>
      </c>
      <c r="K48" s="329" t="n">
        <v>6.961749</v>
      </c>
      <c r="L48" s="329" t="n">
        <v>6.650273</v>
      </c>
      <c r="M48" s="329" t="n">
        <v>3.163934</v>
      </c>
      <c r="N48" s="329" t="n">
        <v>7.038251</v>
      </c>
      <c r="O48" s="329" t="n">
        <v>35.836066</v>
      </c>
      <c r="P48" s="329" t="n">
        <v>1.557377</v>
      </c>
      <c r="Q48" s="329" t="n">
        <v>9.486339</v>
      </c>
      <c r="R48" s="329" t="n">
        <v>3.47541</v>
      </c>
      <c r="S48" s="329" t="n">
        <v>3.245902</v>
      </c>
      <c r="T48" s="329" t="n">
        <v>4.612022</v>
      </c>
      <c r="U48" s="329" t="n">
        <v>42.584699</v>
      </c>
      <c r="V48" s="329" t="n">
        <v>41.398907</v>
      </c>
      <c r="W48" s="328"/>
      <c r="X48" s="330" t="s">
        <v>539</v>
      </c>
      <c r="Y48" s="331" t="n">
        <v>45694</v>
      </c>
      <c r="Z48" s="328" t="s">
        <v>379</v>
      </c>
      <c r="AA48" s="328" t="s">
        <v>342</v>
      </c>
    </row>
    <row r="49" customFormat="false" ht="15" hidden="false" customHeight="false" outlineLevel="0" collapsed="false">
      <c r="A49" s="328" t="s">
        <v>540</v>
      </c>
      <c r="B49" s="328" t="s">
        <v>541</v>
      </c>
      <c r="C49" s="328" t="s">
        <v>542</v>
      </c>
      <c r="D49" s="328" t="s">
        <v>372</v>
      </c>
      <c r="E49" s="328" t="s">
        <v>543</v>
      </c>
      <c r="F49" s="328" t="s">
        <v>374</v>
      </c>
      <c r="G49" s="328" t="s">
        <v>368</v>
      </c>
      <c r="H49" s="328" t="s">
        <v>362</v>
      </c>
      <c r="I49" s="329" t="n">
        <v>4.83834586466165</v>
      </c>
      <c r="J49" s="329" t="n">
        <v>24.655738</v>
      </c>
      <c r="K49" s="329" t="n">
        <v>6.803279</v>
      </c>
      <c r="L49" s="329" t="n">
        <v>6.398907</v>
      </c>
      <c r="M49" s="329" t="n">
        <v>3.885246</v>
      </c>
      <c r="N49" s="329" t="n">
        <v>9.273224</v>
      </c>
      <c r="O49" s="329" t="n">
        <v>25.519126</v>
      </c>
      <c r="P49" s="329" t="n">
        <v>0.551913</v>
      </c>
      <c r="Q49" s="329" t="n">
        <v>6.398907</v>
      </c>
      <c r="R49" s="329" t="n">
        <v>4.04918</v>
      </c>
      <c r="S49" s="329" t="n">
        <v>5.672131</v>
      </c>
      <c r="T49" s="329" t="n">
        <v>9.42623</v>
      </c>
      <c r="U49" s="329" t="n">
        <v>22.595628</v>
      </c>
      <c r="V49" s="329" t="n">
        <v>15.923497</v>
      </c>
      <c r="W49" s="328"/>
      <c r="X49" s="330" t="s">
        <v>340</v>
      </c>
      <c r="Y49" s="331" t="n">
        <v>45631</v>
      </c>
      <c r="Z49" s="328" t="s">
        <v>379</v>
      </c>
      <c r="AA49" s="328" t="s">
        <v>342</v>
      </c>
    </row>
    <row r="50" customFormat="false" ht="15" hidden="false" customHeight="false" outlineLevel="0" collapsed="false">
      <c r="A50" s="328" t="s">
        <v>544</v>
      </c>
      <c r="B50" s="328" t="s">
        <v>545</v>
      </c>
      <c r="C50" s="328" t="s">
        <v>546</v>
      </c>
      <c r="D50" s="328" t="s">
        <v>435</v>
      </c>
      <c r="E50" s="328" t="s">
        <v>547</v>
      </c>
      <c r="F50" s="328" t="s">
        <v>437</v>
      </c>
      <c r="G50" s="328" t="s">
        <v>361</v>
      </c>
      <c r="H50" s="328" t="s">
        <v>339</v>
      </c>
      <c r="I50" s="329" t="n">
        <v>43.9074733096085</v>
      </c>
      <c r="J50" s="329" t="n">
        <v>66.147541</v>
      </c>
      <c r="K50" s="329" t="n">
        <v>6.617486</v>
      </c>
      <c r="L50" s="329" t="n">
        <v>2.355191</v>
      </c>
      <c r="M50" s="329" t="n">
        <v>2.595628</v>
      </c>
      <c r="N50" s="329" t="n">
        <v>4.519126</v>
      </c>
      <c r="O50" s="329" t="n">
        <v>41.612022</v>
      </c>
      <c r="P50" s="329" t="n">
        <v>2.196721</v>
      </c>
      <c r="Q50" s="329" t="n">
        <v>29.387978</v>
      </c>
      <c r="R50" s="329" t="n">
        <v>2.89071</v>
      </c>
      <c r="S50" s="329" t="n">
        <v>0.497268</v>
      </c>
      <c r="T50" s="329" t="n">
        <v>6.338798</v>
      </c>
      <c r="U50" s="329" t="n">
        <v>67.989071</v>
      </c>
      <c r="V50" s="329" t="n">
        <v>40.513661</v>
      </c>
      <c r="W50" s="328"/>
      <c r="X50" s="330"/>
      <c r="Y50" s="330" t="s">
        <v>363</v>
      </c>
      <c r="Z50" s="328"/>
      <c r="AA50" s="328"/>
    </row>
    <row r="51" customFormat="false" ht="15" hidden="false" customHeight="false" outlineLevel="0" collapsed="false">
      <c r="A51" s="328" t="s">
        <v>548</v>
      </c>
      <c r="B51" s="328" t="s">
        <v>549</v>
      </c>
      <c r="C51" s="328" t="s">
        <v>550</v>
      </c>
      <c r="D51" s="328" t="s">
        <v>551</v>
      </c>
      <c r="E51" s="328" t="s">
        <v>552</v>
      </c>
      <c r="F51" s="328" t="s">
        <v>432</v>
      </c>
      <c r="G51" s="328" t="s">
        <v>361</v>
      </c>
      <c r="H51" s="328" t="s">
        <v>362</v>
      </c>
      <c r="I51" s="329" t="n">
        <v>14.9870689655172</v>
      </c>
      <c r="J51" s="329" t="n">
        <v>9.42623</v>
      </c>
      <c r="K51" s="329" t="n">
        <v>5.726776</v>
      </c>
      <c r="L51" s="329" t="n">
        <v>4.879781</v>
      </c>
      <c r="M51" s="329" t="n">
        <v>1.846995</v>
      </c>
      <c r="N51" s="329" t="n">
        <v>7.010929</v>
      </c>
      <c r="O51" s="329" t="n">
        <v>9.846995</v>
      </c>
      <c r="P51" s="329" t="n">
        <v>1.20765</v>
      </c>
      <c r="Q51" s="329" t="n">
        <v>3.814208</v>
      </c>
      <c r="R51" s="329" t="n">
        <v>6.42623</v>
      </c>
      <c r="S51" s="329" t="n">
        <v>2.04918</v>
      </c>
      <c r="T51" s="329" t="n">
        <v>0.622951</v>
      </c>
      <c r="U51" s="329" t="n">
        <v>12.781421</v>
      </c>
      <c r="V51" s="329" t="n">
        <v>9.972678</v>
      </c>
      <c r="W51" s="328"/>
      <c r="X51" s="330" t="s">
        <v>539</v>
      </c>
      <c r="Y51" s="332" t="n">
        <v>46093</v>
      </c>
      <c r="Z51" s="328" t="s">
        <v>516</v>
      </c>
      <c r="AA51" s="328" t="s">
        <v>553</v>
      </c>
    </row>
    <row r="52" customFormat="false" ht="15" hidden="false" customHeight="false" outlineLevel="0" collapsed="false">
      <c r="A52" s="328" t="s">
        <v>554</v>
      </c>
      <c r="B52" s="328" t="s">
        <v>555</v>
      </c>
      <c r="C52" s="328" t="s">
        <v>556</v>
      </c>
      <c r="D52" s="328" t="s">
        <v>475</v>
      </c>
      <c r="E52" s="328" t="s">
        <v>557</v>
      </c>
      <c r="F52" s="328" t="s">
        <v>432</v>
      </c>
      <c r="G52" s="328" t="s">
        <v>361</v>
      </c>
      <c r="H52" s="328" t="s">
        <v>362</v>
      </c>
      <c r="I52" s="329" t="n">
        <v>22.6584158415842</v>
      </c>
      <c r="J52" s="329" t="n">
        <v>13.087432</v>
      </c>
      <c r="K52" s="329" t="n">
        <v>5.743169</v>
      </c>
      <c r="L52" s="329" t="n">
        <v>7.557377</v>
      </c>
      <c r="M52" s="329" t="n">
        <v>4.196721</v>
      </c>
      <c r="N52" s="329" t="n">
        <v>10</v>
      </c>
      <c r="O52" s="329" t="n">
        <v>15.846995</v>
      </c>
      <c r="P52" s="329" t="n">
        <v>1.907104</v>
      </c>
      <c r="Q52" s="329" t="n">
        <v>2.830601</v>
      </c>
      <c r="R52" s="329" t="n">
        <v>5.737705</v>
      </c>
      <c r="S52" s="329" t="n">
        <v>3.590164</v>
      </c>
      <c r="T52" s="329" t="n">
        <v>7.098361</v>
      </c>
      <c r="U52" s="329" t="n">
        <v>14.158469</v>
      </c>
      <c r="V52" s="329" t="n">
        <v>21.846995</v>
      </c>
      <c r="W52" s="328"/>
      <c r="X52" s="330" t="s">
        <v>438</v>
      </c>
      <c r="Y52" s="331" t="n">
        <v>45633</v>
      </c>
      <c r="Z52" s="328" t="s">
        <v>440</v>
      </c>
      <c r="AA52" s="328" t="s">
        <v>342</v>
      </c>
    </row>
    <row r="53" customFormat="false" ht="15" hidden="false" customHeight="false" outlineLevel="0" collapsed="false">
      <c r="A53" s="328" t="s">
        <v>558</v>
      </c>
      <c r="B53" s="328" t="s">
        <v>559</v>
      </c>
      <c r="C53" s="328" t="s">
        <v>560</v>
      </c>
      <c r="D53" s="328" t="s">
        <v>402</v>
      </c>
      <c r="E53" s="328" t="s">
        <v>561</v>
      </c>
      <c r="F53" s="328" t="s">
        <v>404</v>
      </c>
      <c r="G53" s="328" t="s">
        <v>361</v>
      </c>
      <c r="H53" s="328" t="s">
        <v>362</v>
      </c>
      <c r="I53" s="329" t="n">
        <v>29.0508474576271</v>
      </c>
      <c r="J53" s="329" t="n">
        <v>19.497268</v>
      </c>
      <c r="K53" s="329" t="n">
        <v>6.47541</v>
      </c>
      <c r="L53" s="329" t="n">
        <v>6.961749</v>
      </c>
      <c r="M53" s="329" t="n">
        <v>6.590164</v>
      </c>
      <c r="N53" s="329" t="n">
        <v>8.677596</v>
      </c>
      <c r="O53" s="329" t="n">
        <v>29.360656</v>
      </c>
      <c r="P53" s="329" t="n">
        <v>0.010929</v>
      </c>
      <c r="Q53" s="329" t="n">
        <v>1.47541</v>
      </c>
      <c r="R53" s="329" t="n">
        <v>4.568306</v>
      </c>
      <c r="S53" s="329" t="n">
        <v>5.546448</v>
      </c>
      <c r="T53" s="329" t="n">
        <v>6.377049</v>
      </c>
      <c r="U53" s="329" t="n">
        <v>23.032787</v>
      </c>
      <c r="V53" s="329" t="n">
        <v>17.896175</v>
      </c>
      <c r="W53" s="328"/>
      <c r="X53" s="330"/>
      <c r="Y53" s="331" t="s">
        <v>439</v>
      </c>
      <c r="Z53" s="328"/>
      <c r="AA53" s="328"/>
    </row>
    <row r="54" customFormat="false" ht="15" hidden="false" customHeight="false" outlineLevel="0" collapsed="false">
      <c r="A54" s="328" t="s">
        <v>562</v>
      </c>
      <c r="B54" s="328" t="s">
        <v>563</v>
      </c>
      <c r="C54" s="328" t="s">
        <v>564</v>
      </c>
      <c r="D54" s="328" t="s">
        <v>565</v>
      </c>
      <c r="E54" s="328" t="s">
        <v>566</v>
      </c>
      <c r="F54" s="328" t="s">
        <v>471</v>
      </c>
      <c r="G54" s="328" t="s">
        <v>361</v>
      </c>
      <c r="H54" s="328" t="s">
        <v>362</v>
      </c>
      <c r="I54" s="329" t="n">
        <v>3.66129032258064</v>
      </c>
      <c r="J54" s="329" t="n">
        <v>2.825137</v>
      </c>
      <c r="K54" s="329" t="n">
        <v>1.469945</v>
      </c>
      <c r="L54" s="329" t="n">
        <v>0.273224</v>
      </c>
      <c r="M54" s="329" t="n">
        <v>0.344262</v>
      </c>
      <c r="N54" s="329" t="n">
        <v>1.344262</v>
      </c>
      <c r="O54" s="329" t="n">
        <v>2.923497</v>
      </c>
      <c r="P54" s="329" t="n">
        <v>0.027322</v>
      </c>
      <c r="Q54" s="329" t="n">
        <v>0.617486</v>
      </c>
      <c r="R54" s="329" t="n">
        <v>1</v>
      </c>
      <c r="S54" s="329" t="n">
        <v>0.617486</v>
      </c>
      <c r="T54" s="329" t="n">
        <v>0.852459</v>
      </c>
      <c r="U54" s="329" t="n">
        <v>2.442623</v>
      </c>
      <c r="V54" s="329" t="n">
        <v>3.021858</v>
      </c>
      <c r="W54" s="328"/>
      <c r="X54" s="330"/>
      <c r="Y54" s="331" t="s">
        <v>439</v>
      </c>
      <c r="Z54" s="328"/>
      <c r="AA54" s="328"/>
    </row>
    <row r="55" customFormat="false" ht="15" hidden="false" customHeight="false" outlineLevel="0" collapsed="false">
      <c r="A55" s="328" t="s">
        <v>567</v>
      </c>
      <c r="B55" s="328" t="s">
        <v>568</v>
      </c>
      <c r="C55" s="328" t="s">
        <v>569</v>
      </c>
      <c r="D55" s="328" t="s">
        <v>570</v>
      </c>
      <c r="E55" s="328" t="s">
        <v>571</v>
      </c>
      <c r="F55" s="328" t="s">
        <v>572</v>
      </c>
      <c r="G55" s="328" t="s">
        <v>348</v>
      </c>
      <c r="H55" s="328" t="s">
        <v>362</v>
      </c>
      <c r="I55" s="329" t="n">
        <v>20.2953252878347</v>
      </c>
      <c r="J55" s="329" t="n">
        <v>789.306011</v>
      </c>
      <c r="K55" s="329" t="n">
        <v>97.803279</v>
      </c>
      <c r="L55" s="329" t="n">
        <v>2.409836</v>
      </c>
      <c r="M55" s="329" t="n">
        <v>1.393443</v>
      </c>
      <c r="N55" s="329" t="n">
        <v>60.819672</v>
      </c>
      <c r="O55" s="329" t="n">
        <v>772.245901</v>
      </c>
      <c r="P55" s="329" t="n">
        <v>2.322404</v>
      </c>
      <c r="Q55" s="329" t="n">
        <v>55.52459</v>
      </c>
      <c r="R55" s="329" t="n">
        <v>5.825137</v>
      </c>
      <c r="S55" s="329" t="n">
        <v>25.415301</v>
      </c>
      <c r="T55" s="329" t="n">
        <v>68.491803</v>
      </c>
      <c r="U55" s="329" t="n">
        <v>791.180328</v>
      </c>
      <c r="V55" s="329" t="n">
        <v>440.579235</v>
      </c>
      <c r="W55" s="329" t="n">
        <v>700</v>
      </c>
      <c r="X55" s="330" t="s">
        <v>340</v>
      </c>
      <c r="Y55" s="331" t="n">
        <v>45897</v>
      </c>
      <c r="Z55" s="328" t="s">
        <v>379</v>
      </c>
      <c r="AA55" s="328" t="s">
        <v>342</v>
      </c>
    </row>
    <row r="56" customFormat="false" ht="15" hidden="false" customHeight="false" outlineLevel="0" collapsed="false">
      <c r="A56" s="328" t="s">
        <v>573</v>
      </c>
      <c r="B56" s="328" t="s">
        <v>574</v>
      </c>
      <c r="C56" s="328" t="s">
        <v>575</v>
      </c>
      <c r="D56" s="328" t="s">
        <v>576</v>
      </c>
      <c r="E56" s="328" t="s">
        <v>577</v>
      </c>
      <c r="F56" s="328" t="s">
        <v>578</v>
      </c>
      <c r="G56" s="328" t="s">
        <v>348</v>
      </c>
      <c r="H56" s="328" t="s">
        <v>362</v>
      </c>
      <c r="I56" s="329" t="n">
        <v>49.4744744744745</v>
      </c>
      <c r="J56" s="329" t="n">
        <v>573.650273</v>
      </c>
      <c r="K56" s="329" t="n">
        <v>261.677596</v>
      </c>
      <c r="L56" s="329" t="n">
        <v>271.016393</v>
      </c>
      <c r="M56" s="329" t="n">
        <v>153.693989</v>
      </c>
      <c r="N56" s="329" t="n">
        <v>284.901639</v>
      </c>
      <c r="O56" s="329" t="n">
        <v>870.300547</v>
      </c>
      <c r="P56" s="329" t="n">
        <v>23.650273</v>
      </c>
      <c r="Q56" s="329" t="n">
        <v>81.185792</v>
      </c>
      <c r="R56" s="329" t="n">
        <v>151.770492</v>
      </c>
      <c r="S56" s="329" t="n">
        <v>84.939891</v>
      </c>
      <c r="T56" s="329" t="n">
        <v>124.68306</v>
      </c>
      <c r="U56" s="329" t="n">
        <v>898.644808</v>
      </c>
      <c r="V56" s="329" t="n">
        <v>585.57377</v>
      </c>
      <c r="W56" s="329" t="n">
        <v>600</v>
      </c>
      <c r="X56" s="330" t="s">
        <v>340</v>
      </c>
      <c r="Y56" s="331" t="n">
        <v>45701</v>
      </c>
      <c r="Z56" s="328" t="s">
        <v>341</v>
      </c>
      <c r="AA56" s="328" t="s">
        <v>342</v>
      </c>
    </row>
    <row r="57" customFormat="false" ht="15" hidden="false" customHeight="false" outlineLevel="0" collapsed="false">
      <c r="A57" s="328" t="s">
        <v>579</v>
      </c>
      <c r="B57" s="328" t="s">
        <v>580</v>
      </c>
      <c r="C57" s="328" t="s">
        <v>581</v>
      </c>
      <c r="D57" s="328" t="s">
        <v>582</v>
      </c>
      <c r="E57" s="328" t="s">
        <v>583</v>
      </c>
      <c r="F57" s="328" t="s">
        <v>450</v>
      </c>
      <c r="G57" s="328" t="s">
        <v>361</v>
      </c>
      <c r="H57" s="328" t="s">
        <v>339</v>
      </c>
      <c r="I57" s="329" t="n">
        <v>45.037037037037</v>
      </c>
      <c r="J57" s="329" t="n">
        <v>2.191257</v>
      </c>
      <c r="K57" s="329" t="n">
        <v>9.480874</v>
      </c>
      <c r="L57" s="329" t="n">
        <v>4.617486</v>
      </c>
      <c r="M57" s="329" t="n">
        <v>1.84153</v>
      </c>
      <c r="N57" s="329" t="n">
        <v>5.377049</v>
      </c>
      <c r="O57" s="329" t="n">
        <v>11.994536</v>
      </c>
      <c r="P57" s="329" t="n">
        <v>0.032787</v>
      </c>
      <c r="Q57" s="329" t="n">
        <v>0.726776</v>
      </c>
      <c r="R57" s="329" t="n">
        <v>5.174863</v>
      </c>
      <c r="S57" s="329" t="n">
        <v>0.42623</v>
      </c>
      <c r="T57" s="329" t="n">
        <v>0</v>
      </c>
      <c r="U57" s="329" t="n">
        <v>12.530055</v>
      </c>
      <c r="V57" s="329" t="n">
        <v>4.63388</v>
      </c>
      <c r="W57" s="328"/>
      <c r="X57" s="330" t="s">
        <v>438</v>
      </c>
      <c r="Y57" s="331" t="n">
        <v>45365</v>
      </c>
      <c r="Z57" s="328" t="s">
        <v>440</v>
      </c>
      <c r="AA57" s="328" t="s">
        <v>342</v>
      </c>
    </row>
    <row r="58" customFormat="false" ht="15" hidden="false" customHeight="false" outlineLevel="0" collapsed="false">
      <c r="A58" s="328" t="s">
        <v>584</v>
      </c>
      <c r="B58" s="328" t="s">
        <v>585</v>
      </c>
      <c r="C58" s="328" t="s">
        <v>344</v>
      </c>
      <c r="D58" s="328" t="s">
        <v>345</v>
      </c>
      <c r="E58" s="328" t="s">
        <v>346</v>
      </c>
      <c r="F58" s="328" t="s">
        <v>347</v>
      </c>
      <c r="G58" s="328" t="s">
        <v>348</v>
      </c>
      <c r="H58" s="328" t="s">
        <v>339</v>
      </c>
      <c r="I58" s="329" t="n">
        <v>52.9386581469648</v>
      </c>
      <c r="J58" s="329" t="n">
        <v>333.874317</v>
      </c>
      <c r="K58" s="329" t="n">
        <v>51.038251</v>
      </c>
      <c r="L58" s="329" t="n">
        <v>33.431694</v>
      </c>
      <c r="M58" s="329" t="n">
        <v>7.262295</v>
      </c>
      <c r="N58" s="329" t="n">
        <v>43.409836</v>
      </c>
      <c r="O58" s="329" t="n">
        <v>382.196721</v>
      </c>
      <c r="P58" s="329" t="n">
        <v>0</v>
      </c>
      <c r="Q58" s="329" t="n">
        <v>0</v>
      </c>
      <c r="R58" s="329" t="n">
        <v>11.459016</v>
      </c>
      <c r="S58" s="329" t="n">
        <v>20.945355</v>
      </c>
      <c r="T58" s="329" t="n">
        <v>41.79235</v>
      </c>
      <c r="U58" s="329" t="n">
        <v>351.409836</v>
      </c>
      <c r="V58" s="329" t="n">
        <v>183.912568</v>
      </c>
      <c r="W58" s="329" t="n">
        <v>120</v>
      </c>
      <c r="X58" s="330" t="s">
        <v>340</v>
      </c>
      <c r="Y58" s="331" t="n">
        <v>45715</v>
      </c>
      <c r="Z58" s="328" t="s">
        <v>341</v>
      </c>
      <c r="AA58" s="328" t="s">
        <v>342</v>
      </c>
    </row>
    <row r="59" customFormat="false" ht="15" hidden="false" customHeight="false" outlineLevel="0" collapsed="false">
      <c r="A59" s="328" t="s">
        <v>168</v>
      </c>
      <c r="B59" s="328" t="s">
        <v>586</v>
      </c>
      <c r="C59" s="328" t="s">
        <v>587</v>
      </c>
      <c r="D59" s="328" t="s">
        <v>513</v>
      </c>
      <c r="E59" s="328" t="s">
        <v>588</v>
      </c>
      <c r="F59" s="328" t="s">
        <v>398</v>
      </c>
      <c r="G59" s="328" t="s">
        <v>338</v>
      </c>
      <c r="H59" s="328" t="s">
        <v>362</v>
      </c>
      <c r="I59" s="329" t="n">
        <v>31.3885542168675</v>
      </c>
      <c r="J59" s="329" t="n">
        <v>213.721311</v>
      </c>
      <c r="K59" s="329" t="n">
        <v>16.42623</v>
      </c>
      <c r="L59" s="329" t="n">
        <v>39.721311</v>
      </c>
      <c r="M59" s="329" t="n">
        <v>29.557377</v>
      </c>
      <c r="N59" s="329" t="n">
        <v>42.081967</v>
      </c>
      <c r="O59" s="329" t="n">
        <v>186.857923</v>
      </c>
      <c r="P59" s="329" t="n">
        <v>2.57377</v>
      </c>
      <c r="Q59" s="329" t="n">
        <v>67.912568</v>
      </c>
      <c r="R59" s="329" t="n">
        <v>30.021858</v>
      </c>
      <c r="S59" s="329" t="n">
        <v>13.57377</v>
      </c>
      <c r="T59" s="329" t="n">
        <v>27.595628</v>
      </c>
      <c r="U59" s="329" t="n">
        <v>228.234973</v>
      </c>
      <c r="V59" s="329" t="n">
        <v>128.202186</v>
      </c>
      <c r="W59" s="329" t="n">
        <v>1200</v>
      </c>
      <c r="X59" s="330" t="s">
        <v>515</v>
      </c>
      <c r="Y59" s="332" t="n">
        <v>45945</v>
      </c>
      <c r="Z59" s="328" t="s">
        <v>589</v>
      </c>
      <c r="AA59" s="328" t="s">
        <v>342</v>
      </c>
    </row>
    <row r="60" customFormat="false" ht="15" hidden="false" customHeight="false" outlineLevel="0" collapsed="false">
      <c r="A60" s="328" t="s">
        <v>590</v>
      </c>
      <c r="B60" s="328" t="s">
        <v>591</v>
      </c>
      <c r="C60" s="328" t="s">
        <v>592</v>
      </c>
      <c r="D60" s="328" t="s">
        <v>396</v>
      </c>
      <c r="E60" s="328" t="s">
        <v>593</v>
      </c>
      <c r="F60" s="328" t="s">
        <v>594</v>
      </c>
      <c r="G60" s="328" t="s">
        <v>595</v>
      </c>
      <c r="H60" s="328" t="s">
        <v>362</v>
      </c>
      <c r="I60" s="329" t="n">
        <v>31.9814758578804</v>
      </c>
      <c r="J60" s="329" t="n">
        <v>550.693989</v>
      </c>
      <c r="K60" s="329" t="n">
        <v>13.781421</v>
      </c>
      <c r="L60" s="329" t="n">
        <v>1.896175</v>
      </c>
      <c r="M60" s="329" t="n">
        <v>0.513661</v>
      </c>
      <c r="N60" s="329" t="n">
        <v>1.918033</v>
      </c>
      <c r="O60" s="329" t="n">
        <v>207.52459</v>
      </c>
      <c r="P60" s="329" t="n">
        <v>3.57377</v>
      </c>
      <c r="Q60" s="329" t="n">
        <v>353.868852</v>
      </c>
      <c r="R60" s="329" t="n">
        <v>0.846995</v>
      </c>
      <c r="S60" s="329" t="n">
        <v>1.726776</v>
      </c>
      <c r="T60" s="329" t="n">
        <v>5.901639</v>
      </c>
      <c r="U60" s="329" t="n">
        <v>558.409836</v>
      </c>
      <c r="V60" s="329" t="n">
        <v>299.224044</v>
      </c>
      <c r="W60" s="329" t="n">
        <v>2000</v>
      </c>
      <c r="X60" s="330" t="s">
        <v>340</v>
      </c>
      <c r="Y60" s="331" t="s">
        <v>363</v>
      </c>
      <c r="Z60" s="328" t="s">
        <v>596</v>
      </c>
      <c r="AA60" s="328" t="s">
        <v>342</v>
      </c>
    </row>
    <row r="61" customFormat="false" ht="15" hidden="false" customHeight="false" outlineLevel="0" collapsed="false">
      <c r="A61" s="328" t="s">
        <v>597</v>
      </c>
      <c r="B61" s="328" t="s">
        <v>591</v>
      </c>
      <c r="C61" s="328" t="s">
        <v>592</v>
      </c>
      <c r="D61" s="328" t="s">
        <v>396</v>
      </c>
      <c r="E61" s="328" t="s">
        <v>593</v>
      </c>
      <c r="F61" s="328" t="s">
        <v>594</v>
      </c>
      <c r="G61" s="328" t="s">
        <v>338</v>
      </c>
      <c r="H61" s="328" t="s">
        <v>598</v>
      </c>
      <c r="I61" s="329" t="n">
        <v>67.7724358974359</v>
      </c>
      <c r="J61" s="329" t="n">
        <v>188.967213</v>
      </c>
      <c r="K61" s="329" t="n">
        <v>33.213115</v>
      </c>
      <c r="L61" s="329" t="n">
        <v>0.453552</v>
      </c>
      <c r="M61" s="329" t="n">
        <v>0</v>
      </c>
      <c r="N61" s="329" t="n">
        <v>0</v>
      </c>
      <c r="O61" s="329" t="n">
        <v>0.038251</v>
      </c>
      <c r="P61" s="329" t="n">
        <v>5.114754</v>
      </c>
      <c r="Q61" s="329" t="n">
        <v>217.480874</v>
      </c>
      <c r="R61" s="329" t="n">
        <v>1.551913</v>
      </c>
      <c r="S61" s="329" t="n">
        <v>4.289617</v>
      </c>
      <c r="T61" s="329" t="n">
        <v>6.431694</v>
      </c>
      <c r="U61" s="329" t="n">
        <v>210.360656</v>
      </c>
      <c r="V61" s="329" t="n">
        <v>74.863388</v>
      </c>
      <c r="W61" s="329" t="n">
        <v>400</v>
      </c>
      <c r="X61" s="330"/>
      <c r="Y61" s="330" t="s">
        <v>363</v>
      </c>
      <c r="Z61" s="328"/>
      <c r="AA61" s="328"/>
    </row>
    <row r="62" customFormat="false" ht="15" hidden="false" customHeight="false" outlineLevel="0" collapsed="false">
      <c r="A62" s="328" t="s">
        <v>599</v>
      </c>
      <c r="B62" s="328" t="s">
        <v>600</v>
      </c>
      <c r="C62" s="328" t="s">
        <v>601</v>
      </c>
      <c r="D62" s="328" t="s">
        <v>602</v>
      </c>
      <c r="E62" s="328" t="s">
        <v>603</v>
      </c>
      <c r="F62" s="328" t="s">
        <v>404</v>
      </c>
      <c r="G62" s="328" t="s">
        <v>361</v>
      </c>
      <c r="H62" s="328" t="s">
        <v>362</v>
      </c>
      <c r="I62" s="329" t="n">
        <v>24.0456226880395</v>
      </c>
      <c r="J62" s="329" t="n">
        <v>40.830601</v>
      </c>
      <c r="K62" s="329" t="n">
        <v>8.907104</v>
      </c>
      <c r="L62" s="329" t="n">
        <v>33.961749</v>
      </c>
      <c r="M62" s="329" t="n">
        <v>20.814208</v>
      </c>
      <c r="N62" s="329" t="n">
        <v>45.409836</v>
      </c>
      <c r="O62" s="329" t="n">
        <v>59.103825</v>
      </c>
      <c r="P62" s="329" t="n">
        <v>0</v>
      </c>
      <c r="Q62" s="329" t="n">
        <v>0</v>
      </c>
      <c r="R62" s="329" t="n">
        <v>22.89071</v>
      </c>
      <c r="S62" s="329" t="n">
        <v>14.704918</v>
      </c>
      <c r="T62" s="329" t="n">
        <v>17.306011</v>
      </c>
      <c r="U62" s="329" t="n">
        <v>49.612022</v>
      </c>
      <c r="V62" s="329" t="n">
        <v>62.830601</v>
      </c>
      <c r="W62" s="328"/>
      <c r="X62" s="330" t="s">
        <v>340</v>
      </c>
      <c r="Y62" s="331" t="n">
        <v>45750</v>
      </c>
      <c r="Z62" s="328" t="s">
        <v>379</v>
      </c>
      <c r="AA62" s="328" t="s">
        <v>342</v>
      </c>
    </row>
    <row r="63" customFormat="false" ht="15" hidden="false" customHeight="false" outlineLevel="0" collapsed="false">
      <c r="A63" s="328" t="s">
        <v>604</v>
      </c>
      <c r="B63" s="328" t="s">
        <v>605</v>
      </c>
      <c r="C63" s="328" t="s">
        <v>606</v>
      </c>
      <c r="D63" s="328" t="s">
        <v>602</v>
      </c>
      <c r="E63" s="328" t="s">
        <v>607</v>
      </c>
      <c r="F63" s="328" t="s">
        <v>432</v>
      </c>
      <c r="G63" s="328" t="s">
        <v>361</v>
      </c>
      <c r="H63" s="328" t="s">
        <v>362</v>
      </c>
      <c r="I63" s="329" t="n">
        <v>36.8785046728972</v>
      </c>
      <c r="J63" s="329" t="n">
        <v>14.857923</v>
      </c>
      <c r="K63" s="329" t="n">
        <v>8.901639</v>
      </c>
      <c r="L63" s="329" t="n">
        <v>3.322404</v>
      </c>
      <c r="M63" s="329" t="n">
        <v>0.278689</v>
      </c>
      <c r="N63" s="329" t="n">
        <v>3.918033</v>
      </c>
      <c r="O63" s="329" t="n">
        <v>18.912568</v>
      </c>
      <c r="P63" s="329" t="n">
        <v>0.065574</v>
      </c>
      <c r="Q63" s="329" t="n">
        <v>4.464481</v>
      </c>
      <c r="R63" s="329" t="n">
        <v>0.852459</v>
      </c>
      <c r="S63" s="329" t="n">
        <v>1.344262</v>
      </c>
      <c r="T63" s="329" t="n">
        <v>3.442623</v>
      </c>
      <c r="U63" s="329" t="n">
        <v>21.721311</v>
      </c>
      <c r="V63" s="329" t="n">
        <v>14.513661</v>
      </c>
      <c r="W63" s="328"/>
      <c r="X63" s="330"/>
      <c r="Y63" s="330" t="s">
        <v>363</v>
      </c>
      <c r="Z63" s="328"/>
      <c r="AA63" s="328"/>
    </row>
    <row r="64" customFormat="false" ht="15" hidden="false" customHeight="false" outlineLevel="0" collapsed="false">
      <c r="A64" s="328" t="s">
        <v>608</v>
      </c>
      <c r="B64" s="328" t="s">
        <v>609</v>
      </c>
      <c r="C64" s="328" t="s">
        <v>610</v>
      </c>
      <c r="D64" s="328" t="s">
        <v>396</v>
      </c>
      <c r="E64" s="328" t="s">
        <v>611</v>
      </c>
      <c r="F64" s="328" t="s">
        <v>538</v>
      </c>
      <c r="G64" s="328" t="s">
        <v>361</v>
      </c>
      <c r="H64" s="328" t="s">
        <v>362</v>
      </c>
      <c r="I64" s="329" t="n">
        <v>2.37454545454545</v>
      </c>
      <c r="J64" s="329" t="n">
        <v>0.464481</v>
      </c>
      <c r="K64" s="329" t="n">
        <v>0.737705</v>
      </c>
      <c r="L64" s="329" t="n">
        <v>0.912568</v>
      </c>
      <c r="M64" s="329" t="n">
        <v>0.606557</v>
      </c>
      <c r="N64" s="329" t="n">
        <v>2.480874</v>
      </c>
      <c r="O64" s="329" t="n">
        <v>0.142077</v>
      </c>
      <c r="P64" s="329" t="n">
        <v>0.071038</v>
      </c>
      <c r="Q64" s="329" t="n">
        <v>0.027322</v>
      </c>
      <c r="R64" s="329" t="n">
        <v>1.737705</v>
      </c>
      <c r="S64" s="329" t="n">
        <v>0.661202</v>
      </c>
      <c r="T64" s="329" t="n">
        <v>0.229508</v>
      </c>
      <c r="U64" s="329" t="n">
        <v>0.092896</v>
      </c>
      <c r="V64" s="329" t="n">
        <v>2.57377</v>
      </c>
      <c r="W64" s="328"/>
      <c r="X64" s="330" t="s">
        <v>539</v>
      </c>
      <c r="Y64" s="331" t="n">
        <v>45799</v>
      </c>
      <c r="Z64" s="328" t="s">
        <v>379</v>
      </c>
      <c r="AA64" s="328" t="s">
        <v>342</v>
      </c>
    </row>
    <row r="65" customFormat="false" ht="15" hidden="false" customHeight="false" outlineLevel="0" collapsed="false">
      <c r="A65" s="328" t="s">
        <v>170</v>
      </c>
      <c r="B65" s="328" t="s">
        <v>612</v>
      </c>
      <c r="C65" s="328" t="s">
        <v>613</v>
      </c>
      <c r="D65" s="328" t="s">
        <v>396</v>
      </c>
      <c r="E65" s="328" t="s">
        <v>614</v>
      </c>
      <c r="F65" s="328" t="s">
        <v>398</v>
      </c>
      <c r="G65" s="328" t="s">
        <v>361</v>
      </c>
      <c r="H65" s="328" t="s">
        <v>339</v>
      </c>
      <c r="I65" s="329" t="n">
        <v>35.3805970149254</v>
      </c>
      <c r="J65" s="329" t="n">
        <v>457.562842</v>
      </c>
      <c r="K65" s="329" t="n">
        <v>67.065574</v>
      </c>
      <c r="L65" s="329" t="n">
        <v>7.442623</v>
      </c>
      <c r="M65" s="329" t="n">
        <v>1.464481</v>
      </c>
      <c r="N65" s="329" t="n">
        <v>46.251366</v>
      </c>
      <c r="O65" s="329" t="n">
        <v>487.278689</v>
      </c>
      <c r="P65" s="329" t="n">
        <v>0.005464</v>
      </c>
      <c r="Q65" s="329" t="n">
        <v>0</v>
      </c>
      <c r="R65" s="329" t="n">
        <v>12.20765</v>
      </c>
      <c r="S65" s="329" t="n">
        <v>18.748634</v>
      </c>
      <c r="T65" s="329" t="n">
        <v>40.502732</v>
      </c>
      <c r="U65" s="329" t="n">
        <v>462.076503</v>
      </c>
      <c r="V65" s="329" t="n">
        <v>311.322404</v>
      </c>
      <c r="W65" s="328"/>
      <c r="X65" s="330" t="s">
        <v>340</v>
      </c>
      <c r="Y65" s="331" t="n">
        <v>45715</v>
      </c>
      <c r="Z65" s="328" t="s">
        <v>379</v>
      </c>
      <c r="AA65" s="328" t="s">
        <v>342</v>
      </c>
    </row>
    <row r="66" customFormat="false" ht="15" hidden="false" customHeight="false" outlineLevel="0" collapsed="false">
      <c r="A66" s="328" t="s">
        <v>615</v>
      </c>
      <c r="B66" s="328" t="s">
        <v>616</v>
      </c>
      <c r="C66" s="328" t="s">
        <v>617</v>
      </c>
      <c r="D66" s="328" t="s">
        <v>396</v>
      </c>
      <c r="E66" s="328" t="s">
        <v>618</v>
      </c>
      <c r="F66" s="328" t="s">
        <v>509</v>
      </c>
      <c r="G66" s="328" t="s">
        <v>426</v>
      </c>
      <c r="H66" s="328" t="s">
        <v>362</v>
      </c>
      <c r="I66" s="329" t="n">
        <v>51.9699021820918</v>
      </c>
      <c r="J66" s="329" t="n">
        <v>409.36612</v>
      </c>
      <c r="K66" s="329" t="n">
        <v>133.459016</v>
      </c>
      <c r="L66" s="329" t="n">
        <v>156.765027</v>
      </c>
      <c r="M66" s="329" t="n">
        <v>99.896175</v>
      </c>
      <c r="N66" s="329" t="n">
        <v>191.584699</v>
      </c>
      <c r="O66" s="329" t="n">
        <v>389.371585</v>
      </c>
      <c r="P66" s="329" t="n">
        <v>42.218579</v>
      </c>
      <c r="Q66" s="329" t="n">
        <v>176.311475</v>
      </c>
      <c r="R66" s="329" t="n">
        <v>119.852459</v>
      </c>
      <c r="S66" s="329" t="n">
        <v>57.021858</v>
      </c>
      <c r="T66" s="329" t="n">
        <v>88.530055</v>
      </c>
      <c r="U66" s="329" t="n">
        <v>534.081967</v>
      </c>
      <c r="V66" s="329" t="n">
        <v>339.20765</v>
      </c>
      <c r="W66" s="329" t="n">
        <v>450</v>
      </c>
      <c r="X66" s="330" t="s">
        <v>340</v>
      </c>
      <c r="Y66" s="331" t="n">
        <v>45701</v>
      </c>
      <c r="Z66" s="328" t="s">
        <v>341</v>
      </c>
      <c r="AA66" s="328" t="s">
        <v>342</v>
      </c>
    </row>
    <row r="67" customFormat="false" ht="15" hidden="false" customHeight="false" outlineLevel="0" collapsed="false">
      <c r="A67" s="328" t="s">
        <v>174</v>
      </c>
      <c r="B67" s="328" t="s">
        <v>619</v>
      </c>
      <c r="C67" s="328" t="s">
        <v>620</v>
      </c>
      <c r="D67" s="328" t="s">
        <v>396</v>
      </c>
      <c r="E67" s="328" t="s">
        <v>621</v>
      </c>
      <c r="F67" s="328" t="s">
        <v>538</v>
      </c>
      <c r="G67" s="328" t="s">
        <v>338</v>
      </c>
      <c r="H67" s="328" t="s">
        <v>362</v>
      </c>
      <c r="I67" s="329" t="n">
        <v>42.7603686635945</v>
      </c>
      <c r="J67" s="329" t="n">
        <v>694.819672</v>
      </c>
      <c r="K67" s="329" t="n">
        <v>85.644809</v>
      </c>
      <c r="L67" s="329" t="n">
        <v>77.983607</v>
      </c>
      <c r="M67" s="329" t="n">
        <v>64.36612</v>
      </c>
      <c r="N67" s="329" t="n">
        <v>140.890711</v>
      </c>
      <c r="O67" s="329" t="n">
        <v>416.338798</v>
      </c>
      <c r="P67" s="329" t="n">
        <v>25.89071</v>
      </c>
      <c r="Q67" s="329" t="n">
        <v>339.693989</v>
      </c>
      <c r="R67" s="329" t="n">
        <v>96.010929</v>
      </c>
      <c r="S67" s="329" t="n">
        <v>48.710383</v>
      </c>
      <c r="T67" s="329" t="n">
        <v>60.36612</v>
      </c>
      <c r="U67" s="329" t="n">
        <v>717.726776</v>
      </c>
      <c r="V67" s="329" t="n">
        <v>593.715847</v>
      </c>
      <c r="W67" s="329" t="n">
        <v>600</v>
      </c>
      <c r="X67" s="330" t="s">
        <v>340</v>
      </c>
      <c r="Y67" s="331" t="n">
        <v>45722</v>
      </c>
      <c r="Z67" s="328" t="s">
        <v>341</v>
      </c>
      <c r="AA67" s="328" t="s">
        <v>342</v>
      </c>
    </row>
    <row r="68" customFormat="false" ht="15" hidden="false" customHeight="false" outlineLevel="0" collapsed="false">
      <c r="A68" s="328" t="s">
        <v>622</v>
      </c>
      <c r="B68" s="328" t="s">
        <v>623</v>
      </c>
      <c r="C68" s="328" t="s">
        <v>624</v>
      </c>
      <c r="D68" s="328" t="s">
        <v>570</v>
      </c>
      <c r="E68" s="328" t="s">
        <v>625</v>
      </c>
      <c r="F68" s="328" t="s">
        <v>572</v>
      </c>
      <c r="G68" s="328" t="s">
        <v>348</v>
      </c>
      <c r="H68" s="328" t="s">
        <v>362</v>
      </c>
      <c r="I68" s="329" t="n">
        <v>13.322983014862</v>
      </c>
      <c r="J68" s="329" t="n">
        <v>177.125683</v>
      </c>
      <c r="K68" s="329" t="n">
        <v>32.803279</v>
      </c>
      <c r="L68" s="329" t="n">
        <v>49.519126</v>
      </c>
      <c r="M68" s="329" t="n">
        <v>42.748634</v>
      </c>
      <c r="N68" s="329" t="n">
        <v>53.754098</v>
      </c>
      <c r="O68" s="329" t="n">
        <v>209.775957</v>
      </c>
      <c r="P68" s="329" t="n">
        <v>3.153005</v>
      </c>
      <c r="Q68" s="329" t="n">
        <v>35.513661</v>
      </c>
      <c r="R68" s="329" t="n">
        <v>33.546448</v>
      </c>
      <c r="S68" s="329" t="n">
        <v>17.666667</v>
      </c>
      <c r="T68" s="329" t="n">
        <v>22.901639</v>
      </c>
      <c r="U68" s="329" t="n">
        <v>228.081967</v>
      </c>
      <c r="V68" s="329" t="n">
        <v>169.693989</v>
      </c>
      <c r="W68" s="329" t="n">
        <v>285</v>
      </c>
      <c r="X68" s="330" t="s">
        <v>340</v>
      </c>
      <c r="Y68" s="331" t="n">
        <v>45631</v>
      </c>
      <c r="Z68" s="328" t="s">
        <v>341</v>
      </c>
      <c r="AA68" s="328" t="s">
        <v>342</v>
      </c>
    </row>
    <row r="69" customFormat="false" ht="15" hidden="false" customHeight="false" outlineLevel="0" collapsed="false">
      <c r="A69" s="328" t="s">
        <v>626</v>
      </c>
      <c r="B69" s="328" t="s">
        <v>627</v>
      </c>
      <c r="C69" s="328" t="s">
        <v>628</v>
      </c>
      <c r="D69" s="328" t="s">
        <v>629</v>
      </c>
      <c r="E69" s="328" t="s">
        <v>630</v>
      </c>
      <c r="F69" s="328" t="s">
        <v>471</v>
      </c>
      <c r="G69" s="328" t="s">
        <v>361</v>
      </c>
      <c r="H69" s="328" t="s">
        <v>362</v>
      </c>
      <c r="I69" s="329" t="n">
        <v>4.10909090909091</v>
      </c>
      <c r="J69" s="329" t="n">
        <v>3.846995</v>
      </c>
      <c r="K69" s="329" t="n">
        <v>2.601093</v>
      </c>
      <c r="L69" s="329" t="n">
        <v>1.409836</v>
      </c>
      <c r="M69" s="329" t="n">
        <v>1.043716</v>
      </c>
      <c r="N69" s="329" t="n">
        <v>2.584699</v>
      </c>
      <c r="O69" s="329" t="n">
        <v>5.535519</v>
      </c>
      <c r="P69" s="329" t="n">
        <v>0.218579</v>
      </c>
      <c r="Q69" s="329" t="n">
        <v>0.562842</v>
      </c>
      <c r="R69" s="329" t="n">
        <v>1.04918</v>
      </c>
      <c r="S69" s="329" t="n">
        <v>1.535519</v>
      </c>
      <c r="T69" s="329" t="n">
        <v>2.202186</v>
      </c>
      <c r="U69" s="329" t="n">
        <v>4.114754</v>
      </c>
      <c r="V69" s="329" t="n">
        <v>3.584699</v>
      </c>
      <c r="W69" s="328"/>
      <c r="X69" s="330" t="s">
        <v>340</v>
      </c>
      <c r="Y69" s="331" t="n">
        <v>45889</v>
      </c>
      <c r="Z69" s="328" t="s">
        <v>379</v>
      </c>
      <c r="AA69" s="328" t="s">
        <v>342</v>
      </c>
    </row>
    <row r="70" customFormat="false" ht="15" hidden="false" customHeight="false" outlineLevel="0" collapsed="false">
      <c r="A70" s="328" t="s">
        <v>631</v>
      </c>
      <c r="B70" s="328" t="s">
        <v>632</v>
      </c>
      <c r="C70" s="328" t="s">
        <v>633</v>
      </c>
      <c r="D70" s="328" t="s">
        <v>479</v>
      </c>
      <c r="E70" s="328" t="s">
        <v>634</v>
      </c>
      <c r="F70" s="328" t="s">
        <v>481</v>
      </c>
      <c r="G70" s="328" t="s">
        <v>338</v>
      </c>
      <c r="H70" s="328" t="s">
        <v>362</v>
      </c>
      <c r="I70" s="329" t="n">
        <v>57.7079379773201</v>
      </c>
      <c r="J70" s="329" t="n">
        <v>819.213115</v>
      </c>
      <c r="K70" s="329" t="n">
        <v>161.076503</v>
      </c>
      <c r="L70" s="329" t="n">
        <v>195.693989</v>
      </c>
      <c r="M70" s="329" t="n">
        <v>153.803279</v>
      </c>
      <c r="N70" s="329" t="n">
        <v>191.054645</v>
      </c>
      <c r="O70" s="329" t="n">
        <v>628.590164</v>
      </c>
      <c r="P70" s="329" t="n">
        <v>83.808743</v>
      </c>
      <c r="Q70" s="329" t="n">
        <v>426.333333</v>
      </c>
      <c r="R70" s="329" t="n">
        <v>140.79235</v>
      </c>
      <c r="S70" s="329" t="n">
        <v>77.502732</v>
      </c>
      <c r="T70" s="329" t="n">
        <v>113.63388</v>
      </c>
      <c r="U70" s="329" t="n">
        <v>997.857923</v>
      </c>
      <c r="V70" s="329" t="n">
        <v>711.814208</v>
      </c>
      <c r="W70" s="329" t="n">
        <v>900</v>
      </c>
      <c r="X70" s="330" t="s">
        <v>340</v>
      </c>
      <c r="Y70" s="331" t="n">
        <v>45596</v>
      </c>
      <c r="Z70" s="328" t="s">
        <v>341</v>
      </c>
      <c r="AA70" s="328" t="s">
        <v>342</v>
      </c>
    </row>
    <row r="71" customFormat="false" ht="15" hidden="false" customHeight="false" outlineLevel="0" collapsed="false">
      <c r="A71" s="328" t="s">
        <v>635</v>
      </c>
      <c r="B71" s="328" t="s">
        <v>636</v>
      </c>
      <c r="C71" s="328" t="s">
        <v>617</v>
      </c>
      <c r="D71" s="328" t="s">
        <v>396</v>
      </c>
      <c r="E71" s="328" t="s">
        <v>637</v>
      </c>
      <c r="F71" s="328" t="s">
        <v>509</v>
      </c>
      <c r="G71" s="328" t="s">
        <v>348</v>
      </c>
      <c r="H71" s="328" t="s">
        <v>362</v>
      </c>
      <c r="I71" s="329" t="n">
        <v>11.222600882968</v>
      </c>
      <c r="J71" s="329" t="n">
        <v>1673.355191</v>
      </c>
      <c r="K71" s="329" t="n">
        <v>329.010929</v>
      </c>
      <c r="L71" s="329" t="n">
        <v>301.710383</v>
      </c>
      <c r="M71" s="329" t="n">
        <v>201.163934</v>
      </c>
      <c r="N71" s="329" t="n">
        <v>455.710383</v>
      </c>
      <c r="O71" s="329" t="n">
        <v>1799.081967</v>
      </c>
      <c r="P71" s="329" t="n">
        <v>21.765027</v>
      </c>
      <c r="Q71" s="329" t="n">
        <v>228.68306</v>
      </c>
      <c r="R71" s="329" t="n">
        <v>243.879781</v>
      </c>
      <c r="S71" s="329" t="n">
        <v>128.994536</v>
      </c>
      <c r="T71" s="329" t="n">
        <v>222.601093</v>
      </c>
      <c r="U71" s="329" t="n">
        <v>1909.765028</v>
      </c>
      <c r="V71" s="329" t="n">
        <v>1483.939891</v>
      </c>
      <c r="W71" s="329" t="n">
        <v>5000</v>
      </c>
      <c r="X71" s="330" t="s">
        <v>340</v>
      </c>
      <c r="Y71" s="331" t="n">
        <v>46065</v>
      </c>
      <c r="Z71" s="328" t="s">
        <v>589</v>
      </c>
      <c r="AA71" s="328" t="s">
        <v>342</v>
      </c>
    </row>
    <row r="72" customFormat="false" ht="15" hidden="false" customHeight="false" outlineLevel="0" collapsed="false">
      <c r="A72" s="328" t="s">
        <v>638</v>
      </c>
      <c r="B72" s="328" t="s">
        <v>639</v>
      </c>
      <c r="C72" s="328" t="s">
        <v>640</v>
      </c>
      <c r="D72" s="328" t="s">
        <v>383</v>
      </c>
      <c r="E72" s="328" t="s">
        <v>641</v>
      </c>
      <c r="F72" s="328" t="s">
        <v>337</v>
      </c>
      <c r="G72" s="328" t="s">
        <v>361</v>
      </c>
      <c r="H72" s="328" t="s">
        <v>339</v>
      </c>
      <c r="I72" s="329" t="n">
        <v>4.20848153214774</v>
      </c>
      <c r="J72" s="329" t="n">
        <v>57.84153</v>
      </c>
      <c r="K72" s="329" t="n">
        <v>9.73224</v>
      </c>
      <c r="L72" s="329" t="n">
        <v>10.36612</v>
      </c>
      <c r="M72" s="329" t="n">
        <v>4.972678</v>
      </c>
      <c r="N72" s="329" t="n">
        <v>13.595628</v>
      </c>
      <c r="O72" s="329" t="n">
        <v>57.989071</v>
      </c>
      <c r="P72" s="329" t="n">
        <v>1.289617</v>
      </c>
      <c r="Q72" s="329" t="n">
        <v>10.038251</v>
      </c>
      <c r="R72" s="329" t="n">
        <v>5.989071</v>
      </c>
      <c r="S72" s="329" t="n">
        <v>6.10929</v>
      </c>
      <c r="T72" s="329" t="n">
        <v>9.584699</v>
      </c>
      <c r="U72" s="329" t="n">
        <v>61.229508</v>
      </c>
      <c r="V72" s="329" t="n">
        <v>48.983607</v>
      </c>
      <c r="W72" s="328"/>
      <c r="X72" s="330" t="s">
        <v>515</v>
      </c>
      <c r="Y72" s="331" t="s">
        <v>439</v>
      </c>
      <c r="Z72" s="328" t="s">
        <v>642</v>
      </c>
      <c r="AA72" s="328" t="s">
        <v>342</v>
      </c>
    </row>
    <row r="73" customFormat="false" ht="15" hidden="false" customHeight="false" outlineLevel="0" collapsed="false">
      <c r="A73" s="328" t="s">
        <v>643</v>
      </c>
      <c r="B73" s="328" t="s">
        <v>644</v>
      </c>
      <c r="C73" s="328" t="s">
        <v>645</v>
      </c>
      <c r="D73" s="328" t="s">
        <v>463</v>
      </c>
      <c r="E73" s="328" t="s">
        <v>646</v>
      </c>
      <c r="F73" s="328" t="s">
        <v>465</v>
      </c>
      <c r="G73" s="328" t="s">
        <v>338</v>
      </c>
      <c r="H73" s="328" t="s">
        <v>339</v>
      </c>
      <c r="I73" s="329" t="n">
        <v>48.595358649789</v>
      </c>
      <c r="J73" s="329" t="n">
        <v>270.415301</v>
      </c>
      <c r="K73" s="329" t="n">
        <v>221.04918</v>
      </c>
      <c r="L73" s="329" t="n">
        <v>119.437158</v>
      </c>
      <c r="M73" s="329" t="n">
        <v>77.737705</v>
      </c>
      <c r="N73" s="329" t="n">
        <v>168.836066</v>
      </c>
      <c r="O73" s="329" t="n">
        <v>519.803279</v>
      </c>
      <c r="P73" s="329" t="n">
        <v>0</v>
      </c>
      <c r="Q73" s="329" t="n">
        <v>0</v>
      </c>
      <c r="R73" s="329" t="n">
        <v>98.748634</v>
      </c>
      <c r="S73" s="329" t="n">
        <v>47.464481</v>
      </c>
      <c r="T73" s="329" t="n">
        <v>73.781421</v>
      </c>
      <c r="U73" s="329" t="n">
        <v>468.644809</v>
      </c>
      <c r="V73" s="329" t="n">
        <v>336.060109</v>
      </c>
      <c r="W73" s="329" t="n">
        <v>459</v>
      </c>
      <c r="X73" s="330" t="s">
        <v>340</v>
      </c>
      <c r="Y73" s="331" t="n">
        <v>45645</v>
      </c>
      <c r="Z73" s="328" t="s">
        <v>341</v>
      </c>
      <c r="AA73" s="328" t="s">
        <v>342</v>
      </c>
    </row>
    <row r="74" customFormat="false" ht="15" hidden="false" customHeight="false" outlineLevel="0" collapsed="false">
      <c r="A74" s="328" t="s">
        <v>647</v>
      </c>
      <c r="B74" s="328" t="s">
        <v>648</v>
      </c>
      <c r="C74" s="328" t="s">
        <v>649</v>
      </c>
      <c r="D74" s="328" t="s">
        <v>650</v>
      </c>
      <c r="E74" s="328" t="s">
        <v>651</v>
      </c>
      <c r="F74" s="328" t="s">
        <v>652</v>
      </c>
      <c r="G74" s="328" t="s">
        <v>392</v>
      </c>
      <c r="H74" s="328" t="s">
        <v>362</v>
      </c>
      <c r="I74" s="329" t="n">
        <v>13.8826388888889</v>
      </c>
      <c r="J74" s="329" t="n">
        <v>57.251366</v>
      </c>
      <c r="K74" s="329" t="n">
        <v>27.032787</v>
      </c>
      <c r="L74" s="329" t="n">
        <v>8.808743</v>
      </c>
      <c r="M74" s="329" t="n">
        <v>13.092896</v>
      </c>
      <c r="N74" s="329" t="n">
        <v>47.377049</v>
      </c>
      <c r="O74" s="329" t="n">
        <v>58.808743</v>
      </c>
      <c r="P74" s="329" t="n">
        <v>0</v>
      </c>
      <c r="Q74" s="329" t="n">
        <v>0</v>
      </c>
      <c r="R74" s="329" t="n">
        <v>16.551913</v>
      </c>
      <c r="S74" s="329" t="n">
        <v>18.218579</v>
      </c>
      <c r="T74" s="329" t="n">
        <v>16.759563</v>
      </c>
      <c r="U74" s="329" t="n">
        <v>54.655737</v>
      </c>
      <c r="V74" s="329" t="n">
        <v>78.84153</v>
      </c>
      <c r="W74" s="328"/>
      <c r="X74" s="330"/>
      <c r="Y74" s="330"/>
      <c r="Z74" s="328"/>
      <c r="AA74" s="328"/>
    </row>
    <row r="75" customFormat="false" ht="15" hidden="false" customHeight="false" outlineLevel="0" collapsed="false">
      <c r="A75" s="328" t="s">
        <v>653</v>
      </c>
      <c r="B75" s="328" t="s">
        <v>654</v>
      </c>
      <c r="C75" s="328" t="s">
        <v>655</v>
      </c>
      <c r="D75" s="328" t="s">
        <v>454</v>
      </c>
      <c r="E75" s="328" t="s">
        <v>656</v>
      </c>
      <c r="F75" s="328" t="s">
        <v>456</v>
      </c>
      <c r="G75" s="328" t="s">
        <v>392</v>
      </c>
      <c r="H75" s="328" t="s">
        <v>362</v>
      </c>
      <c r="I75" s="329" t="n">
        <v>6.08668488871535</v>
      </c>
      <c r="J75" s="329" t="n">
        <v>60.546448</v>
      </c>
      <c r="K75" s="329" t="n">
        <v>13.808743</v>
      </c>
      <c r="L75" s="329" t="n">
        <v>4.546448</v>
      </c>
      <c r="M75" s="329" t="n">
        <v>4.508197</v>
      </c>
      <c r="N75" s="329" t="n">
        <v>8.191257</v>
      </c>
      <c r="O75" s="329" t="n">
        <v>75.213115</v>
      </c>
      <c r="P75" s="329" t="n">
        <v>0.005464</v>
      </c>
      <c r="Q75" s="329" t="n">
        <v>0</v>
      </c>
      <c r="R75" s="329" t="n">
        <v>4.579235</v>
      </c>
      <c r="S75" s="329" t="n">
        <v>2.459016</v>
      </c>
      <c r="T75" s="329" t="n">
        <v>4.338798</v>
      </c>
      <c r="U75" s="329" t="n">
        <v>72.032787</v>
      </c>
      <c r="V75" s="329" t="n">
        <v>43.377049</v>
      </c>
      <c r="W75" s="328"/>
      <c r="X75" s="330"/>
      <c r="Y75" s="330"/>
      <c r="Z75" s="328"/>
      <c r="AA75" s="328"/>
    </row>
    <row r="76" customFormat="false" ht="15" hidden="false" customHeight="false" outlineLevel="0" collapsed="false">
      <c r="A76" s="328" t="s">
        <v>657</v>
      </c>
      <c r="B76" s="328" t="s">
        <v>658</v>
      </c>
      <c r="C76" s="328" t="s">
        <v>659</v>
      </c>
      <c r="D76" s="328" t="s">
        <v>372</v>
      </c>
      <c r="E76" s="328" t="s">
        <v>660</v>
      </c>
      <c r="F76" s="328" t="s">
        <v>374</v>
      </c>
      <c r="G76" s="328" t="s">
        <v>368</v>
      </c>
      <c r="H76" s="328" t="s">
        <v>339</v>
      </c>
      <c r="I76" s="329" t="n">
        <v>8.66473988439306</v>
      </c>
      <c r="J76" s="329" t="n">
        <v>22.038251</v>
      </c>
      <c r="K76" s="329" t="n">
        <v>2.52459</v>
      </c>
      <c r="L76" s="329" t="n">
        <v>0.584699</v>
      </c>
      <c r="M76" s="329" t="n">
        <v>0.114754</v>
      </c>
      <c r="N76" s="329" t="n">
        <v>0</v>
      </c>
      <c r="O76" s="329" t="n">
        <v>0.032787</v>
      </c>
      <c r="P76" s="329" t="n">
        <v>0.781421</v>
      </c>
      <c r="Q76" s="329" t="n">
        <v>24.448087</v>
      </c>
      <c r="R76" s="329" t="n">
        <v>0.639344</v>
      </c>
      <c r="S76" s="329" t="n">
        <v>0.562842</v>
      </c>
      <c r="T76" s="329" t="n">
        <v>0.52459</v>
      </c>
      <c r="U76" s="329" t="n">
        <v>23.535519</v>
      </c>
      <c r="V76" s="329" t="n">
        <v>3.469945</v>
      </c>
      <c r="W76" s="329" t="n">
        <v>70</v>
      </c>
      <c r="X76" s="330" t="s">
        <v>515</v>
      </c>
      <c r="Y76" s="331" t="s">
        <v>363</v>
      </c>
      <c r="Z76" s="328" t="s">
        <v>589</v>
      </c>
      <c r="AA76" s="328" t="s">
        <v>342</v>
      </c>
    </row>
    <row r="77" customFormat="false" ht="15" hidden="false" customHeight="false" outlineLevel="0" collapsed="false">
      <c r="A77" s="328" t="s">
        <v>661</v>
      </c>
      <c r="B77" s="328" t="s">
        <v>662</v>
      </c>
      <c r="C77" s="328" t="s">
        <v>478</v>
      </c>
      <c r="D77" s="328" t="s">
        <v>479</v>
      </c>
      <c r="E77" s="328" t="s">
        <v>663</v>
      </c>
      <c r="F77" s="328" t="s">
        <v>481</v>
      </c>
      <c r="G77" s="328" t="s">
        <v>426</v>
      </c>
      <c r="H77" s="328" t="s">
        <v>362</v>
      </c>
      <c r="I77" s="329" t="n">
        <v>6.97262588712403</v>
      </c>
      <c r="J77" s="329" t="n">
        <v>252.060109</v>
      </c>
      <c r="K77" s="329" t="n">
        <v>62.655738</v>
      </c>
      <c r="L77" s="329" t="n">
        <v>5.972678</v>
      </c>
      <c r="M77" s="329" t="n">
        <v>6.857923</v>
      </c>
      <c r="N77" s="329" t="n">
        <v>47.344262</v>
      </c>
      <c r="O77" s="329" t="n">
        <v>273.338797</v>
      </c>
      <c r="P77" s="329" t="n">
        <v>0.540984</v>
      </c>
      <c r="Q77" s="329" t="n">
        <v>6.322404</v>
      </c>
      <c r="R77" s="329" t="n">
        <v>11.371585</v>
      </c>
      <c r="S77" s="329" t="n">
        <v>10.868852</v>
      </c>
      <c r="T77" s="329" t="n">
        <v>47.240437</v>
      </c>
      <c r="U77" s="329" t="n">
        <v>258.065574</v>
      </c>
      <c r="V77" s="329" t="n">
        <v>181.147541</v>
      </c>
      <c r="W77" s="329" t="n">
        <v>392</v>
      </c>
      <c r="X77" s="330" t="s">
        <v>340</v>
      </c>
      <c r="Y77" s="331" t="n">
        <v>45701</v>
      </c>
      <c r="Z77" s="328" t="s">
        <v>341</v>
      </c>
      <c r="AA77" s="328" t="s">
        <v>342</v>
      </c>
    </row>
    <row r="78" customFormat="false" ht="15" hidden="false" customHeight="false" outlineLevel="0" collapsed="false">
      <c r="A78" s="328" t="s">
        <v>664</v>
      </c>
      <c r="B78" s="328" t="s">
        <v>662</v>
      </c>
      <c r="C78" s="328" t="s">
        <v>478</v>
      </c>
      <c r="D78" s="328" t="s">
        <v>479</v>
      </c>
      <c r="E78" s="328" t="s">
        <v>480</v>
      </c>
      <c r="F78" s="328" t="s">
        <v>481</v>
      </c>
      <c r="G78" s="328" t="s">
        <v>354</v>
      </c>
      <c r="H78" s="328" t="s">
        <v>339</v>
      </c>
      <c r="I78" s="329" t="n">
        <v>3.10217618463495</v>
      </c>
      <c r="J78" s="329" t="n">
        <v>186.491803</v>
      </c>
      <c r="K78" s="329" t="n">
        <v>72.163934</v>
      </c>
      <c r="L78" s="329" t="n">
        <v>53.857923</v>
      </c>
      <c r="M78" s="329" t="n">
        <v>55.84153</v>
      </c>
      <c r="N78" s="329" t="n">
        <v>86.120218</v>
      </c>
      <c r="O78" s="329" t="n">
        <v>261.393442</v>
      </c>
      <c r="P78" s="329" t="n">
        <v>2.273224</v>
      </c>
      <c r="Q78" s="329" t="n">
        <v>18.568306</v>
      </c>
      <c r="R78" s="329" t="n">
        <v>57.47541</v>
      </c>
      <c r="S78" s="329" t="n">
        <v>28.469945</v>
      </c>
      <c r="T78" s="329" t="n">
        <v>47.486339</v>
      </c>
      <c r="U78" s="329" t="n">
        <v>234.923498</v>
      </c>
      <c r="V78" s="329" t="n">
        <v>279.311475</v>
      </c>
      <c r="W78" s="328"/>
      <c r="X78" s="330" t="s">
        <v>340</v>
      </c>
      <c r="Y78" s="331" t="n">
        <v>45456</v>
      </c>
      <c r="Z78" s="328" t="s">
        <v>341</v>
      </c>
      <c r="AA78" s="328" t="s">
        <v>342</v>
      </c>
    </row>
    <row r="79" customFormat="false" ht="15" hidden="false" customHeight="false" outlineLevel="0" collapsed="false">
      <c r="A79" s="328" t="s">
        <v>665</v>
      </c>
      <c r="B79" s="328" t="s">
        <v>666</v>
      </c>
      <c r="C79" s="328" t="s">
        <v>667</v>
      </c>
      <c r="D79" s="328" t="s">
        <v>372</v>
      </c>
      <c r="E79" s="328" t="s">
        <v>668</v>
      </c>
      <c r="F79" s="328" t="s">
        <v>374</v>
      </c>
      <c r="G79" s="328" t="s">
        <v>375</v>
      </c>
      <c r="H79" s="328" t="s">
        <v>339</v>
      </c>
      <c r="I79" s="329" t="n">
        <v>15.6750615139673</v>
      </c>
      <c r="J79" s="329" t="n">
        <v>642.262295</v>
      </c>
      <c r="K79" s="329" t="n">
        <v>198.978142</v>
      </c>
      <c r="L79" s="329" t="n">
        <v>187.147541</v>
      </c>
      <c r="M79" s="329" t="n">
        <v>354.295082</v>
      </c>
      <c r="N79" s="329" t="n">
        <v>481.759563</v>
      </c>
      <c r="O79" s="329" t="n">
        <v>900.923497</v>
      </c>
      <c r="P79" s="329" t="n">
        <v>0</v>
      </c>
      <c r="Q79" s="329" t="n">
        <v>0</v>
      </c>
      <c r="R79" s="329" t="n">
        <v>407.672131</v>
      </c>
      <c r="S79" s="329" t="n">
        <v>74.256831</v>
      </c>
      <c r="T79" s="329" t="n">
        <v>89.775956</v>
      </c>
      <c r="U79" s="329" t="n">
        <v>810.978142</v>
      </c>
      <c r="V79" s="329" t="n">
        <v>801.338798</v>
      </c>
      <c r="W79" s="328"/>
      <c r="X79" s="330"/>
      <c r="Y79" s="330"/>
      <c r="Z79" s="328"/>
      <c r="AA79" s="328"/>
    </row>
    <row r="80" customFormat="false" ht="15" hidden="false" customHeight="false" outlineLevel="0" collapsed="false">
      <c r="A80" s="328" t="s">
        <v>669</v>
      </c>
      <c r="B80" s="328" t="s">
        <v>670</v>
      </c>
      <c r="C80" s="328" t="s">
        <v>671</v>
      </c>
      <c r="D80" s="328" t="s">
        <v>650</v>
      </c>
      <c r="E80" s="328" t="s">
        <v>672</v>
      </c>
      <c r="F80" s="328" t="s">
        <v>652</v>
      </c>
      <c r="G80" s="328" t="s">
        <v>361</v>
      </c>
      <c r="H80" s="328" t="s">
        <v>362</v>
      </c>
      <c r="I80" s="329" t="n">
        <v>2.28915662650602</v>
      </c>
      <c r="J80" s="329" t="n">
        <v>0.464481</v>
      </c>
      <c r="K80" s="329" t="n">
        <v>0.557377</v>
      </c>
      <c r="L80" s="329" t="n">
        <v>0.010929</v>
      </c>
      <c r="M80" s="329" t="n">
        <v>0</v>
      </c>
      <c r="N80" s="329" t="n">
        <v>0.240437</v>
      </c>
      <c r="O80" s="329" t="n">
        <v>0.672131</v>
      </c>
      <c r="P80" s="329" t="n">
        <v>0.010929</v>
      </c>
      <c r="Q80" s="329" t="n">
        <v>0.10929</v>
      </c>
      <c r="R80" s="329" t="n">
        <v>0.060109</v>
      </c>
      <c r="S80" s="329" t="n">
        <v>0.114754</v>
      </c>
      <c r="T80" s="329" t="n">
        <v>0.169399</v>
      </c>
      <c r="U80" s="329" t="n">
        <v>0.688525</v>
      </c>
      <c r="V80" s="329" t="n">
        <v>0.617486</v>
      </c>
      <c r="W80" s="328"/>
      <c r="X80" s="330" t="s">
        <v>515</v>
      </c>
      <c r="Y80" s="332" t="n">
        <v>46003</v>
      </c>
      <c r="Z80" s="328" t="s">
        <v>642</v>
      </c>
      <c r="AA80" s="328" t="s">
        <v>342</v>
      </c>
    </row>
    <row r="81" customFormat="false" ht="15" hidden="false" customHeight="false" outlineLevel="0" collapsed="false">
      <c r="A81" s="328" t="s">
        <v>673</v>
      </c>
      <c r="B81" s="328" t="s">
        <v>674</v>
      </c>
      <c r="C81" s="328" t="s">
        <v>675</v>
      </c>
      <c r="D81" s="328" t="s">
        <v>650</v>
      </c>
      <c r="E81" s="328" t="s">
        <v>676</v>
      </c>
      <c r="F81" s="328" t="s">
        <v>652</v>
      </c>
      <c r="G81" s="328" t="s">
        <v>338</v>
      </c>
      <c r="H81" s="328" t="s">
        <v>339</v>
      </c>
      <c r="I81" s="329" t="n">
        <v>37.910790144435</v>
      </c>
      <c r="J81" s="329" t="n">
        <v>138.453552</v>
      </c>
      <c r="K81" s="329" t="n">
        <v>40.251366</v>
      </c>
      <c r="L81" s="329" t="n">
        <v>59.153005</v>
      </c>
      <c r="M81" s="329" t="n">
        <v>38.748634</v>
      </c>
      <c r="N81" s="329" t="n">
        <v>78.26776</v>
      </c>
      <c r="O81" s="329" t="n">
        <v>198.338798</v>
      </c>
      <c r="P81" s="329" t="n">
        <v>0</v>
      </c>
      <c r="Q81" s="329" t="n">
        <v>0</v>
      </c>
      <c r="R81" s="329" t="n">
        <v>36.819672</v>
      </c>
      <c r="S81" s="329" t="n">
        <v>30.234973</v>
      </c>
      <c r="T81" s="329" t="n">
        <v>25.748634</v>
      </c>
      <c r="U81" s="329" t="n">
        <v>183.803278</v>
      </c>
      <c r="V81" s="329" t="n">
        <v>135.945355</v>
      </c>
      <c r="W81" s="329" t="n">
        <v>338</v>
      </c>
      <c r="X81" s="330" t="s">
        <v>340</v>
      </c>
      <c r="Y81" s="331" t="n">
        <v>45687</v>
      </c>
      <c r="Z81" s="328" t="s">
        <v>341</v>
      </c>
      <c r="AA81" s="328" t="s">
        <v>342</v>
      </c>
    </row>
    <row r="82" customFormat="false" ht="15" hidden="false" customHeight="false" outlineLevel="0" collapsed="false">
      <c r="A82" s="328" t="s">
        <v>180</v>
      </c>
      <c r="B82" s="328" t="s">
        <v>677</v>
      </c>
      <c r="C82" s="328" t="s">
        <v>675</v>
      </c>
      <c r="D82" s="328" t="s">
        <v>650</v>
      </c>
      <c r="E82" s="328" t="s">
        <v>676</v>
      </c>
      <c r="F82" s="328" t="s">
        <v>652</v>
      </c>
      <c r="G82" s="328" t="s">
        <v>338</v>
      </c>
      <c r="H82" s="328" t="s">
        <v>339</v>
      </c>
      <c r="I82" s="329" t="n">
        <v>34.5979407979408</v>
      </c>
      <c r="J82" s="329" t="n">
        <v>733.213115</v>
      </c>
      <c r="K82" s="329" t="n">
        <v>161.918033</v>
      </c>
      <c r="L82" s="329" t="n">
        <v>124.284153</v>
      </c>
      <c r="M82" s="329" t="n">
        <v>84.63388</v>
      </c>
      <c r="N82" s="329" t="n">
        <v>188.032787</v>
      </c>
      <c r="O82" s="329" t="n">
        <v>916.016393</v>
      </c>
      <c r="P82" s="329" t="n">
        <v>0</v>
      </c>
      <c r="Q82" s="329" t="n">
        <v>0</v>
      </c>
      <c r="R82" s="329" t="n">
        <v>65.245902</v>
      </c>
      <c r="S82" s="329" t="n">
        <v>60.972678</v>
      </c>
      <c r="T82" s="329" t="n">
        <v>114.387978</v>
      </c>
      <c r="U82" s="329" t="n">
        <v>863.442623</v>
      </c>
      <c r="V82" s="329" t="n">
        <v>507.15847</v>
      </c>
      <c r="W82" s="329" t="n">
        <v>1308</v>
      </c>
      <c r="X82" s="330"/>
      <c r="Y82" s="330"/>
      <c r="Z82" s="328"/>
      <c r="AA82" s="328"/>
    </row>
    <row r="83" customFormat="false" ht="15" hidden="false" customHeight="false" outlineLevel="0" collapsed="false">
      <c r="A83" s="328" t="s">
        <v>678</v>
      </c>
      <c r="B83" s="328" t="s">
        <v>679</v>
      </c>
      <c r="C83" s="328" t="s">
        <v>675</v>
      </c>
      <c r="D83" s="328" t="s">
        <v>650</v>
      </c>
      <c r="E83" s="328" t="s">
        <v>676</v>
      </c>
      <c r="F83" s="328" t="s">
        <v>652</v>
      </c>
      <c r="G83" s="328" t="s">
        <v>338</v>
      </c>
      <c r="H83" s="328" t="s">
        <v>339</v>
      </c>
      <c r="I83" s="329" t="n">
        <v>33.8590078328982</v>
      </c>
      <c r="J83" s="329" t="n">
        <v>361.42623</v>
      </c>
      <c r="K83" s="329" t="n">
        <v>141.743169</v>
      </c>
      <c r="L83" s="329" t="n">
        <v>117.699454</v>
      </c>
      <c r="M83" s="329" t="n">
        <v>64.26776</v>
      </c>
      <c r="N83" s="329" t="n">
        <v>172.857923</v>
      </c>
      <c r="O83" s="329" t="n">
        <v>512.224044</v>
      </c>
      <c r="P83" s="329" t="n">
        <v>0.054645</v>
      </c>
      <c r="Q83" s="329" t="n">
        <v>0</v>
      </c>
      <c r="R83" s="329" t="n">
        <v>66.355191</v>
      </c>
      <c r="S83" s="329" t="n">
        <v>64.256831</v>
      </c>
      <c r="T83" s="329" t="n">
        <v>84.519126</v>
      </c>
      <c r="U83" s="329" t="n">
        <v>470.005464</v>
      </c>
      <c r="V83" s="329" t="n">
        <v>343.743169</v>
      </c>
      <c r="W83" s="329" t="n">
        <v>544</v>
      </c>
      <c r="X83" s="330" t="s">
        <v>340</v>
      </c>
      <c r="Y83" s="331" t="s">
        <v>363</v>
      </c>
      <c r="Z83" s="328" t="s">
        <v>341</v>
      </c>
      <c r="AA83" s="328" t="s">
        <v>342</v>
      </c>
    </row>
    <row r="84" customFormat="false" ht="15" hidden="false" customHeight="false" outlineLevel="0" collapsed="false">
      <c r="A84" s="328" t="s">
        <v>680</v>
      </c>
      <c r="B84" s="328" t="s">
        <v>681</v>
      </c>
      <c r="C84" s="328" t="s">
        <v>682</v>
      </c>
      <c r="D84" s="328" t="s">
        <v>551</v>
      </c>
      <c r="E84" s="328" t="s">
        <v>683</v>
      </c>
      <c r="F84" s="328" t="s">
        <v>432</v>
      </c>
      <c r="G84" s="328" t="s">
        <v>368</v>
      </c>
      <c r="H84" s="328" t="s">
        <v>339</v>
      </c>
      <c r="I84" s="329" t="n">
        <v>24.488986784141</v>
      </c>
      <c r="J84" s="329" t="n">
        <v>24.420765</v>
      </c>
      <c r="K84" s="329" t="n">
        <v>17.513661</v>
      </c>
      <c r="L84" s="329" t="n">
        <v>13.245902</v>
      </c>
      <c r="M84" s="329" t="n">
        <v>12.846995</v>
      </c>
      <c r="N84" s="329" t="n">
        <v>30.928961</v>
      </c>
      <c r="O84" s="329" t="n">
        <v>37.098361</v>
      </c>
      <c r="P84" s="329" t="n">
        <v>0</v>
      </c>
      <c r="Q84" s="329" t="n">
        <v>0</v>
      </c>
      <c r="R84" s="329" t="n">
        <v>22.333333</v>
      </c>
      <c r="S84" s="329" t="n">
        <v>5.945355</v>
      </c>
      <c r="T84" s="329" t="n">
        <v>7.770492</v>
      </c>
      <c r="U84" s="329" t="n">
        <v>31.978142</v>
      </c>
      <c r="V84" s="329" t="n">
        <v>41.808743</v>
      </c>
      <c r="W84" s="328"/>
      <c r="X84" s="330" t="s">
        <v>340</v>
      </c>
      <c r="Y84" s="331" t="n">
        <v>45722</v>
      </c>
      <c r="Z84" s="328" t="s">
        <v>379</v>
      </c>
      <c r="AA84" s="328" t="s">
        <v>342</v>
      </c>
    </row>
    <row r="85" customFormat="false" ht="15" hidden="false" customHeight="false" outlineLevel="0" collapsed="false">
      <c r="A85" s="328" t="s">
        <v>684</v>
      </c>
      <c r="B85" s="328" t="s">
        <v>685</v>
      </c>
      <c r="C85" s="328" t="s">
        <v>686</v>
      </c>
      <c r="D85" s="328" t="s">
        <v>520</v>
      </c>
      <c r="E85" s="328" t="s">
        <v>687</v>
      </c>
      <c r="F85" s="328" t="s">
        <v>404</v>
      </c>
      <c r="G85" s="328" t="s">
        <v>361</v>
      </c>
      <c r="H85" s="328" t="s">
        <v>362</v>
      </c>
      <c r="I85" s="329" t="n">
        <v>2.69794050343249</v>
      </c>
      <c r="J85" s="329" t="n">
        <v>4.185792</v>
      </c>
      <c r="K85" s="329" t="n">
        <v>0.612022</v>
      </c>
      <c r="L85" s="329" t="n">
        <v>0.896175</v>
      </c>
      <c r="M85" s="329" t="n">
        <v>0.901639</v>
      </c>
      <c r="N85" s="329" t="n">
        <v>1.704918</v>
      </c>
      <c r="O85" s="329" t="n">
        <v>4.295082</v>
      </c>
      <c r="P85" s="329" t="n">
        <v>0.098361</v>
      </c>
      <c r="Q85" s="329" t="n">
        <v>0.497268</v>
      </c>
      <c r="R85" s="329" t="n">
        <v>0.726776</v>
      </c>
      <c r="S85" s="329" t="n">
        <v>0.486339</v>
      </c>
      <c r="T85" s="329" t="n">
        <v>1.010929</v>
      </c>
      <c r="U85" s="329" t="n">
        <v>4.371585</v>
      </c>
      <c r="V85" s="329" t="n">
        <v>4.043716</v>
      </c>
      <c r="W85" s="328"/>
      <c r="X85" s="330"/>
      <c r="Y85" s="330"/>
      <c r="Z85" s="328"/>
      <c r="AA85" s="328"/>
    </row>
    <row r="86" customFormat="false" ht="15" hidden="false" customHeight="false" outlineLevel="0" collapsed="false">
      <c r="A86" s="328" t="s">
        <v>688</v>
      </c>
      <c r="B86" s="328" t="s">
        <v>689</v>
      </c>
      <c r="C86" s="328" t="s">
        <v>690</v>
      </c>
      <c r="D86" s="328" t="s">
        <v>435</v>
      </c>
      <c r="E86" s="328" t="s">
        <v>691</v>
      </c>
      <c r="F86" s="328" t="s">
        <v>437</v>
      </c>
      <c r="G86" s="328" t="s">
        <v>361</v>
      </c>
      <c r="H86" s="328" t="s">
        <v>362</v>
      </c>
      <c r="I86" s="329" t="n">
        <v>77.2888888888889</v>
      </c>
      <c r="J86" s="329" t="n">
        <v>16.819672</v>
      </c>
      <c r="K86" s="329" t="n">
        <v>0.879781</v>
      </c>
      <c r="L86" s="329" t="n">
        <v>0.579235</v>
      </c>
      <c r="M86" s="329" t="n">
        <v>1.26776</v>
      </c>
      <c r="N86" s="329" t="n">
        <v>2.803279</v>
      </c>
      <c r="O86" s="329" t="n">
        <v>9.819672</v>
      </c>
      <c r="P86" s="329" t="n">
        <v>1.087432</v>
      </c>
      <c r="Q86" s="329" t="n">
        <v>5.836066</v>
      </c>
      <c r="R86" s="329" t="n">
        <v>3.73224</v>
      </c>
      <c r="S86" s="329" t="n">
        <v>0.087432</v>
      </c>
      <c r="T86" s="329" t="n">
        <v>0.879781</v>
      </c>
      <c r="U86" s="329" t="n">
        <v>14.846995</v>
      </c>
      <c r="V86" s="329" t="n">
        <v>13.005464</v>
      </c>
      <c r="W86" s="328"/>
      <c r="X86" s="330" t="s">
        <v>340</v>
      </c>
      <c r="Y86" s="331" t="n">
        <v>45687</v>
      </c>
      <c r="Z86" s="328" t="s">
        <v>379</v>
      </c>
      <c r="AA86" s="328" t="s">
        <v>342</v>
      </c>
    </row>
    <row r="87" customFormat="false" ht="15" hidden="false" customHeight="false" outlineLevel="0" collapsed="false">
      <c r="A87" s="328" t="s">
        <v>184</v>
      </c>
      <c r="B87" s="328" t="s">
        <v>692</v>
      </c>
      <c r="C87" s="328" t="s">
        <v>693</v>
      </c>
      <c r="D87" s="328" t="s">
        <v>372</v>
      </c>
      <c r="E87" s="328" t="s">
        <v>694</v>
      </c>
      <c r="F87" s="328" t="s">
        <v>374</v>
      </c>
      <c r="G87" s="328" t="s">
        <v>368</v>
      </c>
      <c r="H87" s="328" t="s">
        <v>362</v>
      </c>
      <c r="I87" s="329" t="n">
        <v>51.3265940902022</v>
      </c>
      <c r="J87" s="329" t="n">
        <v>345.874317</v>
      </c>
      <c r="K87" s="329" t="n">
        <v>121.704918</v>
      </c>
      <c r="L87" s="329" t="n">
        <v>3.196721</v>
      </c>
      <c r="M87" s="329" t="n">
        <v>1.081967</v>
      </c>
      <c r="N87" s="329" t="n">
        <v>40.907104</v>
      </c>
      <c r="O87" s="329" t="n">
        <v>430.95082</v>
      </c>
      <c r="P87" s="329" t="n">
        <v>0</v>
      </c>
      <c r="Q87" s="329" t="n">
        <v>0</v>
      </c>
      <c r="R87" s="329" t="n">
        <v>10.322404</v>
      </c>
      <c r="S87" s="329" t="n">
        <v>18.480874</v>
      </c>
      <c r="T87" s="329" t="n">
        <v>34.185792</v>
      </c>
      <c r="U87" s="329" t="n">
        <v>408.868852</v>
      </c>
      <c r="V87" s="329" t="n">
        <v>235.180328</v>
      </c>
      <c r="W87" s="329" t="n">
        <v>500</v>
      </c>
      <c r="X87" s="330" t="s">
        <v>438</v>
      </c>
      <c r="Y87" s="331" t="s">
        <v>363</v>
      </c>
      <c r="Z87" s="328" t="s">
        <v>440</v>
      </c>
      <c r="AA87" s="328" t="s">
        <v>342</v>
      </c>
    </row>
    <row r="88" customFormat="false" ht="15" hidden="false" customHeight="false" outlineLevel="0" collapsed="false">
      <c r="A88" s="328" t="s">
        <v>695</v>
      </c>
      <c r="B88" s="328" t="s">
        <v>696</v>
      </c>
      <c r="C88" s="328" t="s">
        <v>697</v>
      </c>
      <c r="D88" s="328" t="s">
        <v>345</v>
      </c>
      <c r="E88" s="328" t="s">
        <v>698</v>
      </c>
      <c r="F88" s="328" t="s">
        <v>450</v>
      </c>
      <c r="G88" s="328" t="s">
        <v>348</v>
      </c>
      <c r="H88" s="328" t="s">
        <v>339</v>
      </c>
      <c r="I88" s="329" t="n">
        <v>73.9910350448248</v>
      </c>
      <c r="J88" s="329" t="n">
        <v>221.442623</v>
      </c>
      <c r="K88" s="329" t="n">
        <v>55.459016</v>
      </c>
      <c r="L88" s="329" t="n">
        <v>158.038251</v>
      </c>
      <c r="M88" s="329" t="n">
        <v>168.131148</v>
      </c>
      <c r="N88" s="329" t="n">
        <v>236.68306</v>
      </c>
      <c r="O88" s="329" t="n">
        <v>366.387978</v>
      </c>
      <c r="P88" s="329" t="n">
        <v>0</v>
      </c>
      <c r="Q88" s="329" t="n">
        <v>0</v>
      </c>
      <c r="R88" s="329" t="n">
        <v>172.234973</v>
      </c>
      <c r="S88" s="329" t="n">
        <v>48.47541</v>
      </c>
      <c r="T88" s="329" t="n">
        <v>44.027322</v>
      </c>
      <c r="U88" s="329" t="n">
        <v>338.333333</v>
      </c>
      <c r="V88" s="329" t="n">
        <v>225.202186</v>
      </c>
      <c r="W88" s="329" t="n">
        <v>560</v>
      </c>
      <c r="X88" s="330" t="s">
        <v>340</v>
      </c>
      <c r="Y88" s="331" t="n">
        <v>45687</v>
      </c>
      <c r="Z88" s="328" t="s">
        <v>341</v>
      </c>
      <c r="AA88" s="328" t="s">
        <v>342</v>
      </c>
    </row>
    <row r="89" customFormat="false" ht="15" hidden="false" customHeight="false" outlineLevel="0" collapsed="false">
      <c r="A89" s="328" t="s">
        <v>699</v>
      </c>
      <c r="B89" s="328" t="s">
        <v>700</v>
      </c>
      <c r="C89" s="328" t="s">
        <v>701</v>
      </c>
      <c r="D89" s="328" t="s">
        <v>430</v>
      </c>
      <c r="E89" s="328" t="s">
        <v>702</v>
      </c>
      <c r="F89" s="328" t="s">
        <v>432</v>
      </c>
      <c r="G89" s="328" t="s">
        <v>361</v>
      </c>
      <c r="H89" s="328" t="s">
        <v>362</v>
      </c>
      <c r="I89" s="329" t="n">
        <v>16.3827751196172</v>
      </c>
      <c r="J89" s="329" t="n">
        <v>6.04918</v>
      </c>
      <c r="K89" s="329" t="n">
        <v>7.213115</v>
      </c>
      <c r="L89" s="329" t="n">
        <v>5.748634</v>
      </c>
      <c r="M89" s="329" t="n">
        <v>1.360656</v>
      </c>
      <c r="N89" s="329" t="n">
        <v>4.918033</v>
      </c>
      <c r="O89" s="329" t="n">
        <v>11.879781</v>
      </c>
      <c r="P89" s="329" t="n">
        <v>0.868852</v>
      </c>
      <c r="Q89" s="329" t="n">
        <v>2.704918</v>
      </c>
      <c r="R89" s="329" t="n">
        <v>0.972678</v>
      </c>
      <c r="S89" s="329" t="n">
        <v>3.344262</v>
      </c>
      <c r="T89" s="329" t="n">
        <v>3.415301</v>
      </c>
      <c r="U89" s="329" t="n">
        <v>12.639344</v>
      </c>
      <c r="V89" s="329" t="n">
        <v>10.770492</v>
      </c>
      <c r="W89" s="328"/>
      <c r="X89" s="330" t="s">
        <v>340</v>
      </c>
      <c r="Y89" s="331" t="s">
        <v>363</v>
      </c>
      <c r="Z89" s="328" t="s">
        <v>379</v>
      </c>
      <c r="AA89" s="328" t="s">
        <v>342</v>
      </c>
    </row>
    <row r="90" customFormat="false" ht="15" hidden="false" customHeight="false" outlineLevel="0" collapsed="false">
      <c r="A90" s="328" t="s">
        <v>703</v>
      </c>
      <c r="B90" s="328" t="s">
        <v>704</v>
      </c>
      <c r="C90" s="328" t="s">
        <v>705</v>
      </c>
      <c r="D90" s="328" t="s">
        <v>402</v>
      </c>
      <c r="E90" s="328" t="s">
        <v>706</v>
      </c>
      <c r="F90" s="328" t="s">
        <v>404</v>
      </c>
      <c r="G90" s="328" t="s">
        <v>361</v>
      </c>
      <c r="H90" s="328" t="s">
        <v>362</v>
      </c>
      <c r="I90" s="329" t="n">
        <v>37.5165745856354</v>
      </c>
      <c r="J90" s="329" t="n">
        <v>107.693989</v>
      </c>
      <c r="K90" s="329" t="n">
        <v>12.306011</v>
      </c>
      <c r="L90" s="329" t="n">
        <v>25.289617</v>
      </c>
      <c r="M90" s="329" t="n">
        <v>11.185792</v>
      </c>
      <c r="N90" s="329" t="n">
        <v>3.688524</v>
      </c>
      <c r="O90" s="329" t="n">
        <v>2.590164</v>
      </c>
      <c r="P90" s="329" t="n">
        <v>23.584699</v>
      </c>
      <c r="Q90" s="329" t="n">
        <v>126.612022</v>
      </c>
      <c r="R90" s="329" t="n">
        <v>12.196721</v>
      </c>
      <c r="S90" s="329" t="n">
        <v>10.016393</v>
      </c>
      <c r="T90" s="329" t="n">
        <v>10.677596</v>
      </c>
      <c r="U90" s="329" t="n">
        <v>123.584699</v>
      </c>
      <c r="V90" s="329" t="n">
        <v>79</v>
      </c>
      <c r="W90" s="328"/>
      <c r="X90" s="330" t="s">
        <v>340</v>
      </c>
      <c r="Y90" s="331" t="n">
        <v>45890</v>
      </c>
      <c r="Z90" s="328" t="s">
        <v>379</v>
      </c>
      <c r="AA90" s="328" t="s">
        <v>342</v>
      </c>
    </row>
    <row r="91" customFormat="false" ht="15" hidden="false" customHeight="false" outlineLevel="0" collapsed="false">
      <c r="A91" s="328" t="s">
        <v>707</v>
      </c>
      <c r="B91" s="328" t="s">
        <v>708</v>
      </c>
      <c r="C91" s="328" t="s">
        <v>709</v>
      </c>
      <c r="D91" s="328" t="s">
        <v>710</v>
      </c>
      <c r="E91" s="328" t="s">
        <v>711</v>
      </c>
      <c r="F91" s="328" t="s">
        <v>404</v>
      </c>
      <c r="G91" s="328" t="s">
        <v>361</v>
      </c>
      <c r="H91" s="328" t="s">
        <v>362</v>
      </c>
      <c r="I91" s="329" t="n">
        <v>22.2796296296296</v>
      </c>
      <c r="J91" s="329" t="n">
        <v>175.202186</v>
      </c>
      <c r="K91" s="329" t="n">
        <v>26.147541</v>
      </c>
      <c r="L91" s="329" t="n">
        <v>36.31694</v>
      </c>
      <c r="M91" s="329" t="n">
        <v>32.879781</v>
      </c>
      <c r="N91" s="329" t="n">
        <v>49.459016</v>
      </c>
      <c r="O91" s="329" t="n">
        <v>189.005464</v>
      </c>
      <c r="P91" s="329" t="n">
        <v>5.808743</v>
      </c>
      <c r="Q91" s="329" t="n">
        <v>26.273224</v>
      </c>
      <c r="R91" s="329" t="n">
        <v>24.174863</v>
      </c>
      <c r="S91" s="329" t="n">
        <v>15.923497</v>
      </c>
      <c r="T91" s="329" t="n">
        <v>34.245902</v>
      </c>
      <c r="U91" s="329" t="n">
        <v>196.202186</v>
      </c>
      <c r="V91" s="329" t="n">
        <v>145.464481</v>
      </c>
      <c r="W91" s="328"/>
      <c r="X91" s="330"/>
      <c r="Y91" s="330" t="s">
        <v>363</v>
      </c>
      <c r="Z91" s="328"/>
      <c r="AA91" s="328"/>
    </row>
    <row r="92" customFormat="false" ht="15" hidden="false" customHeight="false" outlineLevel="0" collapsed="false">
      <c r="A92" s="328" t="s">
        <v>712</v>
      </c>
      <c r="B92" s="328" t="s">
        <v>713</v>
      </c>
      <c r="C92" s="328" t="s">
        <v>714</v>
      </c>
      <c r="D92" s="328" t="s">
        <v>475</v>
      </c>
      <c r="E92" s="328" t="s">
        <v>715</v>
      </c>
      <c r="F92" s="328" t="s">
        <v>432</v>
      </c>
      <c r="G92" s="328" t="s">
        <v>361</v>
      </c>
      <c r="H92" s="328" t="s">
        <v>362</v>
      </c>
      <c r="I92" s="329" t="n">
        <v>9.78508771929824</v>
      </c>
      <c r="J92" s="329" t="n">
        <v>4.355191</v>
      </c>
      <c r="K92" s="329" t="n">
        <v>3.748634</v>
      </c>
      <c r="L92" s="329" t="n">
        <v>2.404372</v>
      </c>
      <c r="M92" s="329" t="n">
        <v>2.038251</v>
      </c>
      <c r="N92" s="329" t="n">
        <v>5.896175</v>
      </c>
      <c r="O92" s="329" t="n">
        <v>6.540984</v>
      </c>
      <c r="P92" s="329" t="n">
        <v>0.021858</v>
      </c>
      <c r="Q92" s="329" t="n">
        <v>0.087432</v>
      </c>
      <c r="R92" s="329" t="n">
        <v>1.672131</v>
      </c>
      <c r="S92" s="329" t="n">
        <v>2.825137</v>
      </c>
      <c r="T92" s="329" t="n">
        <v>3.743169</v>
      </c>
      <c r="U92" s="329" t="n">
        <v>4.306011</v>
      </c>
      <c r="V92" s="329" t="n">
        <v>10.10929</v>
      </c>
      <c r="W92" s="328"/>
      <c r="X92" s="330" t="s">
        <v>340</v>
      </c>
      <c r="Y92" s="331" t="s">
        <v>363</v>
      </c>
      <c r="Z92" s="328" t="s">
        <v>379</v>
      </c>
      <c r="AA92" s="328" t="s">
        <v>342</v>
      </c>
    </row>
    <row r="93" customFormat="false" ht="15" hidden="false" customHeight="false" outlineLevel="0" collapsed="false">
      <c r="A93" s="328" t="s">
        <v>716</v>
      </c>
      <c r="B93" s="328" t="s">
        <v>717</v>
      </c>
      <c r="C93" s="328" t="s">
        <v>718</v>
      </c>
      <c r="D93" s="328" t="s">
        <v>335</v>
      </c>
      <c r="E93" s="328" t="s">
        <v>719</v>
      </c>
      <c r="F93" s="328" t="s">
        <v>337</v>
      </c>
      <c r="G93" s="328" t="s">
        <v>368</v>
      </c>
      <c r="H93" s="328" t="s">
        <v>362</v>
      </c>
      <c r="I93" s="329" t="n">
        <v>1.75405697800216</v>
      </c>
      <c r="J93" s="329" t="n">
        <v>18.054645</v>
      </c>
      <c r="K93" s="329" t="n">
        <v>5.289617</v>
      </c>
      <c r="L93" s="329" t="n">
        <v>1.715847</v>
      </c>
      <c r="M93" s="329" t="n">
        <v>1.180328</v>
      </c>
      <c r="N93" s="329" t="n">
        <v>3.240437</v>
      </c>
      <c r="O93" s="329" t="n">
        <v>19.617486</v>
      </c>
      <c r="P93" s="329" t="n">
        <v>0.131148</v>
      </c>
      <c r="Q93" s="329" t="n">
        <v>3.251366</v>
      </c>
      <c r="R93" s="329" t="n">
        <v>0.994536</v>
      </c>
      <c r="S93" s="329" t="n">
        <v>1.387978</v>
      </c>
      <c r="T93" s="329" t="n">
        <v>1.759563</v>
      </c>
      <c r="U93" s="329" t="n">
        <v>22.098361</v>
      </c>
      <c r="V93" s="329" t="n">
        <v>17.775956</v>
      </c>
      <c r="W93" s="328"/>
      <c r="X93" s="330" t="s">
        <v>539</v>
      </c>
      <c r="Y93" s="331" t="n">
        <v>45785</v>
      </c>
      <c r="Z93" s="328" t="s">
        <v>379</v>
      </c>
      <c r="AA93" s="328" t="s">
        <v>342</v>
      </c>
    </row>
    <row r="94" customFormat="false" ht="15" hidden="false" customHeight="false" outlineLevel="0" collapsed="false">
      <c r="A94" s="328" t="s">
        <v>720</v>
      </c>
      <c r="B94" s="328" t="s">
        <v>721</v>
      </c>
      <c r="C94" s="328" t="s">
        <v>722</v>
      </c>
      <c r="D94" s="328" t="s">
        <v>723</v>
      </c>
      <c r="E94" s="328" t="s">
        <v>724</v>
      </c>
      <c r="F94" s="328" t="s">
        <v>432</v>
      </c>
      <c r="G94" s="328" t="s">
        <v>361</v>
      </c>
      <c r="H94" s="328" t="s">
        <v>362</v>
      </c>
      <c r="I94" s="329" t="n">
        <v>22.0322580645161</v>
      </c>
      <c r="J94" s="329" t="n">
        <v>18.36612</v>
      </c>
      <c r="K94" s="329" t="n">
        <v>5.737705</v>
      </c>
      <c r="L94" s="329" t="n">
        <v>8.770492</v>
      </c>
      <c r="M94" s="329" t="n">
        <v>11.240437</v>
      </c>
      <c r="N94" s="329" t="n">
        <v>22.071038</v>
      </c>
      <c r="O94" s="329" t="n">
        <v>20.945355</v>
      </c>
      <c r="P94" s="329" t="n">
        <v>0.360656</v>
      </c>
      <c r="Q94" s="329" t="n">
        <v>0.737705</v>
      </c>
      <c r="R94" s="329" t="n">
        <v>12.349727</v>
      </c>
      <c r="S94" s="329" t="n">
        <v>5.240437</v>
      </c>
      <c r="T94" s="329" t="n">
        <v>8.84153</v>
      </c>
      <c r="U94" s="329" t="n">
        <v>17.68306</v>
      </c>
      <c r="V94" s="329" t="n">
        <v>22.153005</v>
      </c>
      <c r="W94" s="328"/>
      <c r="X94" s="330" t="s">
        <v>438</v>
      </c>
      <c r="Y94" s="331" t="s">
        <v>363</v>
      </c>
      <c r="Z94" s="328" t="s">
        <v>440</v>
      </c>
      <c r="AA94" s="328" t="s">
        <v>342</v>
      </c>
    </row>
    <row r="95" customFormat="false" ht="15" hidden="false" customHeight="false" outlineLevel="0" collapsed="false">
      <c r="A95" s="328" t="s">
        <v>186</v>
      </c>
      <c r="B95" s="328" t="s">
        <v>725</v>
      </c>
      <c r="C95" s="328" t="s">
        <v>726</v>
      </c>
      <c r="D95" s="328" t="s">
        <v>727</v>
      </c>
      <c r="E95" s="328" t="s">
        <v>728</v>
      </c>
      <c r="F95" s="328" t="s">
        <v>471</v>
      </c>
      <c r="G95" s="328" t="s">
        <v>361</v>
      </c>
      <c r="H95" s="328" t="s">
        <v>362</v>
      </c>
      <c r="I95" s="329" t="n">
        <v>26.0143884892086</v>
      </c>
      <c r="J95" s="329" t="n">
        <v>38.371585</v>
      </c>
      <c r="K95" s="329" t="n">
        <v>19.360656</v>
      </c>
      <c r="L95" s="329" t="n">
        <v>20.344262</v>
      </c>
      <c r="M95" s="329" t="n">
        <v>11.234973</v>
      </c>
      <c r="N95" s="329" t="n">
        <v>24.983607</v>
      </c>
      <c r="O95" s="329" t="n">
        <v>46.060109</v>
      </c>
      <c r="P95" s="329" t="n">
        <v>3.672131</v>
      </c>
      <c r="Q95" s="329" t="n">
        <v>14.595628</v>
      </c>
      <c r="R95" s="329" t="n">
        <v>16.464481</v>
      </c>
      <c r="S95" s="329" t="n">
        <v>5.262295</v>
      </c>
      <c r="T95" s="329" t="n">
        <v>13.136612</v>
      </c>
      <c r="U95" s="329" t="n">
        <v>54.448088</v>
      </c>
      <c r="V95" s="329" t="n">
        <v>50.595628</v>
      </c>
      <c r="W95" s="328"/>
      <c r="X95" s="330" t="s">
        <v>340</v>
      </c>
      <c r="Y95" s="331" t="s">
        <v>363</v>
      </c>
      <c r="Z95" s="328" t="s">
        <v>379</v>
      </c>
      <c r="AA95" s="328" t="s">
        <v>342</v>
      </c>
    </row>
    <row r="96" customFormat="false" ht="15" hidden="false" customHeight="false" outlineLevel="0" collapsed="false">
      <c r="A96" s="328" t="s">
        <v>729</v>
      </c>
      <c r="B96" s="328" t="s">
        <v>730</v>
      </c>
      <c r="C96" s="328" t="s">
        <v>731</v>
      </c>
      <c r="D96" s="328" t="s">
        <v>732</v>
      </c>
      <c r="E96" s="328" t="s">
        <v>733</v>
      </c>
      <c r="F96" s="328" t="s">
        <v>450</v>
      </c>
      <c r="G96" s="328" t="s">
        <v>392</v>
      </c>
      <c r="H96" s="328" t="s">
        <v>362</v>
      </c>
      <c r="I96" s="329" t="n">
        <v>62.7700534759358</v>
      </c>
      <c r="J96" s="329" t="n">
        <v>26.142077</v>
      </c>
      <c r="K96" s="329" t="n">
        <v>27.972678</v>
      </c>
      <c r="L96" s="329" t="n">
        <v>13.562842</v>
      </c>
      <c r="M96" s="329" t="n">
        <v>5.781421</v>
      </c>
      <c r="N96" s="329" t="n">
        <v>19.125683</v>
      </c>
      <c r="O96" s="329" t="n">
        <v>43.885246</v>
      </c>
      <c r="P96" s="329" t="n">
        <v>0.174863</v>
      </c>
      <c r="Q96" s="329" t="n">
        <v>10.273224</v>
      </c>
      <c r="R96" s="329" t="n">
        <v>13.743169</v>
      </c>
      <c r="S96" s="329" t="n">
        <v>5.229508</v>
      </c>
      <c r="T96" s="329" t="n">
        <v>2.956284</v>
      </c>
      <c r="U96" s="329" t="n">
        <v>51.530055</v>
      </c>
      <c r="V96" s="329" t="n">
        <v>43.459016</v>
      </c>
      <c r="W96" s="328"/>
      <c r="X96" s="330"/>
      <c r="Y96" s="330"/>
      <c r="Z96" s="328"/>
      <c r="AA96" s="328"/>
    </row>
    <row r="97" customFormat="false" ht="15" hidden="false" customHeight="false" outlineLevel="0" collapsed="false">
      <c r="A97" s="328" t="s">
        <v>734</v>
      </c>
      <c r="B97" s="328" t="s">
        <v>735</v>
      </c>
      <c r="C97" s="328" t="s">
        <v>736</v>
      </c>
      <c r="D97" s="328" t="s">
        <v>402</v>
      </c>
      <c r="E97" s="328" t="s">
        <v>737</v>
      </c>
      <c r="F97" s="328" t="s">
        <v>404</v>
      </c>
      <c r="G97" s="328" t="s">
        <v>361</v>
      </c>
      <c r="H97" s="328" t="s">
        <v>362</v>
      </c>
      <c r="I97" s="329" t="n">
        <v>60.5311827956989</v>
      </c>
      <c r="J97" s="329" t="n">
        <v>123.928962</v>
      </c>
      <c r="K97" s="329" t="n">
        <v>19.387978</v>
      </c>
      <c r="L97" s="329" t="n">
        <v>19.896175</v>
      </c>
      <c r="M97" s="329" t="n">
        <v>8.939891</v>
      </c>
      <c r="N97" s="329" t="n">
        <v>32.322404</v>
      </c>
      <c r="O97" s="329" t="n">
        <v>137.508197</v>
      </c>
      <c r="P97" s="329" t="n">
        <v>0.284153</v>
      </c>
      <c r="Q97" s="329" t="n">
        <v>2.038251</v>
      </c>
      <c r="R97" s="329" t="n">
        <v>15.830601</v>
      </c>
      <c r="S97" s="329" t="n">
        <v>8.398907</v>
      </c>
      <c r="T97" s="329" t="n">
        <v>13.497268</v>
      </c>
      <c r="U97" s="329" t="n">
        <v>134.426229</v>
      </c>
      <c r="V97" s="329" t="n">
        <v>81.726776</v>
      </c>
      <c r="W97" s="328"/>
      <c r="X97" s="330"/>
      <c r="Y97" s="330" t="s">
        <v>363</v>
      </c>
      <c r="Z97" s="328"/>
      <c r="AA97" s="328"/>
    </row>
    <row r="98" customFormat="false" ht="15" hidden="false" customHeight="false" outlineLevel="0" collapsed="false">
      <c r="A98" s="328" t="s">
        <v>738</v>
      </c>
      <c r="B98" s="328" t="s">
        <v>739</v>
      </c>
      <c r="C98" s="328" t="s">
        <v>740</v>
      </c>
      <c r="D98" s="328" t="s">
        <v>396</v>
      </c>
      <c r="E98" s="328" t="s">
        <v>741</v>
      </c>
      <c r="F98" s="328" t="s">
        <v>742</v>
      </c>
      <c r="G98" s="328" t="s">
        <v>348</v>
      </c>
      <c r="H98" s="328" t="s">
        <v>362</v>
      </c>
      <c r="I98" s="329" t="n">
        <v>47.1524786324786</v>
      </c>
      <c r="J98" s="329" t="n">
        <v>532.923497</v>
      </c>
      <c r="K98" s="329" t="n">
        <v>200.546448</v>
      </c>
      <c r="L98" s="329" t="n">
        <v>72.377049</v>
      </c>
      <c r="M98" s="329" t="n">
        <v>40.081967</v>
      </c>
      <c r="N98" s="329" t="n">
        <v>148.530055</v>
      </c>
      <c r="O98" s="329" t="n">
        <v>409.010929</v>
      </c>
      <c r="P98" s="329" t="n">
        <v>40.300546</v>
      </c>
      <c r="Q98" s="329" t="n">
        <v>248.087432</v>
      </c>
      <c r="R98" s="329" t="n">
        <v>104.814208</v>
      </c>
      <c r="S98" s="329" t="n">
        <v>46.382514</v>
      </c>
      <c r="T98" s="329" t="n">
        <v>64.584699</v>
      </c>
      <c r="U98" s="329" t="n">
        <v>630.147541</v>
      </c>
      <c r="V98" s="329" t="n">
        <v>520.213115</v>
      </c>
      <c r="W98" s="329" t="n">
        <v>750</v>
      </c>
      <c r="X98" s="330" t="s">
        <v>340</v>
      </c>
      <c r="Y98" s="331" t="n">
        <v>45687</v>
      </c>
      <c r="Z98" s="328" t="s">
        <v>341</v>
      </c>
      <c r="AA98" s="328" t="s">
        <v>342</v>
      </c>
    </row>
    <row r="99" customFormat="false" ht="15" hidden="false" customHeight="false" outlineLevel="0" collapsed="false">
      <c r="A99" s="328" t="s">
        <v>743</v>
      </c>
      <c r="B99" s="328" t="s">
        <v>744</v>
      </c>
      <c r="C99" s="328" t="s">
        <v>745</v>
      </c>
      <c r="D99" s="328" t="s">
        <v>396</v>
      </c>
      <c r="E99" s="328" t="s">
        <v>746</v>
      </c>
      <c r="F99" s="328" t="s">
        <v>742</v>
      </c>
      <c r="G99" s="328" t="s">
        <v>338</v>
      </c>
      <c r="H99" s="328" t="s">
        <v>339</v>
      </c>
      <c r="I99" s="329" t="n">
        <v>69.7075773745998</v>
      </c>
      <c r="J99" s="329" t="n">
        <v>302.382514</v>
      </c>
      <c r="K99" s="329" t="n">
        <v>345.491803</v>
      </c>
      <c r="L99" s="329" t="n">
        <v>161.338798</v>
      </c>
      <c r="M99" s="329" t="n">
        <v>61.098361</v>
      </c>
      <c r="N99" s="329" t="n">
        <v>240.431694</v>
      </c>
      <c r="O99" s="329" t="n">
        <v>629.879781</v>
      </c>
      <c r="P99" s="329" t="n">
        <v>0</v>
      </c>
      <c r="Q99" s="329" t="n">
        <v>0</v>
      </c>
      <c r="R99" s="329" t="n">
        <v>102.923497</v>
      </c>
      <c r="S99" s="329" t="n">
        <v>77</v>
      </c>
      <c r="T99" s="329" t="n">
        <v>100.934426</v>
      </c>
      <c r="U99" s="329" t="n">
        <v>589.453552</v>
      </c>
      <c r="V99" s="329" t="n">
        <v>446.081967</v>
      </c>
      <c r="W99" s="329" t="n">
        <v>350</v>
      </c>
      <c r="X99" s="330" t="s">
        <v>340</v>
      </c>
      <c r="Y99" s="331" t="n">
        <v>46009</v>
      </c>
      <c r="Z99" s="328" t="s">
        <v>589</v>
      </c>
      <c r="AA99" s="328" t="s">
        <v>342</v>
      </c>
    </row>
    <row r="100" customFormat="false" ht="15" hidden="false" customHeight="false" outlineLevel="0" collapsed="false">
      <c r="A100" s="328" t="s">
        <v>747</v>
      </c>
      <c r="B100" s="328" t="s">
        <v>748</v>
      </c>
      <c r="C100" s="328" t="s">
        <v>749</v>
      </c>
      <c r="D100" s="328" t="s">
        <v>345</v>
      </c>
      <c r="E100" s="328" t="s">
        <v>750</v>
      </c>
      <c r="F100" s="328" t="s">
        <v>751</v>
      </c>
      <c r="G100" s="328" t="s">
        <v>348</v>
      </c>
      <c r="H100" s="328" t="s">
        <v>362</v>
      </c>
      <c r="I100" s="329" t="n">
        <v>68.7849223946785</v>
      </c>
      <c r="J100" s="329" t="n">
        <v>518.814208</v>
      </c>
      <c r="K100" s="329" t="n">
        <v>44.972678</v>
      </c>
      <c r="L100" s="329" t="n">
        <v>36.060109</v>
      </c>
      <c r="M100" s="329" t="n">
        <v>57.715847</v>
      </c>
      <c r="N100" s="329" t="n">
        <v>88.42623</v>
      </c>
      <c r="O100" s="329" t="n">
        <v>513.726776</v>
      </c>
      <c r="P100" s="329" t="n">
        <v>2.295082</v>
      </c>
      <c r="Q100" s="329" t="n">
        <v>53.114754</v>
      </c>
      <c r="R100" s="329" t="n">
        <v>48.754098</v>
      </c>
      <c r="S100" s="329" t="n">
        <v>26.939891</v>
      </c>
      <c r="T100" s="329" t="n">
        <v>32.393443</v>
      </c>
      <c r="U100" s="329" t="n">
        <v>549.47541</v>
      </c>
      <c r="V100" s="329" t="n">
        <v>280.437158</v>
      </c>
      <c r="W100" s="329" t="n">
        <v>640</v>
      </c>
      <c r="X100" s="330" t="s">
        <v>340</v>
      </c>
      <c r="Y100" s="331" t="n">
        <v>45673</v>
      </c>
      <c r="Z100" s="328" t="s">
        <v>341</v>
      </c>
      <c r="AA100" s="328" t="s">
        <v>342</v>
      </c>
    </row>
    <row r="101" customFormat="false" ht="15" hidden="false" customHeight="false" outlineLevel="0" collapsed="false">
      <c r="A101" s="328" t="s">
        <v>752</v>
      </c>
      <c r="B101" s="328" t="s">
        <v>753</v>
      </c>
      <c r="C101" s="328" t="s">
        <v>754</v>
      </c>
      <c r="D101" s="328" t="s">
        <v>650</v>
      </c>
      <c r="E101" s="328" t="s">
        <v>755</v>
      </c>
      <c r="F101" s="328" t="s">
        <v>652</v>
      </c>
      <c r="G101" s="328" t="s">
        <v>361</v>
      </c>
      <c r="H101" s="328" t="s">
        <v>362</v>
      </c>
      <c r="I101" s="329" t="n">
        <v>14.0678466076696</v>
      </c>
      <c r="J101" s="329" t="n">
        <v>105.20765</v>
      </c>
      <c r="K101" s="329" t="n">
        <v>22.786885</v>
      </c>
      <c r="L101" s="329" t="n">
        <v>22.278689</v>
      </c>
      <c r="M101" s="329" t="n">
        <v>16.469945</v>
      </c>
      <c r="N101" s="329" t="n">
        <v>31.857923</v>
      </c>
      <c r="O101" s="329" t="n">
        <v>119.289617</v>
      </c>
      <c r="P101" s="329" t="n">
        <v>1.142077</v>
      </c>
      <c r="Q101" s="329" t="n">
        <v>14.453552</v>
      </c>
      <c r="R101" s="329" t="n">
        <v>14.448087</v>
      </c>
      <c r="S101" s="329" t="n">
        <v>12.661202</v>
      </c>
      <c r="T101" s="329" t="n">
        <v>21.775956</v>
      </c>
      <c r="U101" s="329" t="n">
        <v>117.857923</v>
      </c>
      <c r="V101" s="329" t="n">
        <v>72.754098</v>
      </c>
      <c r="W101" s="328"/>
      <c r="X101" s="330" t="s">
        <v>515</v>
      </c>
      <c r="Y101" s="332" t="n">
        <v>45973</v>
      </c>
      <c r="Z101" s="328"/>
      <c r="AA101" s="328"/>
    </row>
    <row r="102" customFormat="false" ht="15" hidden="false" customHeight="false" outlineLevel="0" collapsed="false">
      <c r="A102" s="328" t="s">
        <v>190</v>
      </c>
      <c r="B102" s="328" t="s">
        <v>756</v>
      </c>
      <c r="C102" s="328" t="s">
        <v>757</v>
      </c>
      <c r="D102" s="328" t="s">
        <v>352</v>
      </c>
      <c r="E102" s="328" t="s">
        <v>758</v>
      </c>
      <c r="F102" s="328" t="s">
        <v>337</v>
      </c>
      <c r="G102" s="328" t="s">
        <v>368</v>
      </c>
      <c r="H102" s="328" t="s">
        <v>339</v>
      </c>
      <c r="I102" s="329" t="n">
        <v>33.499585553582</v>
      </c>
      <c r="J102" s="329" t="n">
        <v>886.021858</v>
      </c>
      <c r="K102" s="329" t="n">
        <v>168.677596</v>
      </c>
      <c r="L102" s="329" t="n">
        <v>86.180328</v>
      </c>
      <c r="M102" s="329" t="n">
        <v>56.131148</v>
      </c>
      <c r="N102" s="329" t="n">
        <v>156.617486</v>
      </c>
      <c r="O102" s="329" t="n">
        <v>1040.36612</v>
      </c>
      <c r="P102" s="329" t="n">
        <v>0</v>
      </c>
      <c r="Q102" s="329" t="n">
        <v>0.027322</v>
      </c>
      <c r="R102" s="329" t="n">
        <v>72.63388</v>
      </c>
      <c r="S102" s="329" t="n">
        <v>45.972678</v>
      </c>
      <c r="T102" s="329" t="n">
        <v>88.147541</v>
      </c>
      <c r="U102" s="329" t="n">
        <v>990.256831</v>
      </c>
      <c r="V102" s="329" t="n">
        <v>866.912568</v>
      </c>
      <c r="W102" s="329" t="n">
        <v>500</v>
      </c>
      <c r="X102" s="330" t="s">
        <v>340</v>
      </c>
      <c r="Y102" s="331" t="n">
        <v>46052</v>
      </c>
      <c r="Z102" s="328" t="s">
        <v>341</v>
      </c>
      <c r="AA102" s="328" t="s">
        <v>342</v>
      </c>
    </row>
    <row r="103" customFormat="false" ht="15" hidden="false" customHeight="false" outlineLevel="0" collapsed="false">
      <c r="A103" s="328" t="s">
        <v>759</v>
      </c>
      <c r="B103" s="328" t="s">
        <v>760</v>
      </c>
      <c r="C103" s="328" t="s">
        <v>761</v>
      </c>
      <c r="D103" s="328" t="s">
        <v>629</v>
      </c>
      <c r="E103" s="328" t="s">
        <v>762</v>
      </c>
      <c r="F103" s="328" t="s">
        <v>471</v>
      </c>
      <c r="G103" s="328" t="s">
        <v>368</v>
      </c>
      <c r="H103" s="328" t="s">
        <v>362</v>
      </c>
      <c r="I103" s="329" t="n">
        <v>5.46413502109705</v>
      </c>
      <c r="J103" s="329" t="n">
        <v>2.972678</v>
      </c>
      <c r="K103" s="329" t="n">
        <v>3.224044</v>
      </c>
      <c r="L103" s="329" t="n">
        <v>0.409836</v>
      </c>
      <c r="M103" s="329" t="n">
        <v>0.557377</v>
      </c>
      <c r="N103" s="329" t="n">
        <v>1.672131</v>
      </c>
      <c r="O103" s="329" t="n">
        <v>5.36612</v>
      </c>
      <c r="P103" s="329" t="n">
        <v>0</v>
      </c>
      <c r="Q103" s="329" t="n">
        <v>0.125683</v>
      </c>
      <c r="R103" s="329" t="n">
        <v>0.486339</v>
      </c>
      <c r="S103" s="329" t="n">
        <v>1.027322</v>
      </c>
      <c r="T103" s="329" t="n">
        <v>2.076503</v>
      </c>
      <c r="U103" s="329" t="n">
        <v>3.57377</v>
      </c>
      <c r="V103" s="329" t="n">
        <v>3.256831</v>
      </c>
      <c r="W103" s="328"/>
      <c r="X103" s="330" t="s">
        <v>340</v>
      </c>
      <c r="Y103" s="331" t="s">
        <v>363</v>
      </c>
      <c r="Z103" s="328" t="s">
        <v>379</v>
      </c>
      <c r="AA103" s="328" t="s">
        <v>342</v>
      </c>
    </row>
    <row r="104" customFormat="false" ht="15" hidden="false" customHeight="false" outlineLevel="0" collapsed="false">
      <c r="A104" s="328" t="s">
        <v>763</v>
      </c>
      <c r="B104" s="328" t="s">
        <v>764</v>
      </c>
      <c r="C104" s="328" t="s">
        <v>765</v>
      </c>
      <c r="D104" s="328" t="s">
        <v>396</v>
      </c>
      <c r="E104" s="328" t="s">
        <v>766</v>
      </c>
      <c r="F104" s="328" t="s">
        <v>742</v>
      </c>
      <c r="G104" s="328" t="s">
        <v>368</v>
      </c>
      <c r="H104" s="328" t="s">
        <v>339</v>
      </c>
      <c r="I104" s="329" t="n">
        <v>49.159558604235</v>
      </c>
      <c r="J104" s="329" t="n">
        <v>612.52459</v>
      </c>
      <c r="K104" s="329" t="n">
        <v>241.672131</v>
      </c>
      <c r="L104" s="329" t="n">
        <v>43.945355</v>
      </c>
      <c r="M104" s="329" t="n">
        <v>54.836066</v>
      </c>
      <c r="N104" s="329" t="n">
        <v>148.251366</v>
      </c>
      <c r="O104" s="329" t="n">
        <v>804.726776</v>
      </c>
      <c r="P104" s="329" t="n">
        <v>0</v>
      </c>
      <c r="Q104" s="329" t="n">
        <v>0</v>
      </c>
      <c r="R104" s="329" t="n">
        <v>67.994536</v>
      </c>
      <c r="S104" s="329" t="n">
        <v>44.699454</v>
      </c>
      <c r="T104" s="329" t="n">
        <v>76.557377</v>
      </c>
      <c r="U104" s="329" t="n">
        <v>763.726776</v>
      </c>
      <c r="V104" s="329" t="n">
        <v>493.15847</v>
      </c>
      <c r="W104" s="328"/>
      <c r="X104" s="330" t="s">
        <v>340</v>
      </c>
      <c r="Y104" s="331" t="n">
        <v>45645</v>
      </c>
      <c r="Z104" s="328" t="s">
        <v>379</v>
      </c>
      <c r="AA104" s="328" t="s">
        <v>342</v>
      </c>
    </row>
    <row r="105" customFormat="false" ht="15" hidden="false" customHeight="false" outlineLevel="0" collapsed="false">
      <c r="A105" s="328" t="s">
        <v>767</v>
      </c>
      <c r="B105" s="328" t="s">
        <v>768</v>
      </c>
      <c r="C105" s="328" t="s">
        <v>769</v>
      </c>
      <c r="D105" s="328" t="s">
        <v>372</v>
      </c>
      <c r="E105" s="328" t="s">
        <v>770</v>
      </c>
      <c r="F105" s="328" t="s">
        <v>374</v>
      </c>
      <c r="G105" s="328" t="s">
        <v>771</v>
      </c>
      <c r="H105" s="328" t="s">
        <v>339</v>
      </c>
      <c r="I105" s="329" t="n">
        <v>30.3233082706767</v>
      </c>
      <c r="J105" s="329" t="n">
        <v>7.595628</v>
      </c>
      <c r="K105" s="329" t="n">
        <v>2.754098</v>
      </c>
      <c r="L105" s="329" t="n">
        <v>1.759563</v>
      </c>
      <c r="M105" s="329" t="n">
        <v>2.371585</v>
      </c>
      <c r="N105" s="329" t="n">
        <v>3.415301</v>
      </c>
      <c r="O105" s="329" t="n">
        <v>11.065574</v>
      </c>
      <c r="P105" s="329" t="n">
        <v>0</v>
      </c>
      <c r="Q105" s="329" t="n">
        <v>0</v>
      </c>
      <c r="R105" s="329" t="n">
        <v>2.349727</v>
      </c>
      <c r="S105" s="329" t="n">
        <v>0.497268</v>
      </c>
      <c r="T105" s="329" t="n">
        <v>0.836066</v>
      </c>
      <c r="U105" s="329" t="n">
        <v>10.797814</v>
      </c>
      <c r="V105" s="329" t="n">
        <v>13.63388</v>
      </c>
      <c r="W105" s="328"/>
      <c r="X105" s="330"/>
      <c r="Y105" s="330"/>
      <c r="Z105" s="328"/>
      <c r="AA105" s="328"/>
    </row>
    <row r="106" customFormat="false" ht="15" hidden="false" customHeight="false" outlineLevel="0" collapsed="false">
      <c r="A106" s="328" t="s">
        <v>772</v>
      </c>
      <c r="B106" s="328" t="s">
        <v>773</v>
      </c>
      <c r="C106" s="328" t="s">
        <v>774</v>
      </c>
      <c r="D106" s="328" t="s">
        <v>551</v>
      </c>
      <c r="E106" s="328" t="s">
        <v>775</v>
      </c>
      <c r="F106" s="328" t="s">
        <v>432</v>
      </c>
      <c r="G106" s="328" t="s">
        <v>368</v>
      </c>
      <c r="H106" s="328" t="s">
        <v>362</v>
      </c>
      <c r="I106" s="329" t="n">
        <v>28.3914405010438</v>
      </c>
      <c r="J106" s="329" t="n">
        <v>44.136612</v>
      </c>
      <c r="K106" s="329" t="n">
        <v>21.021858</v>
      </c>
      <c r="L106" s="329" t="n">
        <v>24.89071</v>
      </c>
      <c r="M106" s="329" t="n">
        <v>15.584699</v>
      </c>
      <c r="N106" s="329" t="n">
        <v>33.743169</v>
      </c>
      <c r="O106" s="329" t="n">
        <v>64.513661</v>
      </c>
      <c r="P106" s="329" t="n">
        <v>1.63388</v>
      </c>
      <c r="Q106" s="329" t="n">
        <v>5.743169</v>
      </c>
      <c r="R106" s="329" t="n">
        <v>20.26776</v>
      </c>
      <c r="S106" s="329" t="n">
        <v>11.10929</v>
      </c>
      <c r="T106" s="329" t="n">
        <v>11.038251</v>
      </c>
      <c r="U106" s="329" t="n">
        <v>63.218579</v>
      </c>
      <c r="V106" s="329" t="n">
        <v>60.377049</v>
      </c>
      <c r="W106" s="328"/>
      <c r="X106" s="330" t="s">
        <v>340</v>
      </c>
      <c r="Y106" s="331" t="n">
        <v>45729</v>
      </c>
      <c r="Z106" s="328" t="s">
        <v>379</v>
      </c>
      <c r="AA106" s="328" t="s">
        <v>342</v>
      </c>
    </row>
    <row r="107" customFormat="false" ht="15" hidden="false" customHeight="false" outlineLevel="0" collapsed="false">
      <c r="A107" s="328" t="s">
        <v>776</v>
      </c>
      <c r="B107" s="328" t="s">
        <v>777</v>
      </c>
      <c r="C107" s="328" t="s">
        <v>778</v>
      </c>
      <c r="D107" s="328" t="s">
        <v>396</v>
      </c>
      <c r="E107" s="328" t="s">
        <v>779</v>
      </c>
      <c r="F107" s="328" t="s">
        <v>594</v>
      </c>
      <c r="G107" s="328" t="s">
        <v>361</v>
      </c>
      <c r="H107" s="328" t="s">
        <v>362</v>
      </c>
      <c r="I107" s="329" t="n">
        <v>4.0983606557377</v>
      </c>
      <c r="J107" s="329" t="n">
        <v>0.142077</v>
      </c>
      <c r="K107" s="329" t="n">
        <v>1.081967</v>
      </c>
      <c r="L107" s="329" t="n">
        <v>0.491803</v>
      </c>
      <c r="M107" s="329" t="n">
        <v>0.666667</v>
      </c>
      <c r="N107" s="329" t="n">
        <v>2.262295</v>
      </c>
      <c r="O107" s="329" t="n">
        <v>0.098361</v>
      </c>
      <c r="P107" s="329" t="n">
        <v>0.021858</v>
      </c>
      <c r="Q107" s="329" t="n">
        <v>0</v>
      </c>
      <c r="R107" s="329" t="n">
        <v>1.005464</v>
      </c>
      <c r="S107" s="329" t="n">
        <v>1.131148</v>
      </c>
      <c r="T107" s="329" t="n">
        <v>0.191257</v>
      </c>
      <c r="U107" s="329" t="n">
        <v>0.054645</v>
      </c>
      <c r="V107" s="329" t="n">
        <v>2.076503</v>
      </c>
      <c r="W107" s="328"/>
      <c r="X107" s="330" t="s">
        <v>438</v>
      </c>
      <c r="Y107" s="331" t="s">
        <v>363</v>
      </c>
      <c r="Z107" s="328" t="s">
        <v>440</v>
      </c>
      <c r="AA107" s="328" t="s">
        <v>342</v>
      </c>
    </row>
    <row r="108" customFormat="false" ht="15" hidden="false" customHeight="false" outlineLevel="0" collapsed="false">
      <c r="A108" s="328" t="s">
        <v>780</v>
      </c>
      <c r="B108" s="328" t="s">
        <v>781</v>
      </c>
      <c r="C108" s="328" t="s">
        <v>778</v>
      </c>
      <c r="D108" s="328" t="s">
        <v>396</v>
      </c>
      <c r="E108" s="328" t="s">
        <v>779</v>
      </c>
      <c r="F108" s="328" t="s">
        <v>594</v>
      </c>
      <c r="G108" s="328" t="s">
        <v>338</v>
      </c>
      <c r="H108" s="328" t="s">
        <v>362</v>
      </c>
      <c r="I108" s="329" t="n">
        <v>51.0097909499868</v>
      </c>
      <c r="J108" s="329" t="n">
        <v>1071.885246</v>
      </c>
      <c r="K108" s="329" t="n">
        <v>84.650273</v>
      </c>
      <c r="L108" s="329" t="n">
        <v>3.961749</v>
      </c>
      <c r="M108" s="329" t="n">
        <v>1.349727</v>
      </c>
      <c r="N108" s="329" t="n">
        <v>32.868852</v>
      </c>
      <c r="O108" s="329" t="n">
        <v>775.84153</v>
      </c>
      <c r="P108" s="329" t="n">
        <v>28.289617</v>
      </c>
      <c r="Q108" s="329" t="n">
        <v>324.846995</v>
      </c>
      <c r="R108" s="329" t="n">
        <v>0.95082</v>
      </c>
      <c r="S108" s="329" t="n">
        <v>9.136612</v>
      </c>
      <c r="T108" s="329" t="n">
        <v>65.967213</v>
      </c>
      <c r="U108" s="329" t="n">
        <v>1085.79235</v>
      </c>
      <c r="V108" s="329" t="n">
        <v>520.114754</v>
      </c>
      <c r="W108" s="329" t="n">
        <v>928</v>
      </c>
      <c r="X108" s="330" t="s">
        <v>340</v>
      </c>
      <c r="Y108" s="331" t="s">
        <v>363</v>
      </c>
      <c r="Z108" s="328" t="s">
        <v>341</v>
      </c>
      <c r="AA108" s="328" t="s">
        <v>342</v>
      </c>
    </row>
    <row r="109" customFormat="false" ht="15" hidden="false" customHeight="false" outlineLevel="0" collapsed="false">
      <c r="A109" s="328" t="s">
        <v>782</v>
      </c>
      <c r="B109" s="328" t="s">
        <v>783</v>
      </c>
      <c r="C109" s="328" t="s">
        <v>784</v>
      </c>
      <c r="D109" s="328" t="s">
        <v>513</v>
      </c>
      <c r="E109" s="328" t="s">
        <v>785</v>
      </c>
      <c r="F109" s="328" t="s">
        <v>404</v>
      </c>
      <c r="G109" s="328" t="s">
        <v>368</v>
      </c>
      <c r="H109" s="328" t="s">
        <v>362</v>
      </c>
      <c r="I109" s="329" t="n">
        <v>21.7207843137255</v>
      </c>
      <c r="J109" s="329" t="n">
        <v>72.590164</v>
      </c>
      <c r="K109" s="329" t="n">
        <v>28.491803</v>
      </c>
      <c r="L109" s="329" t="n">
        <v>30.453552</v>
      </c>
      <c r="M109" s="329" t="n">
        <v>22.546448</v>
      </c>
      <c r="N109" s="329" t="n">
        <v>52.043716</v>
      </c>
      <c r="O109" s="329" t="n">
        <v>102.038251</v>
      </c>
      <c r="P109" s="329" t="n">
        <v>0</v>
      </c>
      <c r="Q109" s="329" t="n">
        <v>0</v>
      </c>
      <c r="R109" s="329" t="n">
        <v>24.180328</v>
      </c>
      <c r="S109" s="329" t="n">
        <v>14.819672</v>
      </c>
      <c r="T109" s="329" t="n">
        <v>24.868852</v>
      </c>
      <c r="U109" s="329" t="n">
        <v>90.213115</v>
      </c>
      <c r="V109" s="329" t="n">
        <v>93.224044</v>
      </c>
      <c r="W109" s="328"/>
      <c r="X109" s="330" t="s">
        <v>340</v>
      </c>
      <c r="Y109" s="331" t="n">
        <v>45722</v>
      </c>
      <c r="Z109" s="328" t="s">
        <v>379</v>
      </c>
      <c r="AA109" s="328" t="s">
        <v>342</v>
      </c>
    </row>
    <row r="110" customFormat="false" ht="15" hidden="false" customHeight="false" outlineLevel="0" collapsed="false">
      <c r="A110" s="328" t="s">
        <v>786</v>
      </c>
      <c r="B110" s="328" t="s">
        <v>787</v>
      </c>
      <c r="C110" s="328" t="s">
        <v>788</v>
      </c>
      <c r="D110" s="328" t="s">
        <v>402</v>
      </c>
      <c r="E110" s="328" t="s">
        <v>789</v>
      </c>
      <c r="F110" s="328" t="s">
        <v>404</v>
      </c>
      <c r="G110" s="328" t="s">
        <v>361</v>
      </c>
      <c r="H110" s="328" t="s">
        <v>339</v>
      </c>
      <c r="I110" s="329" t="n">
        <v>41.9713541666667</v>
      </c>
      <c r="J110" s="329" t="n">
        <v>68.10929</v>
      </c>
      <c r="K110" s="329" t="n">
        <v>24.73224</v>
      </c>
      <c r="L110" s="329" t="n">
        <v>18.508197</v>
      </c>
      <c r="M110" s="329" t="n">
        <v>7.240437</v>
      </c>
      <c r="N110" s="329" t="n">
        <v>32.677596</v>
      </c>
      <c r="O110" s="329" t="n">
        <v>85.213115</v>
      </c>
      <c r="P110" s="329" t="n">
        <v>0.092896</v>
      </c>
      <c r="Q110" s="329" t="n">
        <v>0.606557</v>
      </c>
      <c r="R110" s="329" t="n">
        <v>10.95082</v>
      </c>
      <c r="S110" s="329" t="n">
        <v>14.710383</v>
      </c>
      <c r="T110" s="329" t="n">
        <v>19.240437</v>
      </c>
      <c r="U110" s="329" t="n">
        <v>73.688525</v>
      </c>
      <c r="V110" s="329" t="n">
        <v>73.306011</v>
      </c>
      <c r="W110" s="328"/>
      <c r="X110" s="330"/>
      <c r="Y110" s="330" t="s">
        <v>363</v>
      </c>
      <c r="Z110" s="328"/>
      <c r="AA110" s="328"/>
    </row>
    <row r="111" customFormat="false" ht="15" hidden="false" customHeight="false" outlineLevel="0" collapsed="false">
      <c r="A111" s="328" t="s">
        <v>790</v>
      </c>
      <c r="B111" s="328" t="s">
        <v>791</v>
      </c>
      <c r="C111" s="328" t="s">
        <v>792</v>
      </c>
      <c r="D111" s="328" t="s">
        <v>793</v>
      </c>
      <c r="E111" s="328" t="s">
        <v>794</v>
      </c>
      <c r="F111" s="328" t="s">
        <v>337</v>
      </c>
      <c r="G111" s="328" t="s">
        <v>361</v>
      </c>
      <c r="H111" s="328" t="s">
        <v>362</v>
      </c>
      <c r="I111" s="329" t="n">
        <v>4.02551020408163</v>
      </c>
      <c r="J111" s="329" t="n">
        <v>22.26776</v>
      </c>
      <c r="K111" s="329" t="n">
        <v>3.092896</v>
      </c>
      <c r="L111" s="329" t="n">
        <v>3.666667</v>
      </c>
      <c r="M111" s="329" t="n">
        <v>1.704918</v>
      </c>
      <c r="N111" s="329" t="n">
        <v>5.333333</v>
      </c>
      <c r="O111" s="329" t="n">
        <v>18.562842</v>
      </c>
      <c r="P111" s="329" t="n">
        <v>0.857923</v>
      </c>
      <c r="Q111" s="329" t="n">
        <v>5.978142</v>
      </c>
      <c r="R111" s="329" t="n">
        <v>2.174863</v>
      </c>
      <c r="S111" s="329" t="n">
        <v>2.021858</v>
      </c>
      <c r="T111" s="329" t="n">
        <v>4.765027</v>
      </c>
      <c r="U111" s="329" t="n">
        <v>21.770492</v>
      </c>
      <c r="V111" s="329" t="n">
        <v>17.47541</v>
      </c>
      <c r="W111" s="328"/>
      <c r="X111" s="330" t="s">
        <v>340</v>
      </c>
      <c r="Y111" s="331" t="s">
        <v>363</v>
      </c>
      <c r="Z111" s="328" t="s">
        <v>379</v>
      </c>
      <c r="AA111" s="328" t="s">
        <v>342</v>
      </c>
    </row>
    <row r="112" customFormat="false" ht="15" hidden="false" customHeight="false" outlineLevel="0" collapsed="false">
      <c r="A112" s="328" t="s">
        <v>795</v>
      </c>
      <c r="B112" s="328" t="s">
        <v>796</v>
      </c>
      <c r="C112" s="328" t="s">
        <v>797</v>
      </c>
      <c r="D112" s="328" t="s">
        <v>372</v>
      </c>
      <c r="E112" s="328" t="s">
        <v>798</v>
      </c>
      <c r="F112" s="328" t="s">
        <v>374</v>
      </c>
      <c r="G112" s="328" t="s">
        <v>426</v>
      </c>
      <c r="H112" s="328" t="s">
        <v>339</v>
      </c>
      <c r="I112" s="329" t="n">
        <v>24.5834046193328</v>
      </c>
      <c r="J112" s="329" t="n">
        <v>160.076503</v>
      </c>
      <c r="K112" s="329" t="n">
        <v>91.644809</v>
      </c>
      <c r="L112" s="329" t="n">
        <v>292.15847</v>
      </c>
      <c r="M112" s="329" t="n">
        <v>316.229508</v>
      </c>
      <c r="N112" s="329" t="n">
        <v>377.409836</v>
      </c>
      <c r="O112" s="329" t="n">
        <v>482.699454</v>
      </c>
      <c r="P112" s="329" t="n">
        <v>0</v>
      </c>
      <c r="Q112" s="329" t="n">
        <v>0</v>
      </c>
      <c r="R112" s="329" t="n">
        <v>257.939891</v>
      </c>
      <c r="S112" s="329" t="n">
        <v>86.79235</v>
      </c>
      <c r="T112" s="329" t="n">
        <v>86.153005</v>
      </c>
      <c r="U112" s="329" t="n">
        <v>429.224044</v>
      </c>
      <c r="V112" s="329" t="n">
        <v>434.087432</v>
      </c>
      <c r="W112" s="329" t="n">
        <v>450</v>
      </c>
      <c r="X112" s="330" t="s">
        <v>340</v>
      </c>
      <c r="Y112" s="331" t="n">
        <v>45778</v>
      </c>
      <c r="Z112" s="328" t="s">
        <v>341</v>
      </c>
      <c r="AA112" s="328" t="s">
        <v>342</v>
      </c>
    </row>
    <row r="113" customFormat="false" ht="15" hidden="false" customHeight="false" outlineLevel="0" collapsed="false">
      <c r="A113" s="328" t="s">
        <v>799</v>
      </c>
      <c r="B113" s="328" t="s">
        <v>800</v>
      </c>
      <c r="C113" s="328" t="s">
        <v>801</v>
      </c>
      <c r="D113" s="328" t="s">
        <v>396</v>
      </c>
      <c r="E113" s="328" t="s">
        <v>802</v>
      </c>
      <c r="F113" s="328" t="s">
        <v>594</v>
      </c>
      <c r="G113" s="328" t="s">
        <v>361</v>
      </c>
      <c r="H113" s="328" t="s">
        <v>339</v>
      </c>
      <c r="I113" s="329" t="n">
        <v>53.1764705882353</v>
      </c>
      <c r="J113" s="329" t="n">
        <v>200.415301</v>
      </c>
      <c r="K113" s="329" t="n">
        <v>11.770492</v>
      </c>
      <c r="L113" s="329" t="n">
        <v>1.120219</v>
      </c>
      <c r="M113" s="329" t="n">
        <v>0</v>
      </c>
      <c r="N113" s="329" t="n">
        <v>16.032787</v>
      </c>
      <c r="O113" s="329" t="n">
        <v>196.612022</v>
      </c>
      <c r="P113" s="329" t="n">
        <v>0.153005</v>
      </c>
      <c r="Q113" s="329" t="n">
        <v>0.508197</v>
      </c>
      <c r="R113" s="329" t="n">
        <v>2.131148</v>
      </c>
      <c r="S113" s="329" t="n">
        <v>2.36612</v>
      </c>
      <c r="T113" s="329" t="n">
        <v>18.73224</v>
      </c>
      <c r="U113" s="329" t="n">
        <v>190.076503</v>
      </c>
      <c r="V113" s="329" t="n">
        <v>114.704918</v>
      </c>
      <c r="W113" s="328"/>
      <c r="X113" s="330" t="s">
        <v>539</v>
      </c>
      <c r="Y113" s="332" t="n">
        <v>46030</v>
      </c>
      <c r="Z113" s="328" t="s">
        <v>516</v>
      </c>
      <c r="AA113" s="328" t="s">
        <v>342</v>
      </c>
    </row>
    <row r="114" customFormat="false" ht="15" hidden="false" customHeight="false" outlineLevel="0" collapsed="false">
      <c r="A114" s="328" t="s">
        <v>803</v>
      </c>
      <c r="B114" s="328" t="s">
        <v>804</v>
      </c>
      <c r="C114" s="328" t="s">
        <v>805</v>
      </c>
      <c r="D114" s="328" t="s">
        <v>352</v>
      </c>
      <c r="E114" s="328" t="s">
        <v>806</v>
      </c>
      <c r="F114" s="328" t="s">
        <v>337</v>
      </c>
      <c r="G114" s="328" t="s">
        <v>368</v>
      </c>
      <c r="H114" s="328" t="s">
        <v>362</v>
      </c>
      <c r="I114" s="329" t="n">
        <v>3.27536231884058</v>
      </c>
      <c r="J114" s="329" t="n">
        <v>1.721311</v>
      </c>
      <c r="K114" s="329" t="n">
        <v>0.349727</v>
      </c>
      <c r="L114" s="329" t="n">
        <v>0.57377</v>
      </c>
      <c r="M114" s="329" t="n">
        <v>0.021858</v>
      </c>
      <c r="N114" s="329" t="n">
        <v>0.617486</v>
      </c>
      <c r="O114" s="329" t="n">
        <v>2.04918</v>
      </c>
      <c r="P114" s="329" t="n">
        <v>0</v>
      </c>
      <c r="Q114" s="329" t="n">
        <v>0</v>
      </c>
      <c r="R114" s="329" t="n">
        <v>0.295082</v>
      </c>
      <c r="S114" s="329" t="n">
        <v>0.322404</v>
      </c>
      <c r="T114" s="329" t="n">
        <v>0.153005</v>
      </c>
      <c r="U114" s="329" t="n">
        <v>1.896175</v>
      </c>
      <c r="V114" s="329" t="n">
        <v>1.754098</v>
      </c>
      <c r="W114" s="329" t="n">
        <v>96</v>
      </c>
      <c r="X114" s="330"/>
      <c r="Y114" s="330" t="s">
        <v>363</v>
      </c>
      <c r="Z114" s="328"/>
      <c r="AA114" s="328"/>
    </row>
    <row r="115" customFormat="false" ht="15" hidden="false" customHeight="false" outlineLevel="0" collapsed="false">
      <c r="A115" s="328" t="s">
        <v>807</v>
      </c>
      <c r="B115" s="328" t="s">
        <v>808</v>
      </c>
      <c r="C115" s="328" t="s">
        <v>809</v>
      </c>
      <c r="D115" s="328" t="s">
        <v>810</v>
      </c>
      <c r="E115" s="328" t="s">
        <v>811</v>
      </c>
      <c r="F115" s="328" t="s">
        <v>578</v>
      </c>
      <c r="G115" s="328" t="s">
        <v>361</v>
      </c>
      <c r="H115" s="328" t="s">
        <v>362</v>
      </c>
      <c r="I115" s="329" t="n">
        <v>2.27217125382263</v>
      </c>
      <c r="J115" s="329" t="n">
        <v>2.459016</v>
      </c>
      <c r="K115" s="329" t="n">
        <v>0.371585</v>
      </c>
      <c r="L115" s="329" t="n">
        <v>1.087432</v>
      </c>
      <c r="M115" s="329" t="n">
        <v>0.256831</v>
      </c>
      <c r="N115" s="329" t="n">
        <v>0.519126</v>
      </c>
      <c r="O115" s="329" t="n">
        <v>3.486339</v>
      </c>
      <c r="P115" s="329" t="n">
        <v>0.027322</v>
      </c>
      <c r="Q115" s="329" t="n">
        <v>0.142077</v>
      </c>
      <c r="R115" s="329" t="n">
        <v>0.284153</v>
      </c>
      <c r="S115" s="329" t="n">
        <v>0.234973</v>
      </c>
      <c r="T115" s="329" t="n">
        <v>0.437158</v>
      </c>
      <c r="U115" s="329" t="n">
        <v>3.218579</v>
      </c>
      <c r="V115" s="329" t="n">
        <v>1.721311</v>
      </c>
      <c r="W115" s="328"/>
      <c r="X115" s="330"/>
      <c r="Y115" s="330"/>
      <c r="Z115" s="328"/>
      <c r="AA115" s="328"/>
    </row>
    <row r="116" customFormat="false" ht="15" hidden="false" customHeight="false" outlineLevel="0" collapsed="false">
      <c r="A116" s="328" t="s">
        <v>812</v>
      </c>
      <c r="B116" s="328" t="s">
        <v>813</v>
      </c>
      <c r="C116" s="328" t="s">
        <v>814</v>
      </c>
      <c r="D116" s="328" t="s">
        <v>396</v>
      </c>
      <c r="E116" s="328" t="s">
        <v>815</v>
      </c>
      <c r="F116" s="328" t="s">
        <v>538</v>
      </c>
      <c r="G116" s="328" t="s">
        <v>338</v>
      </c>
      <c r="H116" s="328" t="s">
        <v>362</v>
      </c>
      <c r="I116" s="329" t="n">
        <v>54.1828326180257</v>
      </c>
      <c r="J116" s="329" t="n">
        <v>306.967213</v>
      </c>
      <c r="K116" s="329" t="n">
        <v>19.748634</v>
      </c>
      <c r="L116" s="329" t="n">
        <v>15.185792</v>
      </c>
      <c r="M116" s="329" t="n">
        <v>11.136612</v>
      </c>
      <c r="N116" s="329" t="n">
        <v>0</v>
      </c>
      <c r="O116" s="329" t="n">
        <v>1.300546</v>
      </c>
      <c r="P116" s="329" t="n">
        <v>16.836066</v>
      </c>
      <c r="Q116" s="329" t="n">
        <v>334.901639</v>
      </c>
      <c r="R116" s="329" t="n">
        <v>6.31694</v>
      </c>
      <c r="S116" s="329" t="n">
        <v>8.68306</v>
      </c>
      <c r="T116" s="329" t="n">
        <v>12.038251</v>
      </c>
      <c r="U116" s="329" t="n">
        <v>326</v>
      </c>
      <c r="V116" s="329" t="n">
        <v>215.420765</v>
      </c>
      <c r="W116" s="328"/>
      <c r="X116" s="330" t="s">
        <v>340</v>
      </c>
      <c r="Y116" s="331" t="n">
        <v>46037</v>
      </c>
      <c r="Z116" s="328" t="s">
        <v>589</v>
      </c>
      <c r="AA116" s="328" t="s">
        <v>342</v>
      </c>
    </row>
    <row r="117" customFormat="false" ht="15" hidden="false" customHeight="false" outlineLevel="0" collapsed="false">
      <c r="A117" s="328" t="s">
        <v>816</v>
      </c>
      <c r="B117" s="328" t="s">
        <v>817</v>
      </c>
      <c r="C117" s="328" t="s">
        <v>818</v>
      </c>
      <c r="D117" s="328" t="s">
        <v>402</v>
      </c>
      <c r="E117" s="328" t="s">
        <v>819</v>
      </c>
      <c r="F117" s="328" t="s">
        <v>404</v>
      </c>
      <c r="G117" s="328" t="s">
        <v>361</v>
      </c>
      <c r="H117" s="328" t="s">
        <v>362</v>
      </c>
      <c r="I117" s="329" t="n">
        <v>2.07874015748031</v>
      </c>
      <c r="J117" s="329" t="n">
        <v>0.218579</v>
      </c>
      <c r="K117" s="329" t="n">
        <v>0.04918</v>
      </c>
      <c r="L117" s="329" t="n">
        <v>0.382514</v>
      </c>
      <c r="M117" s="329" t="n">
        <v>0.814208</v>
      </c>
      <c r="N117" s="329" t="n">
        <v>0.989071</v>
      </c>
      <c r="O117" s="329" t="n">
        <v>0.464481</v>
      </c>
      <c r="P117" s="329" t="n">
        <v>0.010929</v>
      </c>
      <c r="Q117" s="329" t="n">
        <v>0</v>
      </c>
      <c r="R117" s="329" t="n">
        <v>0.666667</v>
      </c>
      <c r="S117" s="329" t="n">
        <v>0.278689</v>
      </c>
      <c r="T117" s="329" t="n">
        <v>0.229508</v>
      </c>
      <c r="U117" s="329" t="n">
        <v>0.289617</v>
      </c>
      <c r="V117" s="329" t="n">
        <v>0.885246</v>
      </c>
      <c r="W117" s="328"/>
      <c r="X117" s="330"/>
      <c r="Y117" s="330" t="s">
        <v>363</v>
      </c>
      <c r="Z117" s="328"/>
      <c r="AA117" s="328"/>
    </row>
    <row r="118" customFormat="false" ht="15" hidden="false" customHeight="false" outlineLevel="0" collapsed="false">
      <c r="A118" s="328" t="s">
        <v>820</v>
      </c>
      <c r="B118" s="328" t="s">
        <v>821</v>
      </c>
      <c r="C118" s="328" t="s">
        <v>822</v>
      </c>
      <c r="D118" s="328" t="s">
        <v>823</v>
      </c>
      <c r="E118" s="328" t="s">
        <v>824</v>
      </c>
      <c r="F118" s="328" t="s">
        <v>432</v>
      </c>
      <c r="G118" s="328" t="s">
        <v>361</v>
      </c>
      <c r="H118" s="328" t="s">
        <v>362</v>
      </c>
      <c r="I118" s="329" t="n">
        <v>35.3478260869565</v>
      </c>
      <c r="J118" s="329" t="n">
        <v>6.95082</v>
      </c>
      <c r="K118" s="329" t="n">
        <v>1.174863</v>
      </c>
      <c r="L118" s="329" t="n">
        <v>2.377049</v>
      </c>
      <c r="M118" s="329" t="n">
        <v>0.47541</v>
      </c>
      <c r="N118" s="329" t="n">
        <v>1.759563</v>
      </c>
      <c r="O118" s="329" t="n">
        <v>9.218579</v>
      </c>
      <c r="P118" s="329" t="n">
        <v>0</v>
      </c>
      <c r="Q118" s="329" t="n">
        <v>0</v>
      </c>
      <c r="R118" s="329" t="n">
        <v>0.688525</v>
      </c>
      <c r="S118" s="329" t="n">
        <v>0.557377</v>
      </c>
      <c r="T118" s="329" t="n">
        <v>0.650273</v>
      </c>
      <c r="U118" s="329" t="n">
        <v>9.081967</v>
      </c>
      <c r="V118" s="329" t="n">
        <v>4.928962</v>
      </c>
      <c r="W118" s="328"/>
      <c r="X118" s="330"/>
      <c r="Y118" s="330"/>
      <c r="Z118" s="328"/>
      <c r="AA118" s="328"/>
    </row>
    <row r="119" customFormat="false" ht="15" hidden="false" customHeight="false" outlineLevel="0" collapsed="false">
      <c r="A119" s="328" t="s">
        <v>825</v>
      </c>
      <c r="B119" s="328" t="s">
        <v>826</v>
      </c>
      <c r="C119" s="328" t="s">
        <v>827</v>
      </c>
      <c r="D119" s="328" t="s">
        <v>454</v>
      </c>
      <c r="E119" s="328" t="s">
        <v>828</v>
      </c>
      <c r="F119" s="328" t="s">
        <v>456</v>
      </c>
      <c r="G119" s="328" t="s">
        <v>392</v>
      </c>
      <c r="H119" s="328" t="s">
        <v>362</v>
      </c>
      <c r="I119" s="329" t="n">
        <v>30.9615384615385</v>
      </c>
      <c r="J119" s="329" t="n">
        <v>7.508197</v>
      </c>
      <c r="K119" s="329" t="n">
        <v>6.273224</v>
      </c>
      <c r="L119" s="329" t="n">
        <v>19.163934</v>
      </c>
      <c r="M119" s="329" t="n">
        <v>28.584699</v>
      </c>
      <c r="N119" s="329" t="n">
        <v>39.797814</v>
      </c>
      <c r="O119" s="329" t="n">
        <v>21.732241</v>
      </c>
      <c r="P119" s="329" t="n">
        <v>0</v>
      </c>
      <c r="Q119" s="329" t="n">
        <v>0</v>
      </c>
      <c r="R119" s="329" t="n">
        <v>32.693989</v>
      </c>
      <c r="S119" s="329" t="n">
        <v>5.497268</v>
      </c>
      <c r="T119" s="329" t="n">
        <v>5.546448</v>
      </c>
      <c r="U119" s="329" t="n">
        <v>17.79235</v>
      </c>
      <c r="V119" s="329" t="n">
        <v>37.251366</v>
      </c>
      <c r="W119" s="328"/>
      <c r="X119" s="330"/>
      <c r="Y119" s="330"/>
      <c r="Z119" s="328"/>
      <c r="AA119" s="328"/>
    </row>
    <row r="120" customFormat="false" ht="15" hidden="false" customHeight="false" outlineLevel="0" collapsed="false">
      <c r="A120" s="328" t="s">
        <v>829</v>
      </c>
      <c r="B120" s="328" t="s">
        <v>830</v>
      </c>
      <c r="C120" s="328" t="s">
        <v>831</v>
      </c>
      <c r="D120" s="328" t="s">
        <v>832</v>
      </c>
      <c r="E120" s="328" t="s">
        <v>833</v>
      </c>
      <c r="F120" s="328" t="s">
        <v>652</v>
      </c>
      <c r="G120" s="328" t="s">
        <v>361</v>
      </c>
      <c r="H120" s="328" t="s">
        <v>362</v>
      </c>
      <c r="I120" s="329" t="n">
        <v>1.63636363636364</v>
      </c>
      <c r="J120" s="329" t="n">
        <v>2.852459</v>
      </c>
      <c r="K120" s="329" t="n">
        <v>1.502732</v>
      </c>
      <c r="L120" s="329" t="n">
        <v>0.814208</v>
      </c>
      <c r="M120" s="329" t="n">
        <v>0.540984</v>
      </c>
      <c r="N120" s="329" t="n">
        <v>1.360656</v>
      </c>
      <c r="O120" s="329" t="n">
        <v>2.693989</v>
      </c>
      <c r="P120" s="329" t="n">
        <v>0.191257</v>
      </c>
      <c r="Q120" s="329" t="n">
        <v>1.464481</v>
      </c>
      <c r="R120" s="329" t="n">
        <v>0.639344</v>
      </c>
      <c r="S120" s="329" t="n">
        <v>0.584699</v>
      </c>
      <c r="T120" s="329" t="n">
        <v>0.901639</v>
      </c>
      <c r="U120" s="329" t="n">
        <v>3.5847</v>
      </c>
      <c r="V120" s="329" t="n">
        <v>3.393443</v>
      </c>
      <c r="W120" s="328"/>
      <c r="X120" s="330" t="s">
        <v>340</v>
      </c>
      <c r="Y120" s="331" t="s">
        <v>439</v>
      </c>
      <c r="Z120" s="328" t="s">
        <v>379</v>
      </c>
      <c r="AA120" s="328" t="s">
        <v>342</v>
      </c>
    </row>
    <row r="121" customFormat="false" ht="15" hidden="false" customHeight="false" outlineLevel="0" collapsed="false">
      <c r="A121" s="328" t="s">
        <v>834</v>
      </c>
      <c r="B121" s="328" t="s">
        <v>835</v>
      </c>
      <c r="C121" s="328" t="s">
        <v>836</v>
      </c>
      <c r="D121" s="328" t="s">
        <v>372</v>
      </c>
      <c r="E121" s="328" t="s">
        <v>837</v>
      </c>
      <c r="F121" s="328" t="s">
        <v>374</v>
      </c>
      <c r="G121" s="328" t="s">
        <v>368</v>
      </c>
      <c r="H121" s="328" t="s">
        <v>339</v>
      </c>
      <c r="I121" s="329" t="n">
        <v>8.36764705882353</v>
      </c>
      <c r="J121" s="329" t="n">
        <v>7.065574</v>
      </c>
      <c r="K121" s="329" t="n">
        <v>1.10929</v>
      </c>
      <c r="L121" s="329" t="n">
        <v>0.092896</v>
      </c>
      <c r="M121" s="329" t="n">
        <v>0.726776</v>
      </c>
      <c r="N121" s="329" t="n">
        <v>1.31694</v>
      </c>
      <c r="O121" s="329" t="n">
        <v>7.677596</v>
      </c>
      <c r="P121" s="329" t="n">
        <v>0</v>
      </c>
      <c r="Q121" s="329" t="n">
        <v>0</v>
      </c>
      <c r="R121" s="329" t="n">
        <v>0.617486</v>
      </c>
      <c r="S121" s="329" t="n">
        <v>0.448087</v>
      </c>
      <c r="T121" s="329" t="n">
        <v>0.448087</v>
      </c>
      <c r="U121" s="329" t="n">
        <v>7.480874</v>
      </c>
      <c r="V121" s="329" t="n">
        <v>1.595628</v>
      </c>
      <c r="W121" s="329" t="n">
        <v>70</v>
      </c>
      <c r="X121" s="330" t="s">
        <v>515</v>
      </c>
      <c r="Y121" s="332" t="n">
        <v>46035</v>
      </c>
      <c r="Z121" s="328" t="s">
        <v>642</v>
      </c>
      <c r="AA121" s="328" t="s">
        <v>342</v>
      </c>
    </row>
    <row r="122" customFormat="false" ht="15" hidden="false" customHeight="false" outlineLevel="0" collapsed="false">
      <c r="A122" s="328" t="s">
        <v>838</v>
      </c>
      <c r="B122" s="328" t="s">
        <v>839</v>
      </c>
      <c r="C122" s="328" t="s">
        <v>840</v>
      </c>
      <c r="D122" s="328" t="s">
        <v>396</v>
      </c>
      <c r="E122" s="328" t="s">
        <v>841</v>
      </c>
      <c r="F122" s="328" t="s">
        <v>742</v>
      </c>
      <c r="G122" s="328" t="s">
        <v>361</v>
      </c>
      <c r="H122" s="328" t="s">
        <v>339</v>
      </c>
      <c r="I122" s="329" t="n">
        <v>43.954954954955</v>
      </c>
      <c r="J122" s="329" t="n">
        <v>184.327869</v>
      </c>
      <c r="K122" s="329" t="n">
        <v>70.284153</v>
      </c>
      <c r="L122" s="329" t="n">
        <v>1.994536</v>
      </c>
      <c r="M122" s="329" t="n">
        <v>0.765027</v>
      </c>
      <c r="N122" s="329" t="n">
        <v>38.57377</v>
      </c>
      <c r="O122" s="329" t="n">
        <v>218.797814</v>
      </c>
      <c r="P122" s="329" t="n">
        <v>0</v>
      </c>
      <c r="Q122" s="329" t="n">
        <v>0</v>
      </c>
      <c r="R122" s="329" t="n">
        <v>8.68306</v>
      </c>
      <c r="S122" s="329" t="n">
        <v>10.901639</v>
      </c>
      <c r="T122" s="329" t="n">
        <v>26.52459</v>
      </c>
      <c r="U122" s="329" t="n">
        <v>211.262295</v>
      </c>
      <c r="V122" s="329" t="n">
        <v>108.737705</v>
      </c>
      <c r="W122" s="328"/>
      <c r="X122" s="330" t="s">
        <v>340</v>
      </c>
      <c r="Y122" s="331" t="n">
        <v>45743</v>
      </c>
      <c r="Z122" s="328" t="s">
        <v>379</v>
      </c>
      <c r="AA122" s="328" t="s">
        <v>342</v>
      </c>
    </row>
    <row r="123" customFormat="false" ht="15" hidden="false" customHeight="false" outlineLevel="0" collapsed="false">
      <c r="A123" s="328" t="s">
        <v>842</v>
      </c>
      <c r="B123" s="328" t="s">
        <v>843</v>
      </c>
      <c r="C123" s="328" t="s">
        <v>844</v>
      </c>
      <c r="D123" s="328" t="s">
        <v>475</v>
      </c>
      <c r="E123" s="328" t="s">
        <v>845</v>
      </c>
      <c r="F123" s="328" t="s">
        <v>432</v>
      </c>
      <c r="G123" s="328" t="s">
        <v>361</v>
      </c>
      <c r="H123" s="328" t="s">
        <v>362</v>
      </c>
      <c r="I123" s="329" t="n">
        <v>29.1016949152542</v>
      </c>
      <c r="J123" s="329" t="n">
        <v>6.601093</v>
      </c>
      <c r="K123" s="329" t="n">
        <v>5.404372</v>
      </c>
      <c r="L123" s="329" t="n">
        <v>11</v>
      </c>
      <c r="M123" s="329" t="n">
        <v>9.562842</v>
      </c>
      <c r="N123" s="329" t="n">
        <v>19.142077</v>
      </c>
      <c r="O123" s="329" t="n">
        <v>9.229508</v>
      </c>
      <c r="P123" s="329" t="n">
        <v>2.065574</v>
      </c>
      <c r="Q123" s="329" t="n">
        <v>2.131148</v>
      </c>
      <c r="R123" s="329" t="n">
        <v>10.098361</v>
      </c>
      <c r="S123" s="329" t="n">
        <v>7.300546</v>
      </c>
      <c r="T123" s="329" t="n">
        <v>5.360656</v>
      </c>
      <c r="U123" s="329" t="n">
        <v>9.808744</v>
      </c>
      <c r="V123" s="329" t="n">
        <v>23.213115</v>
      </c>
      <c r="W123" s="328"/>
      <c r="X123" s="330"/>
      <c r="Y123" s="330" t="s">
        <v>439</v>
      </c>
      <c r="Z123" s="328"/>
      <c r="AA123" s="328"/>
    </row>
    <row r="124" customFormat="false" ht="15" hidden="false" customHeight="false" outlineLevel="0" collapsed="false">
      <c r="A124" s="328" t="s">
        <v>846</v>
      </c>
      <c r="B124" s="328" t="s">
        <v>847</v>
      </c>
      <c r="C124" s="328" t="s">
        <v>848</v>
      </c>
      <c r="D124" s="328" t="s">
        <v>723</v>
      </c>
      <c r="E124" s="328" t="s">
        <v>849</v>
      </c>
      <c r="F124" s="328" t="s">
        <v>432</v>
      </c>
      <c r="G124" s="328" t="s">
        <v>361</v>
      </c>
      <c r="H124" s="328" t="s">
        <v>362</v>
      </c>
      <c r="I124" s="329" t="n">
        <v>20.8940397350993</v>
      </c>
      <c r="J124" s="329" t="n">
        <v>15.972678</v>
      </c>
      <c r="K124" s="329" t="n">
        <v>11.491803</v>
      </c>
      <c r="L124" s="329" t="n">
        <v>7.174863</v>
      </c>
      <c r="M124" s="329" t="n">
        <v>8.284153</v>
      </c>
      <c r="N124" s="329" t="n">
        <v>16.306011</v>
      </c>
      <c r="O124" s="329" t="n">
        <v>21.901639</v>
      </c>
      <c r="P124" s="329" t="n">
        <v>2.076503</v>
      </c>
      <c r="Q124" s="329" t="n">
        <v>2.639344</v>
      </c>
      <c r="R124" s="329" t="n">
        <v>11.174863</v>
      </c>
      <c r="S124" s="329" t="n">
        <v>3.928962</v>
      </c>
      <c r="T124" s="329" t="n">
        <v>8.284153</v>
      </c>
      <c r="U124" s="329" t="n">
        <v>19.535519</v>
      </c>
      <c r="V124" s="329" t="n">
        <v>28.218579</v>
      </c>
      <c r="W124" s="328"/>
      <c r="X124" s="330" t="s">
        <v>340</v>
      </c>
      <c r="Y124" s="331" t="s">
        <v>363</v>
      </c>
      <c r="Z124" s="328" t="s">
        <v>379</v>
      </c>
      <c r="AA124" s="328" t="s">
        <v>342</v>
      </c>
    </row>
    <row r="125" customFormat="false" ht="15" hidden="false" customHeight="false" outlineLevel="0" collapsed="false">
      <c r="A125" s="328" t="s">
        <v>850</v>
      </c>
      <c r="B125" s="328" t="s">
        <v>851</v>
      </c>
      <c r="C125" s="328" t="s">
        <v>852</v>
      </c>
      <c r="D125" s="328" t="s">
        <v>513</v>
      </c>
      <c r="E125" s="328" t="s">
        <v>853</v>
      </c>
      <c r="F125" s="328" t="s">
        <v>398</v>
      </c>
      <c r="G125" s="328" t="s">
        <v>361</v>
      </c>
      <c r="H125" s="328" t="s">
        <v>362</v>
      </c>
      <c r="I125" s="329" t="n">
        <v>1.54562737642586</v>
      </c>
      <c r="J125" s="329" t="n">
        <v>4.213115</v>
      </c>
      <c r="K125" s="329" t="n">
        <v>0.409836</v>
      </c>
      <c r="L125" s="329" t="n">
        <v>0.245902</v>
      </c>
      <c r="M125" s="329" t="n">
        <v>0.26776</v>
      </c>
      <c r="N125" s="329" t="n">
        <v>0.666667</v>
      </c>
      <c r="O125" s="329" t="n">
        <v>4.163934</v>
      </c>
      <c r="P125" s="329" t="n">
        <v>0.016393</v>
      </c>
      <c r="Q125" s="329" t="n">
        <v>0.289617</v>
      </c>
      <c r="R125" s="329" t="n">
        <v>0.251366</v>
      </c>
      <c r="S125" s="329" t="n">
        <v>0.31694</v>
      </c>
      <c r="T125" s="329" t="n">
        <v>0.289617</v>
      </c>
      <c r="U125" s="329" t="n">
        <v>4.278689</v>
      </c>
      <c r="V125" s="329" t="n">
        <v>2.103825</v>
      </c>
      <c r="W125" s="328"/>
      <c r="X125" s="330" t="s">
        <v>438</v>
      </c>
      <c r="Y125" s="332" t="n">
        <v>45790</v>
      </c>
      <c r="Z125" s="328" t="s">
        <v>379</v>
      </c>
      <c r="AA125" s="328" t="s">
        <v>342</v>
      </c>
    </row>
    <row r="126" customFormat="false" ht="15" hidden="false" customHeight="false" outlineLevel="0" collapsed="false">
      <c r="A126" s="328" t="s">
        <v>854</v>
      </c>
      <c r="B126" s="328" t="s">
        <v>855</v>
      </c>
      <c r="C126" s="328" t="s">
        <v>856</v>
      </c>
      <c r="D126" s="328" t="s">
        <v>352</v>
      </c>
      <c r="E126" s="328" t="s">
        <v>857</v>
      </c>
      <c r="F126" s="328" t="s">
        <v>337</v>
      </c>
      <c r="G126" s="328" t="s">
        <v>368</v>
      </c>
      <c r="H126" s="328" t="s">
        <v>339</v>
      </c>
      <c r="I126" s="329" t="n">
        <v>61.069387755102</v>
      </c>
      <c r="J126" s="329" t="n">
        <v>0.153005</v>
      </c>
      <c r="K126" s="329" t="n">
        <v>4.939891</v>
      </c>
      <c r="L126" s="329" t="n">
        <v>55.180328</v>
      </c>
      <c r="M126" s="329" t="n">
        <v>121.508197</v>
      </c>
      <c r="N126" s="329" t="n">
        <v>158.20765</v>
      </c>
      <c r="O126" s="329" t="n">
        <v>23.568306</v>
      </c>
      <c r="P126" s="329" t="n">
        <v>0</v>
      </c>
      <c r="Q126" s="329" t="n">
        <v>0.005464</v>
      </c>
      <c r="R126" s="329" t="n">
        <v>141.546448</v>
      </c>
      <c r="S126" s="329" t="n">
        <v>14.699454</v>
      </c>
      <c r="T126" s="329" t="n">
        <v>6.546448</v>
      </c>
      <c r="U126" s="329" t="n">
        <v>18.989071</v>
      </c>
      <c r="V126" s="329" t="n">
        <v>159.437158</v>
      </c>
      <c r="W126" s="329" t="n">
        <v>208</v>
      </c>
      <c r="X126" s="330"/>
      <c r="Y126" s="331" t="s">
        <v>439</v>
      </c>
      <c r="Z126" s="328"/>
      <c r="AA126" s="328"/>
    </row>
    <row r="127" customFormat="false" ht="15" hidden="false" customHeight="false" outlineLevel="0" collapsed="false">
      <c r="A127" s="328" t="s">
        <v>858</v>
      </c>
      <c r="B127" s="328" t="s">
        <v>859</v>
      </c>
      <c r="C127" s="328" t="s">
        <v>860</v>
      </c>
      <c r="D127" s="328" t="s">
        <v>335</v>
      </c>
      <c r="E127" s="328" t="s">
        <v>861</v>
      </c>
      <c r="F127" s="328" t="s">
        <v>337</v>
      </c>
      <c r="G127" s="328" t="s">
        <v>361</v>
      </c>
      <c r="H127" s="328" t="s">
        <v>362</v>
      </c>
      <c r="I127" s="329" t="n">
        <v>1.78421701602959</v>
      </c>
      <c r="J127" s="329" t="n">
        <v>5.617486</v>
      </c>
      <c r="K127" s="329" t="n">
        <v>1.005464</v>
      </c>
      <c r="L127" s="329" t="n">
        <v>0.519126</v>
      </c>
      <c r="M127" s="329" t="n">
        <v>0.710383</v>
      </c>
      <c r="N127" s="329" t="n">
        <v>1.196721</v>
      </c>
      <c r="O127" s="329" t="n">
        <v>5.349726</v>
      </c>
      <c r="P127" s="329" t="n">
        <v>0.021858</v>
      </c>
      <c r="Q127" s="329" t="n">
        <v>1.284153</v>
      </c>
      <c r="R127" s="329" t="n">
        <v>0.775956</v>
      </c>
      <c r="S127" s="329" t="n">
        <v>0.377049</v>
      </c>
      <c r="T127" s="329" t="n">
        <v>0.393443</v>
      </c>
      <c r="U127" s="329" t="n">
        <v>6.306011</v>
      </c>
      <c r="V127" s="329" t="n">
        <v>5.442623</v>
      </c>
      <c r="W127" s="328"/>
      <c r="X127" s="330" t="s">
        <v>340</v>
      </c>
      <c r="Y127" s="331" t="s">
        <v>363</v>
      </c>
      <c r="Z127" s="328" t="s">
        <v>379</v>
      </c>
      <c r="AA127" s="328" t="s">
        <v>342</v>
      </c>
    </row>
    <row r="128" customFormat="false" ht="15" hidden="false" customHeight="false" outlineLevel="0" collapsed="false">
      <c r="A128" s="328" t="s">
        <v>862</v>
      </c>
      <c r="B128" s="328" t="s">
        <v>863</v>
      </c>
      <c r="C128" s="328" t="s">
        <v>864</v>
      </c>
      <c r="D128" s="328" t="s">
        <v>435</v>
      </c>
      <c r="E128" s="328" t="s">
        <v>865</v>
      </c>
      <c r="F128" s="328" t="s">
        <v>437</v>
      </c>
      <c r="G128" s="328" t="s">
        <v>361</v>
      </c>
      <c r="H128" s="328" t="s">
        <v>362</v>
      </c>
      <c r="I128" s="329" t="n">
        <v>16.373820754717</v>
      </c>
      <c r="J128" s="329" t="n">
        <v>71.327869</v>
      </c>
      <c r="K128" s="329" t="n">
        <v>15.284153</v>
      </c>
      <c r="L128" s="329" t="n">
        <v>4.868852</v>
      </c>
      <c r="M128" s="329" t="n">
        <v>1.923497</v>
      </c>
      <c r="N128" s="329" t="n">
        <v>11.26776</v>
      </c>
      <c r="O128" s="329" t="n">
        <v>49.480874</v>
      </c>
      <c r="P128" s="329" t="n">
        <v>3.661202</v>
      </c>
      <c r="Q128" s="329" t="n">
        <v>28.994536</v>
      </c>
      <c r="R128" s="329" t="n">
        <v>4.868852</v>
      </c>
      <c r="S128" s="329" t="n">
        <v>5.956284</v>
      </c>
      <c r="T128" s="329" t="n">
        <v>8.240437</v>
      </c>
      <c r="U128" s="329" t="n">
        <v>74.338798</v>
      </c>
      <c r="V128" s="329" t="n">
        <v>59.655738</v>
      </c>
      <c r="W128" s="328"/>
      <c r="X128" s="330"/>
      <c r="Y128" s="330" t="s">
        <v>363</v>
      </c>
      <c r="Z128" s="328"/>
      <c r="AA128" s="328"/>
    </row>
    <row r="129" customFormat="false" ht="15" hidden="false" customHeight="false" outlineLevel="0" collapsed="false">
      <c r="A129" s="328" t="s">
        <v>866</v>
      </c>
      <c r="B129" s="328" t="s">
        <v>867</v>
      </c>
      <c r="C129" s="328" t="s">
        <v>868</v>
      </c>
      <c r="D129" s="328" t="s">
        <v>372</v>
      </c>
      <c r="E129" s="328" t="s">
        <v>869</v>
      </c>
      <c r="F129" s="328" t="s">
        <v>374</v>
      </c>
      <c r="G129" s="328" t="s">
        <v>361</v>
      </c>
      <c r="H129" s="328" t="s">
        <v>362</v>
      </c>
      <c r="I129" s="329" t="n">
        <v>2.75406032482599</v>
      </c>
      <c r="J129" s="329" t="n">
        <v>2.759563</v>
      </c>
      <c r="K129" s="329" t="n">
        <v>0.295082</v>
      </c>
      <c r="L129" s="329" t="n">
        <v>2.060109</v>
      </c>
      <c r="M129" s="329" t="n">
        <v>1.180328</v>
      </c>
      <c r="N129" s="329" t="n">
        <v>1.398907</v>
      </c>
      <c r="O129" s="329" t="n">
        <v>2.120219</v>
      </c>
      <c r="P129" s="329" t="n">
        <v>0.404372</v>
      </c>
      <c r="Q129" s="329" t="n">
        <v>2.371585</v>
      </c>
      <c r="R129" s="329" t="n">
        <v>0.486339</v>
      </c>
      <c r="S129" s="329" t="n">
        <v>1.202186</v>
      </c>
      <c r="T129" s="329" t="n">
        <v>0.650273</v>
      </c>
      <c r="U129" s="329" t="n">
        <v>3.956284</v>
      </c>
      <c r="V129" s="329" t="n">
        <v>2.568306</v>
      </c>
      <c r="W129" s="328"/>
      <c r="X129" s="330"/>
      <c r="Y129" s="330" t="s">
        <v>439</v>
      </c>
      <c r="Z129" s="328"/>
      <c r="AA129" s="328"/>
    </row>
    <row r="130" customFormat="false" ht="15" hidden="false" customHeight="false" outlineLevel="0" collapsed="false">
      <c r="A130" s="328" t="s">
        <v>870</v>
      </c>
      <c r="B130" s="328" t="s">
        <v>871</v>
      </c>
      <c r="C130" s="328" t="s">
        <v>872</v>
      </c>
      <c r="D130" s="328" t="s">
        <v>475</v>
      </c>
      <c r="E130" s="328" t="s">
        <v>873</v>
      </c>
      <c r="F130" s="328" t="s">
        <v>432</v>
      </c>
      <c r="G130" s="328" t="s">
        <v>338</v>
      </c>
      <c r="H130" s="328" t="s">
        <v>339</v>
      </c>
      <c r="I130" s="329" t="n">
        <v>33.4747474747475</v>
      </c>
      <c r="J130" s="329" t="n">
        <v>50.327869</v>
      </c>
      <c r="K130" s="329" t="n">
        <v>19.52459</v>
      </c>
      <c r="L130" s="329" t="n">
        <v>19.846995</v>
      </c>
      <c r="M130" s="329" t="n">
        <v>15.513661</v>
      </c>
      <c r="N130" s="329" t="n">
        <v>45.961749</v>
      </c>
      <c r="O130" s="329" t="n">
        <v>59.251366</v>
      </c>
      <c r="P130" s="329" t="n">
        <v>0</v>
      </c>
      <c r="Q130" s="329" t="n">
        <v>0</v>
      </c>
      <c r="R130" s="329" t="n">
        <v>15.016393</v>
      </c>
      <c r="S130" s="329" t="n">
        <v>18.065574</v>
      </c>
      <c r="T130" s="329" t="n">
        <v>28.497268</v>
      </c>
      <c r="U130" s="329" t="n">
        <v>43.63388</v>
      </c>
      <c r="V130" s="329" t="n">
        <v>58.584699</v>
      </c>
      <c r="W130" s="329" t="n">
        <v>300</v>
      </c>
      <c r="X130" s="330" t="s">
        <v>515</v>
      </c>
      <c r="Y130" s="330"/>
      <c r="Z130" s="328"/>
      <c r="AA130" s="328"/>
    </row>
    <row r="131" customFormat="false" ht="15" hidden="false" customHeight="false" outlineLevel="0" collapsed="false">
      <c r="A131" s="328" t="s">
        <v>874</v>
      </c>
      <c r="B131" s="328" t="s">
        <v>875</v>
      </c>
      <c r="C131" s="328" t="s">
        <v>876</v>
      </c>
      <c r="D131" s="328" t="s">
        <v>345</v>
      </c>
      <c r="E131" s="328" t="s">
        <v>877</v>
      </c>
      <c r="F131" s="328" t="s">
        <v>450</v>
      </c>
      <c r="G131" s="328" t="s">
        <v>348</v>
      </c>
      <c r="H131" s="328" t="s">
        <v>339</v>
      </c>
      <c r="I131" s="329" t="n">
        <v>53.941235059761</v>
      </c>
      <c r="J131" s="329" t="n">
        <v>227.10929</v>
      </c>
      <c r="K131" s="329" t="n">
        <v>31.885246</v>
      </c>
      <c r="L131" s="329" t="n">
        <v>48.907104</v>
      </c>
      <c r="M131" s="329" t="n">
        <v>53.016393</v>
      </c>
      <c r="N131" s="329" t="n">
        <v>79.961749</v>
      </c>
      <c r="O131" s="329" t="n">
        <v>280.650273</v>
      </c>
      <c r="P131" s="329" t="n">
        <v>0.04918</v>
      </c>
      <c r="Q131" s="329" t="n">
        <v>0.256831</v>
      </c>
      <c r="R131" s="329" t="n">
        <v>55.136612</v>
      </c>
      <c r="S131" s="329" t="n">
        <v>18.52459</v>
      </c>
      <c r="T131" s="329" t="n">
        <v>24.852459</v>
      </c>
      <c r="U131" s="329" t="n">
        <v>262.404371</v>
      </c>
      <c r="V131" s="329" t="n">
        <v>107.497268</v>
      </c>
      <c r="W131" s="329" t="n">
        <v>320</v>
      </c>
      <c r="X131" s="330" t="s">
        <v>340</v>
      </c>
      <c r="Y131" s="331" t="n">
        <v>45764</v>
      </c>
      <c r="Z131" s="328" t="s">
        <v>341</v>
      </c>
      <c r="AA131" s="328" t="s">
        <v>342</v>
      </c>
    </row>
    <row r="132" customFormat="false" ht="15" hidden="false" customHeight="false" outlineLevel="0" collapsed="false">
      <c r="A132" s="328" t="s">
        <v>200</v>
      </c>
      <c r="B132" s="328" t="s">
        <v>878</v>
      </c>
      <c r="C132" s="328" t="s">
        <v>879</v>
      </c>
      <c r="D132" s="328" t="s">
        <v>520</v>
      </c>
      <c r="E132" s="328" t="s">
        <v>880</v>
      </c>
      <c r="F132" s="328" t="s">
        <v>404</v>
      </c>
      <c r="G132" s="328" t="s">
        <v>368</v>
      </c>
      <c r="H132" s="328" t="s">
        <v>339</v>
      </c>
      <c r="I132" s="329" t="n">
        <v>45.691124260355</v>
      </c>
      <c r="J132" s="329" t="n">
        <v>7.021858</v>
      </c>
      <c r="K132" s="329" t="n">
        <v>4.52459</v>
      </c>
      <c r="L132" s="329" t="n">
        <v>230.027322</v>
      </c>
      <c r="M132" s="329" t="n">
        <v>215.622951</v>
      </c>
      <c r="N132" s="329" t="n">
        <v>285.103825</v>
      </c>
      <c r="O132" s="329" t="n">
        <v>172.092896</v>
      </c>
      <c r="P132" s="329" t="n">
        <v>0</v>
      </c>
      <c r="Q132" s="329" t="n">
        <v>0</v>
      </c>
      <c r="R132" s="329" t="n">
        <v>224.868852</v>
      </c>
      <c r="S132" s="329" t="n">
        <v>64.857923</v>
      </c>
      <c r="T132" s="329" t="n">
        <v>47.939891</v>
      </c>
      <c r="U132" s="329" t="n">
        <v>119.530055</v>
      </c>
      <c r="V132" s="329" t="n">
        <v>294.57377</v>
      </c>
      <c r="W132" s="328"/>
      <c r="X132" s="330"/>
      <c r="Y132" s="330" t="s">
        <v>363</v>
      </c>
      <c r="Z132" s="328"/>
      <c r="AA132" s="328"/>
    </row>
    <row r="133" customFormat="false" ht="15" hidden="false" customHeight="false" outlineLevel="0" collapsed="false">
      <c r="A133" s="328" t="s">
        <v>881</v>
      </c>
      <c r="B133" s="328" t="s">
        <v>882</v>
      </c>
      <c r="C133" s="328" t="s">
        <v>797</v>
      </c>
      <c r="D133" s="328" t="s">
        <v>372</v>
      </c>
      <c r="E133" s="328" t="s">
        <v>883</v>
      </c>
      <c r="F133" s="328" t="s">
        <v>374</v>
      </c>
      <c r="G133" s="328" t="s">
        <v>392</v>
      </c>
      <c r="H133" s="328" t="s">
        <v>362</v>
      </c>
      <c r="I133" s="329" t="n">
        <v>57.5146476642914</v>
      </c>
      <c r="J133" s="329" t="n">
        <v>25.47541</v>
      </c>
      <c r="K133" s="329" t="n">
        <v>19.928962</v>
      </c>
      <c r="L133" s="329" t="n">
        <v>241.360656</v>
      </c>
      <c r="M133" s="329" t="n">
        <v>172.879781</v>
      </c>
      <c r="N133" s="329" t="n">
        <v>212.513661</v>
      </c>
      <c r="O133" s="329" t="n">
        <v>247.131148</v>
      </c>
      <c r="P133" s="329" t="n">
        <v>0</v>
      </c>
      <c r="Q133" s="329" t="n">
        <v>0</v>
      </c>
      <c r="R133" s="329" t="n">
        <v>144.874317</v>
      </c>
      <c r="S133" s="329" t="n">
        <v>62.360656</v>
      </c>
      <c r="T133" s="329" t="n">
        <v>49.945355</v>
      </c>
      <c r="U133" s="329" t="n">
        <v>202.464481</v>
      </c>
      <c r="V133" s="329" t="n">
        <v>221.666667</v>
      </c>
      <c r="W133" s="328"/>
      <c r="X133" s="330"/>
      <c r="Y133" s="330"/>
      <c r="Z133" s="328"/>
      <c r="AA133" s="328"/>
    </row>
    <row r="134" customFormat="false" ht="15" hidden="false" customHeight="false" outlineLevel="0" collapsed="false">
      <c r="A134" s="328" t="s">
        <v>884</v>
      </c>
      <c r="B134" s="328" t="s">
        <v>885</v>
      </c>
      <c r="C134" s="328" t="s">
        <v>797</v>
      </c>
      <c r="D134" s="328" t="s">
        <v>372</v>
      </c>
      <c r="E134" s="328" t="s">
        <v>886</v>
      </c>
      <c r="F134" s="328" t="s">
        <v>374</v>
      </c>
      <c r="G134" s="328" t="s">
        <v>354</v>
      </c>
      <c r="H134" s="328" t="s">
        <v>362</v>
      </c>
      <c r="I134" s="329" t="n">
        <v>0.69825387482833</v>
      </c>
      <c r="J134" s="329" t="n">
        <v>11.234973</v>
      </c>
      <c r="K134" s="329" t="n">
        <v>2.967213</v>
      </c>
      <c r="L134" s="329" t="n">
        <v>2.071038</v>
      </c>
      <c r="M134" s="329" t="n">
        <v>3.26776</v>
      </c>
      <c r="N134" s="329" t="n">
        <v>3.814208</v>
      </c>
      <c r="O134" s="329" t="n">
        <v>15.726776</v>
      </c>
      <c r="P134" s="329" t="n">
        <v>0</v>
      </c>
      <c r="Q134" s="329" t="n">
        <v>0</v>
      </c>
      <c r="R134" s="329" t="n">
        <v>2.453552</v>
      </c>
      <c r="S134" s="329" t="n">
        <v>1.098361</v>
      </c>
      <c r="T134" s="329" t="n">
        <v>1.344262</v>
      </c>
      <c r="U134" s="329" t="n">
        <v>14.644809</v>
      </c>
      <c r="V134" s="329" t="n">
        <v>9.95082</v>
      </c>
      <c r="W134" s="328"/>
      <c r="X134" s="330"/>
      <c r="Y134" s="330"/>
      <c r="Z134" s="328"/>
      <c r="AA134" s="328"/>
    </row>
    <row r="135" customFormat="false" ht="15" hidden="false" customHeight="false" outlineLevel="0" collapsed="false">
      <c r="A135" s="328" t="s">
        <v>887</v>
      </c>
      <c r="B135" s="328" t="s">
        <v>888</v>
      </c>
      <c r="C135" s="328" t="s">
        <v>889</v>
      </c>
      <c r="D135" s="328" t="s">
        <v>490</v>
      </c>
      <c r="E135" s="328" t="s">
        <v>890</v>
      </c>
      <c r="F135" s="328" t="s">
        <v>404</v>
      </c>
      <c r="G135" s="328" t="s">
        <v>348</v>
      </c>
      <c r="H135" s="328" t="s">
        <v>362</v>
      </c>
      <c r="I135" s="329" t="n">
        <v>9.42857142857143</v>
      </c>
      <c r="J135" s="329" t="n">
        <v>2.934426</v>
      </c>
      <c r="K135" s="329" t="n">
        <v>0.453552</v>
      </c>
      <c r="L135" s="329" t="n">
        <v>0.989071</v>
      </c>
      <c r="M135" s="329" t="n">
        <v>2.562842</v>
      </c>
      <c r="N135" s="329" t="n">
        <v>2.693989</v>
      </c>
      <c r="O135" s="329" t="n">
        <v>3.688525</v>
      </c>
      <c r="P135" s="329" t="n">
        <v>0.076503</v>
      </c>
      <c r="Q135" s="329" t="n">
        <v>0.480874</v>
      </c>
      <c r="R135" s="329" t="n">
        <v>2.114754</v>
      </c>
      <c r="S135" s="329" t="n">
        <v>0.234973</v>
      </c>
      <c r="T135" s="329" t="n">
        <v>0.661202</v>
      </c>
      <c r="U135" s="329" t="n">
        <v>3.928962</v>
      </c>
      <c r="V135" s="329" t="n">
        <v>2.967213</v>
      </c>
      <c r="W135" s="329" t="n">
        <v>1002</v>
      </c>
      <c r="X135" s="330" t="s">
        <v>515</v>
      </c>
      <c r="Y135" s="331" t="s">
        <v>439</v>
      </c>
      <c r="Z135" s="328" t="s">
        <v>379</v>
      </c>
      <c r="AA135" s="328" t="s">
        <v>342</v>
      </c>
    </row>
    <row r="136" customFormat="false" ht="15" hidden="false" customHeight="false" outlineLevel="0" collapsed="false">
      <c r="A136" s="328" t="s">
        <v>891</v>
      </c>
      <c r="B136" s="328" t="s">
        <v>892</v>
      </c>
      <c r="C136" s="328" t="s">
        <v>893</v>
      </c>
      <c r="D136" s="328" t="s">
        <v>894</v>
      </c>
      <c r="E136" s="328" t="s">
        <v>895</v>
      </c>
      <c r="F136" s="328" t="s">
        <v>337</v>
      </c>
      <c r="G136" s="328" t="s">
        <v>361</v>
      </c>
      <c r="H136" s="328" t="s">
        <v>362</v>
      </c>
      <c r="I136" s="329" t="n">
        <v>2.29951690821256</v>
      </c>
      <c r="J136" s="329" t="n">
        <v>3.551913</v>
      </c>
      <c r="K136" s="329" t="n">
        <v>0.699454</v>
      </c>
      <c r="L136" s="329" t="n">
        <v>0.535519</v>
      </c>
      <c r="M136" s="329" t="n">
        <v>0.502732</v>
      </c>
      <c r="N136" s="329" t="n">
        <v>1.087432</v>
      </c>
      <c r="O136" s="329" t="n">
        <v>3.912568</v>
      </c>
      <c r="P136" s="329" t="n">
        <v>0.054645</v>
      </c>
      <c r="Q136" s="329" t="n">
        <v>0.234973</v>
      </c>
      <c r="R136" s="329" t="n">
        <v>0.579235</v>
      </c>
      <c r="S136" s="329" t="n">
        <v>0.371585</v>
      </c>
      <c r="T136" s="329" t="n">
        <v>0.590164</v>
      </c>
      <c r="U136" s="329" t="n">
        <v>3.748634</v>
      </c>
      <c r="V136" s="329" t="n">
        <v>3.918033</v>
      </c>
      <c r="W136" s="328"/>
      <c r="X136" s="330" t="s">
        <v>438</v>
      </c>
      <c r="Y136" s="331" t="s">
        <v>439</v>
      </c>
      <c r="Z136" s="328" t="s">
        <v>440</v>
      </c>
      <c r="AA136" s="328" t="s">
        <v>342</v>
      </c>
    </row>
    <row r="137" customFormat="false" ht="15" hidden="false" customHeight="false" outlineLevel="0" collapsed="false">
      <c r="A137" s="328" t="s">
        <v>896</v>
      </c>
      <c r="B137" s="328" t="s">
        <v>897</v>
      </c>
      <c r="C137" s="328" t="s">
        <v>898</v>
      </c>
      <c r="D137" s="328" t="s">
        <v>629</v>
      </c>
      <c r="E137" s="328" t="s">
        <v>899</v>
      </c>
      <c r="F137" s="328" t="s">
        <v>471</v>
      </c>
      <c r="G137" s="328" t="s">
        <v>361</v>
      </c>
      <c r="H137" s="328" t="s">
        <v>362</v>
      </c>
      <c r="I137" s="329" t="n">
        <v>2.69915254237288</v>
      </c>
      <c r="J137" s="329" t="n">
        <v>2.032787</v>
      </c>
      <c r="K137" s="329" t="n">
        <v>0.89071</v>
      </c>
      <c r="L137" s="329" t="n">
        <v>0.202186</v>
      </c>
      <c r="M137" s="329" t="n">
        <v>0.311475</v>
      </c>
      <c r="N137" s="329" t="n">
        <v>1.289617</v>
      </c>
      <c r="O137" s="329" t="n">
        <v>2.076503</v>
      </c>
      <c r="P137" s="329" t="n">
        <v>0.04918</v>
      </c>
      <c r="Q137" s="329" t="n">
        <v>0.021858</v>
      </c>
      <c r="R137" s="329" t="n">
        <v>0.513661</v>
      </c>
      <c r="S137" s="329" t="n">
        <v>0.469945</v>
      </c>
      <c r="T137" s="329" t="n">
        <v>1.245902</v>
      </c>
      <c r="U137" s="329" t="n">
        <v>1.20765</v>
      </c>
      <c r="V137" s="329" t="n">
        <v>1.464481</v>
      </c>
      <c r="W137" s="328"/>
      <c r="X137" s="330" t="s">
        <v>340</v>
      </c>
      <c r="Y137" s="331" t="s">
        <v>363</v>
      </c>
      <c r="Z137" s="328" t="s">
        <v>379</v>
      </c>
      <c r="AA137" s="328" t="s">
        <v>385</v>
      </c>
    </row>
    <row r="138" customFormat="false" ht="15" hidden="false" customHeight="false" outlineLevel="0" collapsed="false">
      <c r="A138" s="328" t="s">
        <v>900</v>
      </c>
      <c r="B138" s="328" t="s">
        <v>901</v>
      </c>
      <c r="C138" s="328" t="s">
        <v>902</v>
      </c>
      <c r="D138" s="328" t="s">
        <v>823</v>
      </c>
      <c r="E138" s="328" t="s">
        <v>903</v>
      </c>
      <c r="F138" s="328" t="s">
        <v>432</v>
      </c>
      <c r="G138" s="328" t="s">
        <v>361</v>
      </c>
      <c r="H138" s="328" t="s">
        <v>362</v>
      </c>
      <c r="I138" s="329" t="n">
        <v>2.46905537459283</v>
      </c>
      <c r="J138" s="329" t="n">
        <v>1.852459</v>
      </c>
      <c r="K138" s="329" t="n">
        <v>1.04918</v>
      </c>
      <c r="L138" s="329" t="n">
        <v>0.721311</v>
      </c>
      <c r="M138" s="329" t="n">
        <v>0.491803</v>
      </c>
      <c r="N138" s="329" t="n">
        <v>0.863388</v>
      </c>
      <c r="O138" s="329" t="n">
        <v>3.054645</v>
      </c>
      <c r="P138" s="329" t="n">
        <v>0.04918</v>
      </c>
      <c r="Q138" s="329" t="n">
        <v>0.147541</v>
      </c>
      <c r="R138" s="329" t="n">
        <v>0.322404</v>
      </c>
      <c r="S138" s="329" t="n">
        <v>0.333333</v>
      </c>
      <c r="T138" s="329" t="n">
        <v>0.584699</v>
      </c>
      <c r="U138" s="329" t="n">
        <v>2.874316</v>
      </c>
      <c r="V138" s="329" t="n">
        <v>2.256831</v>
      </c>
      <c r="W138" s="328"/>
      <c r="X138" s="330" t="s">
        <v>438</v>
      </c>
      <c r="Y138" s="331" t="n">
        <v>45632</v>
      </c>
      <c r="Z138" s="328" t="s">
        <v>440</v>
      </c>
      <c r="AA138" s="328" t="s">
        <v>342</v>
      </c>
    </row>
    <row r="139" customFormat="false" ht="15" hidden="false" customHeight="false" outlineLevel="0" collapsed="false">
      <c r="A139" s="328" t="s">
        <v>904</v>
      </c>
      <c r="B139" s="328" t="s">
        <v>905</v>
      </c>
      <c r="C139" s="328" t="s">
        <v>906</v>
      </c>
      <c r="D139" s="328" t="s">
        <v>444</v>
      </c>
      <c r="E139" s="328" t="s">
        <v>907</v>
      </c>
      <c r="F139" s="328" t="s">
        <v>437</v>
      </c>
      <c r="G139" s="328" t="s">
        <v>368</v>
      </c>
      <c r="H139" s="328" t="s">
        <v>339</v>
      </c>
      <c r="I139" s="329" t="n">
        <v>48.7581967213115</v>
      </c>
      <c r="J139" s="329" t="n">
        <v>111.73224</v>
      </c>
      <c r="K139" s="329" t="n">
        <v>8.218579</v>
      </c>
      <c r="L139" s="329" t="n">
        <v>0.797814</v>
      </c>
      <c r="M139" s="329" t="n">
        <v>1.715847</v>
      </c>
      <c r="N139" s="329" t="n">
        <v>9.786885</v>
      </c>
      <c r="O139" s="329" t="n">
        <v>112.677596</v>
      </c>
      <c r="P139" s="329" t="n">
        <v>0</v>
      </c>
      <c r="Q139" s="329" t="n">
        <v>0</v>
      </c>
      <c r="R139" s="329" t="n">
        <v>1.229508</v>
      </c>
      <c r="S139" s="329" t="n">
        <v>1.300546</v>
      </c>
      <c r="T139" s="329" t="n">
        <v>8.191257</v>
      </c>
      <c r="U139" s="329" t="n">
        <v>111.743169</v>
      </c>
      <c r="V139" s="329" t="n">
        <v>77.371585</v>
      </c>
      <c r="W139" s="328"/>
      <c r="X139" s="330" t="s">
        <v>340</v>
      </c>
      <c r="Y139" s="331" t="n">
        <v>45729</v>
      </c>
      <c r="Z139" s="328" t="s">
        <v>379</v>
      </c>
      <c r="AA139" s="328" t="s">
        <v>342</v>
      </c>
    </row>
    <row r="140" customFormat="false" ht="15" hidden="false" customHeight="false" outlineLevel="0" collapsed="false">
      <c r="A140" s="328" t="s">
        <v>908</v>
      </c>
      <c r="B140" s="328" t="s">
        <v>909</v>
      </c>
      <c r="C140" s="328" t="s">
        <v>765</v>
      </c>
      <c r="D140" s="328" t="s">
        <v>396</v>
      </c>
      <c r="E140" s="328" t="s">
        <v>766</v>
      </c>
      <c r="F140" s="328" t="s">
        <v>742</v>
      </c>
      <c r="G140" s="328" t="s">
        <v>348</v>
      </c>
      <c r="H140" s="328" t="s">
        <v>339</v>
      </c>
      <c r="I140" s="329" t="n">
        <v>15.5902667573491</v>
      </c>
      <c r="J140" s="329" t="n">
        <v>587.322404</v>
      </c>
      <c r="K140" s="329" t="n">
        <v>392.469945</v>
      </c>
      <c r="L140" s="329" t="n">
        <v>145.846995</v>
      </c>
      <c r="M140" s="329" t="n">
        <v>104.874317</v>
      </c>
      <c r="N140" s="329" t="n">
        <v>285.535519</v>
      </c>
      <c r="O140" s="329" t="n">
        <v>617.469945</v>
      </c>
      <c r="P140" s="329" t="n">
        <v>30.256831</v>
      </c>
      <c r="Q140" s="329" t="n">
        <v>297.251366</v>
      </c>
      <c r="R140" s="329" t="n">
        <v>189.147541</v>
      </c>
      <c r="S140" s="329" t="n">
        <v>82.459016</v>
      </c>
      <c r="T140" s="329" t="n">
        <v>101.453552</v>
      </c>
      <c r="U140" s="329" t="n">
        <v>857.453552</v>
      </c>
      <c r="V140" s="329" t="n">
        <v>727.693989</v>
      </c>
      <c r="W140" s="329" t="n">
        <v>750</v>
      </c>
      <c r="X140" s="330" t="s">
        <v>340</v>
      </c>
      <c r="Y140" s="331" t="n">
        <v>45631</v>
      </c>
      <c r="Z140" s="328" t="s">
        <v>341</v>
      </c>
      <c r="AA140" s="328" t="s">
        <v>342</v>
      </c>
    </row>
    <row r="141" customFormat="false" ht="15" hidden="false" customHeight="false" outlineLevel="0" collapsed="false">
      <c r="A141" s="328" t="s">
        <v>910</v>
      </c>
      <c r="B141" s="328" t="s">
        <v>911</v>
      </c>
      <c r="C141" s="328" t="s">
        <v>912</v>
      </c>
      <c r="D141" s="328" t="s">
        <v>454</v>
      </c>
      <c r="E141" s="328" t="s">
        <v>913</v>
      </c>
      <c r="F141" s="328" t="s">
        <v>456</v>
      </c>
      <c r="G141" s="328" t="s">
        <v>338</v>
      </c>
      <c r="H141" s="328" t="s">
        <v>362</v>
      </c>
      <c r="I141" s="329" t="n">
        <v>51.3413341645885</v>
      </c>
      <c r="J141" s="329" t="n">
        <v>955.480874</v>
      </c>
      <c r="K141" s="329" t="n">
        <v>254.147541</v>
      </c>
      <c r="L141" s="329" t="n">
        <v>237.027322</v>
      </c>
      <c r="M141" s="329" t="n">
        <v>203.759563</v>
      </c>
      <c r="N141" s="329" t="n">
        <v>337.983607</v>
      </c>
      <c r="O141" s="329" t="n">
        <v>1265.245902</v>
      </c>
      <c r="P141" s="329" t="n">
        <v>18.442623</v>
      </c>
      <c r="Q141" s="329" t="n">
        <v>28.743169</v>
      </c>
      <c r="R141" s="329" t="n">
        <v>228.284153</v>
      </c>
      <c r="S141" s="329" t="n">
        <v>85.344262</v>
      </c>
      <c r="T141" s="329" t="n">
        <v>109.666667</v>
      </c>
      <c r="U141" s="329" t="n">
        <v>1227.120218</v>
      </c>
      <c r="V141" s="329" t="n">
        <v>955.688525</v>
      </c>
      <c r="W141" s="329" t="n">
        <v>800</v>
      </c>
      <c r="X141" s="330" t="s">
        <v>340</v>
      </c>
      <c r="Y141" s="331" t="n">
        <v>45722</v>
      </c>
      <c r="Z141" s="328" t="s">
        <v>341</v>
      </c>
      <c r="AA141" s="328" t="s">
        <v>342</v>
      </c>
    </row>
    <row r="142" customFormat="false" ht="15" hidden="false" customHeight="false" outlineLevel="0" collapsed="false">
      <c r="A142" s="328" t="s">
        <v>914</v>
      </c>
      <c r="B142" s="328" t="s">
        <v>915</v>
      </c>
      <c r="C142" s="328" t="s">
        <v>916</v>
      </c>
      <c r="D142" s="328" t="s">
        <v>723</v>
      </c>
      <c r="E142" s="328" t="s">
        <v>917</v>
      </c>
      <c r="F142" s="328" t="s">
        <v>432</v>
      </c>
      <c r="G142" s="328" t="s">
        <v>361</v>
      </c>
      <c r="H142" s="328" t="s">
        <v>362</v>
      </c>
      <c r="I142" s="329" t="n">
        <v>46.2317073170732</v>
      </c>
      <c r="J142" s="329" t="n">
        <v>6.136612</v>
      </c>
      <c r="K142" s="329" t="n">
        <v>2.448087</v>
      </c>
      <c r="L142" s="329" t="n">
        <v>2.278689</v>
      </c>
      <c r="M142" s="329" t="n">
        <v>5.486339</v>
      </c>
      <c r="N142" s="329" t="n">
        <v>9.513661</v>
      </c>
      <c r="O142" s="329" t="n">
        <v>6.180328</v>
      </c>
      <c r="P142" s="329" t="n">
        <v>0.163934</v>
      </c>
      <c r="Q142" s="329" t="n">
        <v>0.491803</v>
      </c>
      <c r="R142" s="329" t="n">
        <v>5.715847</v>
      </c>
      <c r="S142" s="329" t="n">
        <v>2.081967</v>
      </c>
      <c r="T142" s="329" t="n">
        <v>2.63388</v>
      </c>
      <c r="U142" s="329" t="n">
        <v>5.918033</v>
      </c>
      <c r="V142" s="329" t="n">
        <v>9.934426</v>
      </c>
      <c r="W142" s="328"/>
      <c r="X142" s="330"/>
      <c r="Y142" s="330" t="s">
        <v>363</v>
      </c>
      <c r="Z142" s="328"/>
      <c r="AA142" s="328"/>
    </row>
    <row r="143" customFormat="false" ht="15" hidden="false" customHeight="false" outlineLevel="0" collapsed="false">
      <c r="A143" s="328" t="s">
        <v>918</v>
      </c>
      <c r="B143" s="328" t="s">
        <v>919</v>
      </c>
      <c r="C143" s="328" t="s">
        <v>920</v>
      </c>
      <c r="D143" s="328" t="s">
        <v>810</v>
      </c>
      <c r="E143" s="328" t="s">
        <v>921</v>
      </c>
      <c r="F143" s="328" t="s">
        <v>578</v>
      </c>
      <c r="G143" s="328" t="s">
        <v>361</v>
      </c>
      <c r="H143" s="328" t="s">
        <v>362</v>
      </c>
      <c r="I143" s="329" t="n">
        <v>12.0539568345324</v>
      </c>
      <c r="J143" s="329" t="n">
        <v>6.234973</v>
      </c>
      <c r="K143" s="329" t="n">
        <v>1.830601</v>
      </c>
      <c r="L143" s="329" t="n">
        <v>1.04918</v>
      </c>
      <c r="M143" s="329" t="n">
        <v>1.459016</v>
      </c>
      <c r="N143" s="329" t="n">
        <v>1.371585</v>
      </c>
      <c r="O143" s="329" t="n">
        <v>8.453552</v>
      </c>
      <c r="P143" s="329" t="n">
        <v>0.382514</v>
      </c>
      <c r="Q143" s="329" t="n">
        <v>0.36612</v>
      </c>
      <c r="R143" s="329" t="n">
        <v>0.568306</v>
      </c>
      <c r="S143" s="329" t="n">
        <v>1.234973</v>
      </c>
      <c r="T143" s="329" t="n">
        <v>0.480874</v>
      </c>
      <c r="U143" s="329" t="n">
        <v>8.289617</v>
      </c>
      <c r="V143" s="329" t="n">
        <v>7.677596</v>
      </c>
      <c r="W143" s="328"/>
      <c r="X143" s="330" t="s">
        <v>438</v>
      </c>
      <c r="Y143" s="331" t="s">
        <v>439</v>
      </c>
      <c r="Z143" s="328" t="s">
        <v>440</v>
      </c>
      <c r="AA143" s="328" t="s">
        <v>342</v>
      </c>
    </row>
    <row r="144" customFormat="false" ht="15" hidden="false" customHeight="false" outlineLevel="0" collapsed="false">
      <c r="A144" s="328" t="s">
        <v>922</v>
      </c>
      <c r="B144" s="328" t="s">
        <v>923</v>
      </c>
      <c r="C144" s="328" t="s">
        <v>924</v>
      </c>
      <c r="D144" s="328" t="s">
        <v>352</v>
      </c>
      <c r="E144" s="328" t="s">
        <v>925</v>
      </c>
      <c r="F144" s="328" t="s">
        <v>337</v>
      </c>
      <c r="G144" s="328" t="s">
        <v>361</v>
      </c>
      <c r="H144" s="328" t="s">
        <v>339</v>
      </c>
      <c r="I144" s="329" t="n">
        <v>1.8955223880597</v>
      </c>
      <c r="J144" s="329" t="n">
        <v>1.306011</v>
      </c>
      <c r="K144" s="329" t="n">
        <v>0.737705</v>
      </c>
      <c r="L144" s="329" t="n">
        <v>0.437158</v>
      </c>
      <c r="M144" s="329" t="n">
        <v>0.289617</v>
      </c>
      <c r="N144" s="329" t="n">
        <v>0.502732</v>
      </c>
      <c r="O144" s="329" t="n">
        <v>2.26776</v>
      </c>
      <c r="P144" s="329" t="n">
        <v>0</v>
      </c>
      <c r="Q144" s="329" t="n">
        <v>0</v>
      </c>
      <c r="R144" s="329" t="n">
        <v>0.153005</v>
      </c>
      <c r="S144" s="329" t="n">
        <v>0.196721</v>
      </c>
      <c r="T144" s="329" t="n">
        <v>0.278689</v>
      </c>
      <c r="U144" s="329" t="n">
        <v>2.142076</v>
      </c>
      <c r="V144" s="329" t="n">
        <v>2.054645</v>
      </c>
      <c r="W144" s="328"/>
      <c r="X144" s="330" t="s">
        <v>515</v>
      </c>
      <c r="Y144" s="331" t="s">
        <v>363</v>
      </c>
      <c r="Z144" s="328" t="s">
        <v>379</v>
      </c>
      <c r="AA144" s="328" t="s">
        <v>342</v>
      </c>
    </row>
    <row r="145" customFormat="false" ht="15" hidden="false" customHeight="false" outlineLevel="0" collapsed="false">
      <c r="A145" s="328" t="s">
        <v>926</v>
      </c>
      <c r="B145" s="328" t="s">
        <v>927</v>
      </c>
      <c r="C145" s="328" t="s">
        <v>928</v>
      </c>
      <c r="D145" s="328" t="s">
        <v>727</v>
      </c>
      <c r="E145" s="328" t="s">
        <v>929</v>
      </c>
      <c r="F145" s="328" t="s">
        <v>471</v>
      </c>
      <c r="G145" s="328" t="s">
        <v>482</v>
      </c>
      <c r="H145" s="328" t="s">
        <v>339</v>
      </c>
      <c r="I145" s="329" t="n">
        <v>45.9326424870466</v>
      </c>
      <c r="J145" s="329" t="n">
        <v>196.983607</v>
      </c>
      <c r="K145" s="329" t="n">
        <v>119.994536</v>
      </c>
      <c r="L145" s="329" t="n">
        <v>86.710383</v>
      </c>
      <c r="M145" s="329" t="n">
        <v>63.513661</v>
      </c>
      <c r="N145" s="329" t="n">
        <v>180.693989</v>
      </c>
      <c r="O145" s="329" t="n">
        <v>286.453552</v>
      </c>
      <c r="P145" s="329" t="n">
        <v>0</v>
      </c>
      <c r="Q145" s="329" t="n">
        <v>0.054645</v>
      </c>
      <c r="R145" s="329" t="n">
        <v>116.273224</v>
      </c>
      <c r="S145" s="329" t="n">
        <v>44.693989</v>
      </c>
      <c r="T145" s="329" t="n">
        <v>75.442623</v>
      </c>
      <c r="U145" s="329" t="n">
        <v>230.792349</v>
      </c>
      <c r="V145" s="329" t="n">
        <v>224.453552</v>
      </c>
      <c r="W145" s="328"/>
      <c r="X145" s="330" t="s">
        <v>340</v>
      </c>
      <c r="Y145" s="331" t="n">
        <v>45743</v>
      </c>
      <c r="Z145" s="328" t="s">
        <v>379</v>
      </c>
      <c r="AA145" s="328" t="s">
        <v>342</v>
      </c>
    </row>
    <row r="146" customFormat="false" ht="15" hidden="false" customHeight="false" outlineLevel="0" collapsed="false">
      <c r="A146" s="328" t="s">
        <v>930</v>
      </c>
      <c r="B146" s="328" t="s">
        <v>931</v>
      </c>
      <c r="C146" s="328" t="s">
        <v>932</v>
      </c>
      <c r="D146" s="328" t="s">
        <v>933</v>
      </c>
      <c r="E146" s="328" t="s">
        <v>934</v>
      </c>
      <c r="F146" s="328" t="s">
        <v>652</v>
      </c>
      <c r="G146" s="328" t="s">
        <v>361</v>
      </c>
      <c r="H146" s="328" t="s">
        <v>362</v>
      </c>
      <c r="I146" s="329" t="n">
        <v>2.45230769230769</v>
      </c>
      <c r="J146" s="329" t="n">
        <v>2.114754</v>
      </c>
      <c r="K146" s="329" t="n">
        <v>0.95082</v>
      </c>
      <c r="L146" s="329" t="n">
        <v>0.726776</v>
      </c>
      <c r="M146" s="329" t="n">
        <v>0.568306</v>
      </c>
      <c r="N146" s="329" t="n">
        <v>0.879781</v>
      </c>
      <c r="O146" s="329" t="n">
        <v>3.349727</v>
      </c>
      <c r="P146" s="329" t="n">
        <v>0</v>
      </c>
      <c r="Q146" s="329" t="n">
        <v>0.131148</v>
      </c>
      <c r="R146" s="329" t="n">
        <v>0.360656</v>
      </c>
      <c r="S146" s="329" t="n">
        <v>0.415301</v>
      </c>
      <c r="T146" s="329" t="n">
        <v>0.819672</v>
      </c>
      <c r="U146" s="329" t="n">
        <v>2.765027</v>
      </c>
      <c r="V146" s="329" t="n">
        <v>2.142077</v>
      </c>
      <c r="W146" s="328"/>
      <c r="X146" s="330" t="s">
        <v>340</v>
      </c>
      <c r="Y146" s="331" t="s">
        <v>363</v>
      </c>
      <c r="Z146" s="328" t="s">
        <v>379</v>
      </c>
      <c r="AA146" s="328" t="s">
        <v>342</v>
      </c>
    </row>
    <row r="147" customFormat="false" ht="15" hidden="false" customHeight="false" outlineLevel="0" collapsed="false">
      <c r="A147" s="328" t="s">
        <v>935</v>
      </c>
      <c r="B147" s="328" t="s">
        <v>936</v>
      </c>
      <c r="C147" s="328" t="s">
        <v>937</v>
      </c>
      <c r="D147" s="328" t="s">
        <v>358</v>
      </c>
      <c r="E147" s="328" t="s">
        <v>938</v>
      </c>
      <c r="F147" s="328" t="s">
        <v>360</v>
      </c>
      <c r="G147" s="328" t="s">
        <v>361</v>
      </c>
      <c r="H147" s="328" t="s">
        <v>362</v>
      </c>
      <c r="I147" s="329" t="n">
        <v>11.2109375</v>
      </c>
      <c r="J147" s="329" t="n">
        <v>7.726776</v>
      </c>
      <c r="K147" s="329" t="n">
        <v>0.52459</v>
      </c>
      <c r="L147" s="329" t="n">
        <v>0.10929</v>
      </c>
      <c r="M147" s="329" t="n">
        <v>0.284153</v>
      </c>
      <c r="N147" s="329" t="n">
        <v>0</v>
      </c>
      <c r="O147" s="329" t="n">
        <v>0</v>
      </c>
      <c r="P147" s="329" t="n">
        <v>0.043716</v>
      </c>
      <c r="Q147" s="329" t="n">
        <v>8.601093</v>
      </c>
      <c r="R147" s="329" t="n">
        <v>0.26776</v>
      </c>
      <c r="S147" s="329" t="n">
        <v>0.04918</v>
      </c>
      <c r="T147" s="329" t="n">
        <v>0.076503</v>
      </c>
      <c r="U147" s="329" t="n">
        <v>8.251366</v>
      </c>
      <c r="V147" s="329" t="n">
        <v>3.825137</v>
      </c>
      <c r="W147" s="328"/>
      <c r="X147" s="330"/>
      <c r="Y147" s="330" t="s">
        <v>363</v>
      </c>
      <c r="Z147" s="328"/>
      <c r="AA147" s="328"/>
    </row>
    <row r="148" customFormat="false" ht="15" hidden="false" customHeight="false" outlineLevel="0" collapsed="false">
      <c r="A148" s="328" t="s">
        <v>939</v>
      </c>
      <c r="B148" s="328" t="s">
        <v>940</v>
      </c>
      <c r="C148" s="328" t="s">
        <v>941</v>
      </c>
      <c r="D148" s="328" t="s">
        <v>444</v>
      </c>
      <c r="E148" s="328" t="s">
        <v>942</v>
      </c>
      <c r="F148" s="328" t="s">
        <v>437</v>
      </c>
      <c r="G148" s="328" t="s">
        <v>348</v>
      </c>
      <c r="H148" s="328" t="s">
        <v>362</v>
      </c>
      <c r="I148" s="329" t="n">
        <v>49.0834202294056</v>
      </c>
      <c r="J148" s="329" t="n">
        <v>1157.191257</v>
      </c>
      <c r="K148" s="329" t="n">
        <v>127.601093</v>
      </c>
      <c r="L148" s="329" t="n">
        <v>73.918033</v>
      </c>
      <c r="M148" s="329" t="n">
        <v>51.546448</v>
      </c>
      <c r="N148" s="329" t="n">
        <v>141.950819</v>
      </c>
      <c r="O148" s="329" t="n">
        <v>1154.218579</v>
      </c>
      <c r="P148" s="329" t="n">
        <v>6.508197</v>
      </c>
      <c r="Q148" s="329" t="n">
        <v>107.579235</v>
      </c>
      <c r="R148" s="329" t="n">
        <v>63.10929</v>
      </c>
      <c r="S148" s="329" t="n">
        <v>48.420765</v>
      </c>
      <c r="T148" s="329" t="n">
        <v>92.398907</v>
      </c>
      <c r="U148" s="329" t="n">
        <v>1206.327868</v>
      </c>
      <c r="V148" s="329" t="n">
        <v>691.726776</v>
      </c>
      <c r="W148" s="329" t="n">
        <v>1800</v>
      </c>
      <c r="X148" s="332" t="s">
        <v>515</v>
      </c>
      <c r="Y148" s="331" t="s">
        <v>439</v>
      </c>
      <c r="Z148" s="328" t="s">
        <v>379</v>
      </c>
      <c r="AA148" s="328" t="s">
        <v>342</v>
      </c>
    </row>
    <row r="149" customFormat="false" ht="15" hidden="false" customHeight="false" outlineLevel="0" collapsed="false">
      <c r="A149" s="328" t="s">
        <v>943</v>
      </c>
      <c r="B149" s="328" t="s">
        <v>944</v>
      </c>
      <c r="C149" s="328" t="s">
        <v>864</v>
      </c>
      <c r="D149" s="328" t="s">
        <v>435</v>
      </c>
      <c r="E149" s="328" t="s">
        <v>945</v>
      </c>
      <c r="F149" s="328" t="s">
        <v>437</v>
      </c>
      <c r="G149" s="328" t="s">
        <v>361</v>
      </c>
      <c r="H149" s="328" t="s">
        <v>339</v>
      </c>
      <c r="I149" s="329" t="n">
        <v>31.6397400185701</v>
      </c>
      <c r="J149" s="329" t="n">
        <v>133.715847</v>
      </c>
      <c r="K149" s="329" t="n">
        <v>28.120219</v>
      </c>
      <c r="L149" s="329" t="n">
        <v>20.469945</v>
      </c>
      <c r="M149" s="329" t="n">
        <v>14.540984</v>
      </c>
      <c r="N149" s="329" t="n">
        <v>39.382514</v>
      </c>
      <c r="O149" s="329" t="n">
        <v>157.46448</v>
      </c>
      <c r="P149" s="329" t="n">
        <v>0</v>
      </c>
      <c r="Q149" s="329" t="n">
        <v>0</v>
      </c>
      <c r="R149" s="329" t="n">
        <v>21.868852</v>
      </c>
      <c r="S149" s="329" t="n">
        <v>11.04918</v>
      </c>
      <c r="T149" s="329" t="n">
        <v>11.36612</v>
      </c>
      <c r="U149" s="329" t="n">
        <v>152.562841</v>
      </c>
      <c r="V149" s="329" t="n">
        <v>125.273224</v>
      </c>
      <c r="W149" s="328"/>
      <c r="X149" s="330"/>
      <c r="Y149" s="330" t="s">
        <v>439</v>
      </c>
      <c r="Z149" s="328"/>
      <c r="AA149" s="328"/>
    </row>
    <row r="150" customFormat="false" ht="15" hidden="false" customHeight="false" outlineLevel="0" collapsed="false">
      <c r="A150" s="328" t="s">
        <v>946</v>
      </c>
      <c r="B150" s="328" t="s">
        <v>947</v>
      </c>
      <c r="C150" s="328" t="s">
        <v>948</v>
      </c>
      <c r="D150" s="328" t="s">
        <v>949</v>
      </c>
      <c r="E150" s="328" t="s">
        <v>950</v>
      </c>
      <c r="F150" s="328" t="s">
        <v>951</v>
      </c>
      <c r="G150" s="328" t="s">
        <v>348</v>
      </c>
      <c r="H150" s="328" t="s">
        <v>362</v>
      </c>
      <c r="I150" s="329" t="n">
        <v>56.1009555463232</v>
      </c>
      <c r="J150" s="329" t="n">
        <v>537.278689</v>
      </c>
      <c r="K150" s="329" t="n">
        <v>201.065574</v>
      </c>
      <c r="L150" s="329" t="n">
        <v>355.644809</v>
      </c>
      <c r="M150" s="329" t="n">
        <v>195.448087</v>
      </c>
      <c r="N150" s="329" t="n">
        <v>346.409836</v>
      </c>
      <c r="O150" s="329" t="n">
        <v>813.617487</v>
      </c>
      <c r="P150" s="329" t="n">
        <v>28.420765</v>
      </c>
      <c r="Q150" s="329" t="n">
        <v>100.989071</v>
      </c>
      <c r="R150" s="329" t="n">
        <v>261.31694</v>
      </c>
      <c r="S150" s="329" t="n">
        <v>89.912568</v>
      </c>
      <c r="T150" s="329" t="n">
        <v>89.420765</v>
      </c>
      <c r="U150" s="329" t="n">
        <v>848.786886</v>
      </c>
      <c r="V150" s="329" t="n">
        <v>830.360656</v>
      </c>
      <c r="W150" s="329" t="n">
        <v>1181</v>
      </c>
      <c r="X150" s="330" t="s">
        <v>340</v>
      </c>
      <c r="Y150" s="331" t="n">
        <v>45687</v>
      </c>
      <c r="Z150" s="328" t="s">
        <v>341</v>
      </c>
      <c r="AA150" s="328" t="s">
        <v>342</v>
      </c>
    </row>
    <row r="151" customFormat="false" ht="15" hidden="false" customHeight="false" outlineLevel="0" collapsed="false">
      <c r="A151" s="328" t="s">
        <v>952</v>
      </c>
      <c r="B151" s="328" t="s">
        <v>953</v>
      </c>
      <c r="C151" s="328" t="s">
        <v>954</v>
      </c>
      <c r="D151" s="328" t="s">
        <v>551</v>
      </c>
      <c r="E151" s="328" t="s">
        <v>955</v>
      </c>
      <c r="F151" s="328" t="s">
        <v>432</v>
      </c>
      <c r="G151" s="328" t="s">
        <v>361</v>
      </c>
      <c r="H151" s="328" t="s">
        <v>362</v>
      </c>
      <c r="I151" s="329" t="n">
        <v>19.55</v>
      </c>
      <c r="J151" s="329" t="n">
        <v>3.808743</v>
      </c>
      <c r="K151" s="329" t="n">
        <v>6.557377</v>
      </c>
      <c r="L151" s="329" t="n">
        <v>3.071038</v>
      </c>
      <c r="M151" s="329" t="n">
        <v>0.043716</v>
      </c>
      <c r="N151" s="329" t="n">
        <v>1.196721</v>
      </c>
      <c r="O151" s="329" t="n">
        <v>11.497268</v>
      </c>
      <c r="P151" s="329" t="n">
        <v>0</v>
      </c>
      <c r="Q151" s="329" t="n">
        <v>0.786885</v>
      </c>
      <c r="R151" s="329" t="n">
        <v>0.464481</v>
      </c>
      <c r="S151" s="329" t="n">
        <v>0.174863</v>
      </c>
      <c r="T151" s="329" t="n">
        <v>0.928962</v>
      </c>
      <c r="U151" s="329" t="n">
        <v>11.912568</v>
      </c>
      <c r="V151" s="329" t="n">
        <v>6.655738</v>
      </c>
      <c r="W151" s="328"/>
      <c r="X151" s="330" t="s">
        <v>438</v>
      </c>
      <c r="Y151" s="331" t="n">
        <v>45568</v>
      </c>
      <c r="Z151" s="328" t="s">
        <v>440</v>
      </c>
      <c r="AA151" s="328" t="s">
        <v>342</v>
      </c>
    </row>
    <row r="152" customFormat="false" ht="15" hidden="false" customHeight="false" outlineLevel="0" collapsed="false">
      <c r="A152" s="328" t="s">
        <v>956</v>
      </c>
      <c r="B152" s="328" t="s">
        <v>957</v>
      </c>
      <c r="C152" s="328" t="s">
        <v>958</v>
      </c>
      <c r="D152" s="328" t="s">
        <v>499</v>
      </c>
      <c r="E152" s="328" t="s">
        <v>959</v>
      </c>
      <c r="F152" s="328" t="s">
        <v>391</v>
      </c>
      <c r="G152" s="328" t="s">
        <v>361</v>
      </c>
      <c r="H152" s="328" t="s">
        <v>362</v>
      </c>
      <c r="I152" s="329" t="n">
        <v>13.6187050359712</v>
      </c>
      <c r="J152" s="329" t="n">
        <v>8.377049</v>
      </c>
      <c r="K152" s="329" t="n">
        <v>0.36612</v>
      </c>
      <c r="L152" s="329" t="n">
        <v>0.983607</v>
      </c>
      <c r="M152" s="329" t="n">
        <v>0.497268</v>
      </c>
      <c r="N152" s="329" t="n">
        <v>0.754098</v>
      </c>
      <c r="O152" s="329" t="n">
        <v>9.469945</v>
      </c>
      <c r="P152" s="329" t="n">
        <v>0</v>
      </c>
      <c r="Q152" s="329" t="n">
        <v>0</v>
      </c>
      <c r="R152" s="329" t="n">
        <v>0.590164</v>
      </c>
      <c r="S152" s="329" t="n">
        <v>0.043716</v>
      </c>
      <c r="T152" s="329" t="n">
        <v>0.393443</v>
      </c>
      <c r="U152" s="329" t="n">
        <v>9.196722</v>
      </c>
      <c r="V152" s="329" t="n">
        <v>5.021858</v>
      </c>
      <c r="W152" s="328"/>
      <c r="X152" s="330" t="s">
        <v>539</v>
      </c>
      <c r="Y152" s="331" t="n">
        <v>45869</v>
      </c>
      <c r="Z152" s="328" t="s">
        <v>516</v>
      </c>
      <c r="AA152" s="328" t="s">
        <v>342</v>
      </c>
    </row>
    <row r="153" customFormat="false" ht="15" hidden="false" customHeight="false" outlineLevel="0" collapsed="false">
      <c r="A153" s="328" t="s">
        <v>960</v>
      </c>
      <c r="B153" s="328" t="s">
        <v>961</v>
      </c>
      <c r="C153" s="328" t="s">
        <v>962</v>
      </c>
      <c r="D153" s="328" t="s">
        <v>402</v>
      </c>
      <c r="E153" s="328" t="s">
        <v>963</v>
      </c>
      <c r="F153" s="328" t="s">
        <v>404</v>
      </c>
      <c r="G153" s="328" t="s">
        <v>361</v>
      </c>
      <c r="H153" s="328" t="s">
        <v>362</v>
      </c>
      <c r="I153" s="329" t="n">
        <v>36.649373881932</v>
      </c>
      <c r="J153" s="329" t="n">
        <v>58.956284</v>
      </c>
      <c r="K153" s="329" t="n">
        <v>36.120219</v>
      </c>
      <c r="L153" s="329" t="n">
        <v>20.551913</v>
      </c>
      <c r="M153" s="329" t="n">
        <v>17.595628</v>
      </c>
      <c r="N153" s="329" t="n">
        <v>42.562842</v>
      </c>
      <c r="O153" s="329" t="n">
        <v>90.26776</v>
      </c>
      <c r="P153" s="329" t="n">
        <v>0.322404</v>
      </c>
      <c r="Q153" s="329" t="n">
        <v>0.071038</v>
      </c>
      <c r="R153" s="329" t="n">
        <v>18.114754</v>
      </c>
      <c r="S153" s="329" t="n">
        <v>16.36612</v>
      </c>
      <c r="T153" s="329" t="n">
        <v>21.289617</v>
      </c>
      <c r="U153" s="329" t="n">
        <v>77.453552</v>
      </c>
      <c r="V153" s="329" t="n">
        <v>80.945355</v>
      </c>
      <c r="W153" s="328"/>
      <c r="X153" s="330" t="s">
        <v>340</v>
      </c>
      <c r="Y153" s="331" t="n">
        <v>45834</v>
      </c>
      <c r="Z153" s="328" t="s">
        <v>379</v>
      </c>
      <c r="AA153" s="328" t="s">
        <v>342</v>
      </c>
    </row>
    <row r="154" customFormat="false" ht="15" hidden="false" customHeight="false" outlineLevel="0" collapsed="false">
      <c r="A154" s="328" t="s">
        <v>964</v>
      </c>
      <c r="B154" s="328" t="s">
        <v>965</v>
      </c>
      <c r="C154" s="328" t="s">
        <v>966</v>
      </c>
      <c r="D154" s="328" t="s">
        <v>372</v>
      </c>
      <c r="E154" s="328" t="s">
        <v>967</v>
      </c>
      <c r="F154" s="328" t="s">
        <v>374</v>
      </c>
      <c r="G154" s="328" t="s">
        <v>361</v>
      </c>
      <c r="H154" s="328" t="s">
        <v>362</v>
      </c>
      <c r="I154" s="329" t="n">
        <v>2.61397557666214</v>
      </c>
      <c r="J154" s="329" t="n">
        <v>35.147541</v>
      </c>
      <c r="K154" s="329" t="n">
        <v>11.180328</v>
      </c>
      <c r="L154" s="329" t="n">
        <v>9.961749</v>
      </c>
      <c r="M154" s="329" t="n">
        <v>6.169399</v>
      </c>
      <c r="N154" s="329" t="n">
        <v>9.043716</v>
      </c>
      <c r="O154" s="329" t="n">
        <v>42.273224</v>
      </c>
      <c r="P154" s="329" t="n">
        <v>1.234973</v>
      </c>
      <c r="Q154" s="329" t="n">
        <v>9.907104</v>
      </c>
      <c r="R154" s="329" t="n">
        <v>5.147541</v>
      </c>
      <c r="S154" s="329" t="n">
        <v>4.240437</v>
      </c>
      <c r="T154" s="329" t="n">
        <v>4.278689</v>
      </c>
      <c r="U154" s="329" t="n">
        <v>48.79235</v>
      </c>
      <c r="V154" s="329" t="n">
        <v>25.562842</v>
      </c>
      <c r="W154" s="328"/>
      <c r="X154" s="330" t="s">
        <v>340</v>
      </c>
      <c r="Y154" s="331" t="s">
        <v>363</v>
      </c>
      <c r="Z154" s="328" t="s">
        <v>379</v>
      </c>
      <c r="AA154" s="328" t="s">
        <v>342</v>
      </c>
    </row>
    <row r="155" customFormat="false" ht="15" hidden="false" customHeight="false" outlineLevel="0" collapsed="false">
      <c r="A155" s="328" t="s">
        <v>968</v>
      </c>
      <c r="B155" s="328" t="s">
        <v>969</v>
      </c>
      <c r="C155" s="328" t="s">
        <v>970</v>
      </c>
      <c r="D155" s="328" t="s">
        <v>358</v>
      </c>
      <c r="E155" s="328" t="s">
        <v>971</v>
      </c>
      <c r="F155" s="328" t="s">
        <v>409</v>
      </c>
      <c r="G155" s="328" t="s">
        <v>368</v>
      </c>
      <c r="H155" s="328" t="s">
        <v>339</v>
      </c>
      <c r="I155" s="329" t="n">
        <v>49.4173106646059</v>
      </c>
      <c r="J155" s="329" t="n">
        <v>33.737705</v>
      </c>
      <c r="K155" s="329" t="n">
        <v>10.808743</v>
      </c>
      <c r="L155" s="329" t="n">
        <v>52.595628</v>
      </c>
      <c r="M155" s="329" t="n">
        <v>56.57377</v>
      </c>
      <c r="N155" s="329" t="n">
        <v>77.31694</v>
      </c>
      <c r="O155" s="329" t="n">
        <v>75.661202</v>
      </c>
      <c r="P155" s="329" t="n">
        <v>0.737705</v>
      </c>
      <c r="Q155" s="329" t="n">
        <v>0</v>
      </c>
      <c r="R155" s="329" t="n">
        <v>37.502732</v>
      </c>
      <c r="S155" s="329" t="n">
        <v>33.546448</v>
      </c>
      <c r="T155" s="329" t="n">
        <v>22.136612</v>
      </c>
      <c r="U155" s="329" t="n">
        <v>60.530055</v>
      </c>
      <c r="V155" s="329" t="n">
        <v>64.797814</v>
      </c>
      <c r="W155" s="328"/>
      <c r="X155" s="330" t="s">
        <v>340</v>
      </c>
      <c r="Y155" s="331" t="s">
        <v>363</v>
      </c>
      <c r="Z155" s="328" t="s">
        <v>379</v>
      </c>
      <c r="AA155" s="328" t="s">
        <v>342</v>
      </c>
    </row>
    <row r="156" customFormat="false" ht="15" hidden="false" customHeight="false" outlineLevel="0" collapsed="false">
      <c r="A156" s="328" t="s">
        <v>204</v>
      </c>
      <c r="B156" s="328" t="s">
        <v>972</v>
      </c>
      <c r="C156" s="328" t="s">
        <v>973</v>
      </c>
      <c r="D156" s="328" t="s">
        <v>345</v>
      </c>
      <c r="E156" s="328" t="s">
        <v>974</v>
      </c>
      <c r="F156" s="328" t="s">
        <v>751</v>
      </c>
      <c r="G156" s="328" t="s">
        <v>348</v>
      </c>
      <c r="H156" s="328" t="s">
        <v>362</v>
      </c>
      <c r="I156" s="329" t="n">
        <v>61.8707075362987</v>
      </c>
      <c r="J156" s="329" t="n">
        <v>973.57377</v>
      </c>
      <c r="K156" s="329" t="n">
        <v>258.737705</v>
      </c>
      <c r="L156" s="329" t="n">
        <v>81.284153</v>
      </c>
      <c r="M156" s="329" t="n">
        <v>66.644809</v>
      </c>
      <c r="N156" s="329" t="n">
        <v>203.448087</v>
      </c>
      <c r="O156" s="329" t="n">
        <v>939.229508</v>
      </c>
      <c r="P156" s="329" t="n">
        <v>15.31694</v>
      </c>
      <c r="Q156" s="329" t="n">
        <v>222.245902</v>
      </c>
      <c r="R156" s="329" t="n">
        <v>121.896175</v>
      </c>
      <c r="S156" s="329" t="n">
        <v>42.005464</v>
      </c>
      <c r="T156" s="329" t="n">
        <v>85.142077</v>
      </c>
      <c r="U156" s="329" t="n">
        <v>1131.196721</v>
      </c>
      <c r="V156" s="329" t="n">
        <v>497.715847</v>
      </c>
      <c r="W156" s="329" t="n">
        <v>750</v>
      </c>
      <c r="X156" s="330" t="s">
        <v>340</v>
      </c>
      <c r="Y156" s="331" t="n">
        <v>46079</v>
      </c>
      <c r="Z156" s="328" t="s">
        <v>341</v>
      </c>
      <c r="AA156" s="328" t="s">
        <v>342</v>
      </c>
    </row>
    <row r="157" customFormat="false" ht="15" hidden="false" customHeight="false" outlineLevel="0" collapsed="false">
      <c r="A157" s="328" t="s">
        <v>975</v>
      </c>
      <c r="B157" s="328" t="s">
        <v>976</v>
      </c>
      <c r="C157" s="328" t="s">
        <v>977</v>
      </c>
      <c r="D157" s="328" t="s">
        <v>507</v>
      </c>
      <c r="E157" s="328" t="s">
        <v>978</v>
      </c>
      <c r="F157" s="328" t="s">
        <v>509</v>
      </c>
      <c r="G157" s="328" t="s">
        <v>338</v>
      </c>
      <c r="H157" s="328" t="s">
        <v>362</v>
      </c>
      <c r="I157" s="329" t="n">
        <v>64.4589196550159</v>
      </c>
      <c r="J157" s="329" t="n">
        <v>658.234973</v>
      </c>
      <c r="K157" s="329" t="n">
        <v>94.781421</v>
      </c>
      <c r="L157" s="329" t="n">
        <v>69.010929</v>
      </c>
      <c r="M157" s="329" t="n">
        <v>52.666667</v>
      </c>
      <c r="N157" s="329" t="n">
        <v>127.781421</v>
      </c>
      <c r="O157" s="329" t="n">
        <v>610.672131</v>
      </c>
      <c r="P157" s="329" t="n">
        <v>7.989071</v>
      </c>
      <c r="Q157" s="329" t="n">
        <v>128.251366</v>
      </c>
      <c r="R157" s="329" t="n">
        <v>54.42623</v>
      </c>
      <c r="S157" s="329" t="n">
        <v>49.213115</v>
      </c>
      <c r="T157" s="329" t="n">
        <v>62.912568</v>
      </c>
      <c r="U157" s="329" t="n">
        <v>708.142077</v>
      </c>
      <c r="V157" s="329" t="n">
        <v>383.278689</v>
      </c>
      <c r="W157" s="329" t="n">
        <v>500</v>
      </c>
      <c r="X157" s="330" t="s">
        <v>340</v>
      </c>
      <c r="Y157" s="331" t="n">
        <v>45603</v>
      </c>
      <c r="Z157" s="328" t="s">
        <v>341</v>
      </c>
      <c r="AA157" s="328" t="s">
        <v>342</v>
      </c>
    </row>
    <row r="158" customFormat="false" ht="15" hidden="false" customHeight="false" outlineLevel="0" collapsed="false">
      <c r="A158" s="328" t="s">
        <v>208</v>
      </c>
      <c r="B158" s="328" t="s">
        <v>979</v>
      </c>
      <c r="C158" s="328" t="s">
        <v>980</v>
      </c>
      <c r="D158" s="328" t="s">
        <v>710</v>
      </c>
      <c r="E158" s="328" t="s">
        <v>981</v>
      </c>
      <c r="F158" s="328" t="s">
        <v>404</v>
      </c>
      <c r="G158" s="328" t="s">
        <v>368</v>
      </c>
      <c r="H158" s="328"/>
      <c r="I158" s="329" t="n">
        <v>43.75</v>
      </c>
      <c r="J158" s="329" t="n">
        <v>7.830601</v>
      </c>
      <c r="K158" s="329" t="n">
        <v>0.879781</v>
      </c>
      <c r="L158" s="329" t="n">
        <v>7.655738</v>
      </c>
      <c r="M158" s="329" t="n">
        <v>5.584699</v>
      </c>
      <c r="N158" s="329" t="n">
        <v>10.743169</v>
      </c>
      <c r="O158" s="329" t="n">
        <v>11.20765</v>
      </c>
      <c r="P158" s="329" t="n">
        <v>0</v>
      </c>
      <c r="Q158" s="329" t="n">
        <v>0</v>
      </c>
      <c r="R158" s="329" t="n">
        <v>6.84153</v>
      </c>
      <c r="S158" s="329" t="n">
        <v>1.73224</v>
      </c>
      <c r="T158" s="329" t="n">
        <v>2.759563</v>
      </c>
      <c r="U158" s="329" t="n">
        <v>10.617486</v>
      </c>
      <c r="V158" s="329" t="n">
        <v>13.945355</v>
      </c>
      <c r="W158" s="328"/>
      <c r="X158" s="330" t="s">
        <v>340</v>
      </c>
      <c r="Y158" s="331" t="n">
        <v>45918</v>
      </c>
      <c r="Z158" s="328" t="s">
        <v>589</v>
      </c>
      <c r="AA158" s="328" t="s">
        <v>342</v>
      </c>
    </row>
    <row r="159" customFormat="false" ht="15" hidden="false" customHeight="false" outlineLevel="0" collapsed="false">
      <c r="A159" s="328" t="s">
        <v>982</v>
      </c>
      <c r="B159" s="328" t="s">
        <v>983</v>
      </c>
      <c r="C159" s="328" t="s">
        <v>984</v>
      </c>
      <c r="D159" s="328" t="s">
        <v>823</v>
      </c>
      <c r="E159" s="328" t="s">
        <v>985</v>
      </c>
      <c r="F159" s="328" t="s">
        <v>432</v>
      </c>
      <c r="G159" s="328" t="s">
        <v>361</v>
      </c>
      <c r="H159" s="328" t="s">
        <v>362</v>
      </c>
      <c r="I159" s="329" t="n">
        <v>4.36942675159236</v>
      </c>
      <c r="J159" s="329" t="n">
        <v>2.612022</v>
      </c>
      <c r="K159" s="329" t="n">
        <v>0.278689</v>
      </c>
      <c r="L159" s="329" t="n">
        <v>0.409836</v>
      </c>
      <c r="M159" s="329" t="n">
        <v>0.530055</v>
      </c>
      <c r="N159" s="329" t="n">
        <v>1.021858</v>
      </c>
      <c r="O159" s="329" t="n">
        <v>2.715847</v>
      </c>
      <c r="P159" s="329" t="n">
        <v>0</v>
      </c>
      <c r="Q159" s="329" t="n">
        <v>0.092896</v>
      </c>
      <c r="R159" s="329" t="n">
        <v>0.393443</v>
      </c>
      <c r="S159" s="329" t="n">
        <v>0.185792</v>
      </c>
      <c r="T159" s="329" t="n">
        <v>0.540984</v>
      </c>
      <c r="U159" s="329" t="n">
        <v>2.710383</v>
      </c>
      <c r="V159" s="329" t="n">
        <v>2.42623</v>
      </c>
      <c r="W159" s="328"/>
      <c r="X159" s="330" t="s">
        <v>438</v>
      </c>
      <c r="Y159" s="331" t="s">
        <v>363</v>
      </c>
      <c r="Z159" s="328" t="s">
        <v>440</v>
      </c>
      <c r="AA159" s="328" t="s">
        <v>342</v>
      </c>
    </row>
    <row r="160" customFormat="false" ht="15" hidden="false" customHeight="false" outlineLevel="0" collapsed="false">
      <c r="A160" s="328" t="s">
        <v>986</v>
      </c>
      <c r="B160" s="328" t="s">
        <v>987</v>
      </c>
      <c r="C160" s="328" t="s">
        <v>988</v>
      </c>
      <c r="D160" s="328" t="s">
        <v>710</v>
      </c>
      <c r="E160" s="328" t="s">
        <v>989</v>
      </c>
      <c r="F160" s="328" t="s">
        <v>404</v>
      </c>
      <c r="G160" s="328" t="s">
        <v>361</v>
      </c>
      <c r="H160" s="328" t="s">
        <v>362</v>
      </c>
      <c r="I160" s="329" t="n">
        <v>37.6184210526316</v>
      </c>
      <c r="J160" s="329" t="n">
        <v>7.901639</v>
      </c>
      <c r="K160" s="329" t="n">
        <v>1.136612</v>
      </c>
      <c r="L160" s="329" t="n">
        <v>3.284153</v>
      </c>
      <c r="M160" s="329" t="n">
        <v>2.016393</v>
      </c>
      <c r="N160" s="329" t="n">
        <v>2.306011</v>
      </c>
      <c r="O160" s="329" t="n">
        <v>9.579235</v>
      </c>
      <c r="P160" s="329" t="n">
        <v>0.393443</v>
      </c>
      <c r="Q160" s="329" t="n">
        <v>2.060109</v>
      </c>
      <c r="R160" s="329" t="n">
        <v>0.743169</v>
      </c>
      <c r="S160" s="329" t="n">
        <v>1.245902</v>
      </c>
      <c r="T160" s="329" t="n">
        <v>1.469945</v>
      </c>
      <c r="U160" s="329" t="n">
        <v>10.879781</v>
      </c>
      <c r="V160" s="329" t="n">
        <v>8.202186</v>
      </c>
      <c r="W160" s="328"/>
      <c r="X160" s="330"/>
      <c r="Y160" s="330" t="s">
        <v>363</v>
      </c>
      <c r="Z160" s="328"/>
      <c r="AA160" s="328"/>
    </row>
    <row r="161" customFormat="false" ht="15" hidden="false" customHeight="false" outlineLevel="0" collapsed="false">
      <c r="A161" s="328" t="s">
        <v>990</v>
      </c>
      <c r="B161" s="328" t="s">
        <v>991</v>
      </c>
      <c r="C161" s="328" t="s">
        <v>992</v>
      </c>
      <c r="D161" s="328" t="s">
        <v>475</v>
      </c>
      <c r="E161" s="328" t="s">
        <v>993</v>
      </c>
      <c r="F161" s="328" t="s">
        <v>432</v>
      </c>
      <c r="G161" s="328" t="s">
        <v>361</v>
      </c>
      <c r="H161" s="328" t="s">
        <v>362</v>
      </c>
      <c r="I161" s="329" t="n">
        <v>45.1666666666667</v>
      </c>
      <c r="J161" s="329" t="n">
        <v>6.568306</v>
      </c>
      <c r="K161" s="329" t="n">
        <v>4.42623</v>
      </c>
      <c r="L161" s="329" t="n">
        <v>6.579235</v>
      </c>
      <c r="M161" s="329" t="n">
        <v>7.191257</v>
      </c>
      <c r="N161" s="329" t="n">
        <v>12.73224</v>
      </c>
      <c r="O161" s="329" t="n">
        <v>9.535519</v>
      </c>
      <c r="P161" s="329" t="n">
        <v>1.42623</v>
      </c>
      <c r="Q161" s="329" t="n">
        <v>1.071038</v>
      </c>
      <c r="R161" s="329" t="n">
        <v>7.065574</v>
      </c>
      <c r="S161" s="329" t="n">
        <v>5.655738</v>
      </c>
      <c r="T161" s="329" t="n">
        <v>5.284153</v>
      </c>
      <c r="U161" s="329" t="n">
        <v>6.759563</v>
      </c>
      <c r="V161" s="329" t="n">
        <v>19.639344</v>
      </c>
      <c r="W161" s="328"/>
      <c r="X161" s="330" t="s">
        <v>340</v>
      </c>
      <c r="Y161" s="331" t="n">
        <v>45694</v>
      </c>
      <c r="Z161" s="328" t="s">
        <v>379</v>
      </c>
      <c r="AA161" s="328" t="s">
        <v>342</v>
      </c>
    </row>
    <row r="162" customFormat="false" ht="15" hidden="false" customHeight="false" outlineLevel="0" collapsed="false">
      <c r="A162" s="328" t="s">
        <v>994</v>
      </c>
      <c r="B162" s="328" t="s">
        <v>995</v>
      </c>
      <c r="C162" s="328" t="s">
        <v>996</v>
      </c>
      <c r="D162" s="328" t="s">
        <v>383</v>
      </c>
      <c r="E162" s="328" t="s">
        <v>997</v>
      </c>
      <c r="F162" s="328" t="s">
        <v>337</v>
      </c>
      <c r="G162" s="328" t="s">
        <v>368</v>
      </c>
      <c r="H162" s="328" t="s">
        <v>362</v>
      </c>
      <c r="I162" s="329" t="n">
        <v>4.43839383938394</v>
      </c>
      <c r="J162" s="329" t="n">
        <v>31.928962</v>
      </c>
      <c r="K162" s="329" t="n">
        <v>6.284153</v>
      </c>
      <c r="L162" s="329" t="n">
        <v>3.098361</v>
      </c>
      <c r="M162" s="329" t="n">
        <v>2.863388</v>
      </c>
      <c r="N162" s="329" t="n">
        <v>4.84153</v>
      </c>
      <c r="O162" s="329" t="n">
        <v>33.928962</v>
      </c>
      <c r="P162" s="329" t="n">
        <v>1.912568</v>
      </c>
      <c r="Q162" s="329" t="n">
        <v>3.491803</v>
      </c>
      <c r="R162" s="329" t="n">
        <v>2.42623</v>
      </c>
      <c r="S162" s="329" t="n">
        <v>1.928962</v>
      </c>
      <c r="T162" s="329" t="n">
        <v>3.644809</v>
      </c>
      <c r="U162" s="329" t="n">
        <v>36.174863</v>
      </c>
      <c r="V162" s="329" t="n">
        <v>25.540984</v>
      </c>
      <c r="W162" s="328"/>
      <c r="X162" s="330" t="s">
        <v>340</v>
      </c>
      <c r="Y162" s="331" t="s">
        <v>363</v>
      </c>
      <c r="Z162" s="328" t="s">
        <v>379</v>
      </c>
      <c r="AA162" s="328" t="s">
        <v>342</v>
      </c>
    </row>
    <row r="163" customFormat="false" ht="15" hidden="false" customHeight="false" outlineLevel="0" collapsed="false">
      <c r="A163" s="328" t="s">
        <v>998</v>
      </c>
      <c r="B163" s="328" t="s">
        <v>999</v>
      </c>
      <c r="C163" s="328" t="s">
        <v>1000</v>
      </c>
      <c r="D163" s="328" t="s">
        <v>454</v>
      </c>
      <c r="E163" s="328" t="s">
        <v>1001</v>
      </c>
      <c r="F163" s="328" t="s">
        <v>456</v>
      </c>
      <c r="G163" s="328" t="s">
        <v>368</v>
      </c>
      <c r="H163" s="328" t="s">
        <v>339</v>
      </c>
      <c r="I163" s="329" t="n">
        <v>65.9647749510763</v>
      </c>
      <c r="J163" s="329" t="n">
        <v>127.863388</v>
      </c>
      <c r="K163" s="329" t="n">
        <v>51.579235</v>
      </c>
      <c r="L163" s="329" t="n">
        <v>33.409836</v>
      </c>
      <c r="M163" s="329" t="n">
        <v>24.557377</v>
      </c>
      <c r="N163" s="329" t="n">
        <v>69.95082</v>
      </c>
      <c r="O163" s="329" t="n">
        <v>167.459016</v>
      </c>
      <c r="P163" s="329" t="n">
        <v>0</v>
      </c>
      <c r="Q163" s="329" t="n">
        <v>0</v>
      </c>
      <c r="R163" s="329" t="n">
        <v>40.273224</v>
      </c>
      <c r="S163" s="329" t="n">
        <v>17.579235</v>
      </c>
      <c r="T163" s="329" t="n">
        <v>26.84153</v>
      </c>
      <c r="U163" s="329" t="n">
        <v>152.715847</v>
      </c>
      <c r="V163" s="329" t="n">
        <v>111.852459</v>
      </c>
      <c r="W163" s="329" t="n">
        <v>100</v>
      </c>
      <c r="X163" s="330" t="s">
        <v>340</v>
      </c>
      <c r="Y163" s="331" t="n">
        <v>45715</v>
      </c>
      <c r="Z163" s="328" t="s">
        <v>341</v>
      </c>
      <c r="AA163" s="328" t="s">
        <v>342</v>
      </c>
    </row>
    <row r="164" customFormat="false" ht="15" hidden="false" customHeight="false" outlineLevel="0" collapsed="false">
      <c r="A164" s="328" t="s">
        <v>210</v>
      </c>
      <c r="B164" s="328" t="s">
        <v>1002</v>
      </c>
      <c r="C164" s="328" t="s">
        <v>1003</v>
      </c>
      <c r="D164" s="328" t="s">
        <v>352</v>
      </c>
      <c r="E164" s="328" t="s">
        <v>1004</v>
      </c>
      <c r="F164" s="328" t="s">
        <v>337</v>
      </c>
      <c r="G164" s="328" t="s">
        <v>338</v>
      </c>
      <c r="H164" s="328" t="s">
        <v>339</v>
      </c>
      <c r="I164" s="329" t="n">
        <v>15.0306587755894</v>
      </c>
      <c r="J164" s="329" t="n">
        <v>502.371585</v>
      </c>
      <c r="K164" s="329" t="n">
        <v>130.437158</v>
      </c>
      <c r="L164" s="329" t="n">
        <v>129.546448</v>
      </c>
      <c r="M164" s="329" t="n">
        <v>101.814208</v>
      </c>
      <c r="N164" s="329" t="n">
        <v>192.579235</v>
      </c>
      <c r="O164" s="329" t="n">
        <v>671.590163</v>
      </c>
      <c r="P164" s="329" t="n">
        <v>0</v>
      </c>
      <c r="Q164" s="329" t="n">
        <v>0</v>
      </c>
      <c r="R164" s="329" t="n">
        <v>117.491803</v>
      </c>
      <c r="S164" s="329" t="n">
        <v>49.770492</v>
      </c>
      <c r="T164" s="329" t="n">
        <v>76.387978</v>
      </c>
      <c r="U164" s="329" t="n">
        <v>620.519126</v>
      </c>
      <c r="V164" s="329" t="n">
        <v>644.10929</v>
      </c>
      <c r="W164" s="328"/>
      <c r="X164" s="330" t="s">
        <v>340</v>
      </c>
      <c r="Y164" s="331" t="n">
        <v>45757</v>
      </c>
      <c r="Z164" s="328" t="s">
        <v>341</v>
      </c>
      <c r="AA164" s="328" t="s">
        <v>342</v>
      </c>
    </row>
    <row r="165" customFormat="false" ht="15" hidden="false" customHeight="false" outlineLevel="0" collapsed="false">
      <c r="A165" s="328" t="s">
        <v>1005</v>
      </c>
      <c r="B165" s="328" t="s">
        <v>1006</v>
      </c>
      <c r="C165" s="328" t="s">
        <v>1007</v>
      </c>
      <c r="D165" s="328" t="s">
        <v>372</v>
      </c>
      <c r="E165" s="328" t="s">
        <v>1008</v>
      </c>
      <c r="F165" s="328" t="s">
        <v>374</v>
      </c>
      <c r="G165" s="328" t="s">
        <v>361</v>
      </c>
      <c r="H165" s="328" t="s">
        <v>362</v>
      </c>
      <c r="I165" s="329" t="n">
        <v>1.78563283922463</v>
      </c>
      <c r="J165" s="329" t="n">
        <v>22.120219</v>
      </c>
      <c r="K165" s="329" t="n">
        <v>5.431694</v>
      </c>
      <c r="L165" s="329" t="n">
        <v>3.857923</v>
      </c>
      <c r="M165" s="329" t="n">
        <v>2.661202</v>
      </c>
      <c r="N165" s="329" t="n">
        <v>4.956284</v>
      </c>
      <c r="O165" s="329" t="n">
        <v>21.087432</v>
      </c>
      <c r="P165" s="329" t="n">
        <v>0.863388</v>
      </c>
      <c r="Q165" s="329" t="n">
        <v>7.163934</v>
      </c>
      <c r="R165" s="329" t="n">
        <v>3.650273</v>
      </c>
      <c r="S165" s="329" t="n">
        <v>2.060109</v>
      </c>
      <c r="T165" s="329" t="n">
        <v>3.295082</v>
      </c>
      <c r="U165" s="329" t="n">
        <v>25.065574</v>
      </c>
      <c r="V165" s="329" t="n">
        <v>14.863388</v>
      </c>
      <c r="W165" s="328"/>
      <c r="X165" s="330" t="s">
        <v>340</v>
      </c>
      <c r="Y165" s="331" t="s">
        <v>439</v>
      </c>
      <c r="Z165" s="328" t="s">
        <v>379</v>
      </c>
      <c r="AA165" s="328" t="s">
        <v>342</v>
      </c>
    </row>
    <row r="166" customFormat="false" ht="15" hidden="false" customHeight="false" outlineLevel="0" collapsed="false">
      <c r="A166" s="328" t="s">
        <v>1009</v>
      </c>
      <c r="B166" s="328" t="s">
        <v>1010</v>
      </c>
      <c r="C166" s="328" t="s">
        <v>1011</v>
      </c>
      <c r="D166" s="328" t="s">
        <v>1012</v>
      </c>
      <c r="E166" s="328" t="s">
        <v>1013</v>
      </c>
      <c r="F166" s="328" t="s">
        <v>391</v>
      </c>
      <c r="G166" s="328" t="s">
        <v>368</v>
      </c>
      <c r="H166" s="328" t="s">
        <v>339</v>
      </c>
      <c r="I166" s="329" t="n">
        <v>45.3454250135355</v>
      </c>
      <c r="J166" s="329" t="n">
        <v>199.054645</v>
      </c>
      <c r="K166" s="329" t="n">
        <v>34.95082</v>
      </c>
      <c r="L166" s="329" t="n">
        <v>136.273224</v>
      </c>
      <c r="M166" s="329" t="n">
        <v>123.04918</v>
      </c>
      <c r="N166" s="329" t="n">
        <v>131.289617</v>
      </c>
      <c r="O166" s="329" t="n">
        <v>361.803278</v>
      </c>
      <c r="P166" s="329" t="n">
        <v>0</v>
      </c>
      <c r="Q166" s="329" t="n">
        <v>0.234973</v>
      </c>
      <c r="R166" s="329" t="n">
        <v>88.508197</v>
      </c>
      <c r="S166" s="329" t="n">
        <v>36.912568</v>
      </c>
      <c r="T166" s="329" t="n">
        <v>36.15847</v>
      </c>
      <c r="U166" s="329" t="n">
        <v>331.748634</v>
      </c>
      <c r="V166" s="329" t="n">
        <v>224.486339</v>
      </c>
      <c r="W166" s="328"/>
      <c r="X166" s="330" t="s">
        <v>340</v>
      </c>
      <c r="Y166" s="331" t="n">
        <v>45617</v>
      </c>
      <c r="Z166" s="328" t="s">
        <v>379</v>
      </c>
      <c r="AA166" s="328" t="s">
        <v>342</v>
      </c>
    </row>
    <row r="167" customFormat="false" ht="15" hidden="false" customHeight="false" outlineLevel="0" collapsed="false">
      <c r="A167" s="328" t="s">
        <v>1014</v>
      </c>
      <c r="B167" s="328" t="s">
        <v>1015</v>
      </c>
      <c r="C167" s="328" t="s">
        <v>1016</v>
      </c>
      <c r="D167" s="328" t="s">
        <v>723</v>
      </c>
      <c r="E167" s="328" t="s">
        <v>1017</v>
      </c>
      <c r="F167" s="328" t="s">
        <v>432</v>
      </c>
      <c r="G167" s="328" t="s">
        <v>361</v>
      </c>
      <c r="H167" s="328" t="s">
        <v>362</v>
      </c>
      <c r="I167" s="329" t="n">
        <v>23.310502283105</v>
      </c>
      <c r="J167" s="329" t="n">
        <v>21.060109</v>
      </c>
      <c r="K167" s="329" t="n">
        <v>16.333333</v>
      </c>
      <c r="L167" s="329" t="n">
        <v>7.04918</v>
      </c>
      <c r="M167" s="329" t="n">
        <v>9.114754</v>
      </c>
      <c r="N167" s="329" t="n">
        <v>25.092896</v>
      </c>
      <c r="O167" s="329" t="n">
        <v>24.404372</v>
      </c>
      <c r="P167" s="329" t="n">
        <v>0.52459</v>
      </c>
      <c r="Q167" s="329" t="n">
        <v>3.535519</v>
      </c>
      <c r="R167" s="329" t="n">
        <v>9.508197</v>
      </c>
      <c r="S167" s="329" t="n">
        <v>10.174863</v>
      </c>
      <c r="T167" s="329" t="n">
        <v>14.748634</v>
      </c>
      <c r="U167" s="329" t="n">
        <v>19.125683</v>
      </c>
      <c r="V167" s="329" t="n">
        <v>37.071038</v>
      </c>
      <c r="W167" s="328"/>
      <c r="X167" s="330" t="s">
        <v>340</v>
      </c>
      <c r="Y167" s="331" t="n">
        <v>45694</v>
      </c>
      <c r="Z167" s="328" t="s">
        <v>379</v>
      </c>
      <c r="AA167" s="328" t="s">
        <v>385</v>
      </c>
    </row>
    <row r="168" customFormat="false" ht="15" hidden="false" customHeight="false" outlineLevel="0" collapsed="false">
      <c r="A168" s="328" t="s">
        <v>212</v>
      </c>
      <c r="B168" s="328" t="s">
        <v>1018</v>
      </c>
      <c r="C168" s="328" t="s">
        <v>1019</v>
      </c>
      <c r="D168" s="328" t="s">
        <v>396</v>
      </c>
      <c r="E168" s="328" t="s">
        <v>1020</v>
      </c>
      <c r="F168" s="328" t="s">
        <v>538</v>
      </c>
      <c r="G168" s="328" t="s">
        <v>426</v>
      </c>
      <c r="H168" s="328" t="s">
        <v>362</v>
      </c>
      <c r="I168" s="329" t="n">
        <v>7.61689078386356</v>
      </c>
      <c r="J168" s="329" t="n">
        <v>1054.715847</v>
      </c>
      <c r="K168" s="329" t="n">
        <v>84.131148</v>
      </c>
      <c r="L168" s="329" t="n">
        <v>48.262295</v>
      </c>
      <c r="M168" s="329" t="n">
        <v>43.491803</v>
      </c>
      <c r="N168" s="329" t="n">
        <v>133.480875</v>
      </c>
      <c r="O168" s="329" t="n">
        <v>1083.677596</v>
      </c>
      <c r="P168" s="329" t="n">
        <v>1.295082</v>
      </c>
      <c r="Q168" s="329" t="n">
        <v>12.147541</v>
      </c>
      <c r="R168" s="329" t="n">
        <v>62.087432</v>
      </c>
      <c r="S168" s="329" t="n">
        <v>39.579235</v>
      </c>
      <c r="T168" s="329" t="n">
        <v>84.934426</v>
      </c>
      <c r="U168" s="329" t="n">
        <v>1044</v>
      </c>
      <c r="V168" s="329" t="n">
        <v>695.289617</v>
      </c>
      <c r="W168" s="329" t="n">
        <v>650</v>
      </c>
      <c r="X168" s="330" t="s">
        <v>340</v>
      </c>
      <c r="Y168" s="331" t="n">
        <v>45743</v>
      </c>
      <c r="Z168" s="328" t="s">
        <v>341</v>
      </c>
      <c r="AA168" s="328" t="s">
        <v>342</v>
      </c>
    </row>
    <row r="169" customFormat="false" ht="15" hidden="false" customHeight="false" outlineLevel="0" collapsed="false">
      <c r="A169" s="328" t="s">
        <v>1021</v>
      </c>
      <c r="B169" s="328" t="s">
        <v>1022</v>
      </c>
      <c r="C169" s="328" t="s">
        <v>1023</v>
      </c>
      <c r="D169" s="328" t="s">
        <v>723</v>
      </c>
      <c r="E169" s="328" t="s">
        <v>1024</v>
      </c>
      <c r="F169" s="328" t="s">
        <v>432</v>
      </c>
      <c r="G169" s="328" t="s">
        <v>361</v>
      </c>
      <c r="H169" s="328" t="s">
        <v>362</v>
      </c>
      <c r="I169" s="329" t="n">
        <v>18.3829113924051</v>
      </c>
      <c r="J169" s="329" t="n">
        <v>6.065574</v>
      </c>
      <c r="K169" s="329" t="n">
        <v>3.043716</v>
      </c>
      <c r="L169" s="329" t="n">
        <v>5.371585</v>
      </c>
      <c r="M169" s="329" t="n">
        <v>15.245902</v>
      </c>
      <c r="N169" s="329" t="n">
        <v>17.737705</v>
      </c>
      <c r="O169" s="329" t="n">
        <v>8.978142</v>
      </c>
      <c r="P169" s="329" t="n">
        <v>1.060109</v>
      </c>
      <c r="Q169" s="329" t="n">
        <v>1.95082</v>
      </c>
      <c r="R169" s="329" t="n">
        <v>12.459016</v>
      </c>
      <c r="S169" s="329" t="n">
        <v>4.748634</v>
      </c>
      <c r="T169" s="329" t="n">
        <v>5.688525</v>
      </c>
      <c r="U169" s="329" t="n">
        <v>6.830601</v>
      </c>
      <c r="V169" s="329" t="n">
        <v>23.47541</v>
      </c>
      <c r="W169" s="328"/>
      <c r="X169" s="330" t="s">
        <v>340</v>
      </c>
      <c r="Y169" s="331" t="n">
        <v>45589</v>
      </c>
      <c r="Z169" s="328" t="s">
        <v>379</v>
      </c>
      <c r="AA169" s="328" t="s">
        <v>342</v>
      </c>
    </row>
    <row r="170" customFormat="false" ht="15" hidden="false" customHeight="false" outlineLevel="0" collapsed="false">
      <c r="A170" s="328" t="s">
        <v>214</v>
      </c>
      <c r="B170" s="328" t="s">
        <v>1025</v>
      </c>
      <c r="C170" s="328" t="s">
        <v>1026</v>
      </c>
      <c r="D170" s="328" t="s">
        <v>396</v>
      </c>
      <c r="E170" s="328" t="s">
        <v>1027</v>
      </c>
      <c r="F170" s="328" t="s">
        <v>398</v>
      </c>
      <c r="G170" s="328" t="s">
        <v>338</v>
      </c>
      <c r="H170" s="328" t="s">
        <v>362</v>
      </c>
      <c r="I170" s="329" t="n">
        <v>19.027501997033</v>
      </c>
      <c r="J170" s="329" t="n">
        <v>636.464481</v>
      </c>
      <c r="K170" s="329" t="n">
        <v>101.989071</v>
      </c>
      <c r="L170" s="329" t="n">
        <v>130.928962</v>
      </c>
      <c r="M170" s="329" t="n">
        <v>65.912568</v>
      </c>
      <c r="N170" s="329" t="n">
        <v>137.387978</v>
      </c>
      <c r="O170" s="329" t="n">
        <v>667.360656</v>
      </c>
      <c r="P170" s="329" t="n">
        <v>24.180328</v>
      </c>
      <c r="Q170" s="329" t="n">
        <v>106.36612</v>
      </c>
      <c r="R170" s="329" t="n">
        <v>94.092896</v>
      </c>
      <c r="S170" s="329" t="n">
        <v>49.311475</v>
      </c>
      <c r="T170" s="329" t="n">
        <v>75.218579</v>
      </c>
      <c r="U170" s="329" t="n">
        <v>716.672131</v>
      </c>
      <c r="V170" s="329" t="n">
        <v>630.519126</v>
      </c>
      <c r="W170" s="329" t="n">
        <v>525</v>
      </c>
      <c r="X170" s="330" t="s">
        <v>340</v>
      </c>
      <c r="Y170" s="331" t="n">
        <v>46009</v>
      </c>
      <c r="Z170" s="328" t="s">
        <v>589</v>
      </c>
      <c r="AA170" s="328" t="s">
        <v>342</v>
      </c>
    </row>
    <row r="171" customFormat="false" ht="15" hidden="false" customHeight="false" outlineLevel="0" collapsed="false">
      <c r="A171" s="328" t="s">
        <v>1028</v>
      </c>
      <c r="B171" s="328" t="s">
        <v>1029</v>
      </c>
      <c r="C171" s="328" t="s">
        <v>906</v>
      </c>
      <c r="D171" s="328" t="s">
        <v>352</v>
      </c>
      <c r="E171" s="328" t="s">
        <v>1030</v>
      </c>
      <c r="F171" s="328" t="s">
        <v>337</v>
      </c>
      <c r="G171" s="328" t="s">
        <v>338</v>
      </c>
      <c r="H171" s="328" t="s">
        <v>362</v>
      </c>
      <c r="I171" s="329" t="n">
        <v>46.5179794520548</v>
      </c>
      <c r="J171" s="329" t="n">
        <v>861.934426</v>
      </c>
      <c r="K171" s="329" t="n">
        <v>113.814208</v>
      </c>
      <c r="L171" s="329" t="n">
        <v>36.661202</v>
      </c>
      <c r="M171" s="329" t="n">
        <v>26.868852</v>
      </c>
      <c r="N171" s="329" t="n">
        <v>59.650273</v>
      </c>
      <c r="O171" s="329" t="n">
        <v>291.754098</v>
      </c>
      <c r="P171" s="329" t="n">
        <v>38.295082</v>
      </c>
      <c r="Q171" s="329" t="n">
        <v>649.579235</v>
      </c>
      <c r="R171" s="329" t="n">
        <v>42.420765</v>
      </c>
      <c r="S171" s="329" t="n">
        <v>30.945355</v>
      </c>
      <c r="T171" s="329" t="n">
        <v>52.163934</v>
      </c>
      <c r="U171" s="329" t="n">
        <v>913.748634</v>
      </c>
      <c r="V171" s="329" t="n">
        <v>748.693989</v>
      </c>
      <c r="W171" s="329" t="n">
        <v>677</v>
      </c>
      <c r="X171" s="330" t="s">
        <v>340</v>
      </c>
      <c r="Y171" s="331" t="n">
        <v>45603</v>
      </c>
      <c r="Z171" s="328" t="s">
        <v>341</v>
      </c>
      <c r="AA171" s="328" t="s">
        <v>342</v>
      </c>
    </row>
    <row r="172" customFormat="false" ht="15" hidden="false" customHeight="false" outlineLevel="0" collapsed="false">
      <c r="A172" s="328" t="s">
        <v>1031</v>
      </c>
      <c r="B172" s="328" t="s">
        <v>1032</v>
      </c>
      <c r="C172" s="328" t="s">
        <v>814</v>
      </c>
      <c r="D172" s="328" t="s">
        <v>396</v>
      </c>
      <c r="E172" s="328" t="s">
        <v>1033</v>
      </c>
      <c r="F172" s="328" t="s">
        <v>538</v>
      </c>
      <c r="G172" s="328" t="s">
        <v>482</v>
      </c>
      <c r="H172" s="328" t="s">
        <v>339</v>
      </c>
      <c r="I172" s="329" t="n">
        <v>57.8305351521511</v>
      </c>
      <c r="J172" s="329" t="n">
        <v>573.448087</v>
      </c>
      <c r="K172" s="329" t="n">
        <v>50.273224</v>
      </c>
      <c r="L172" s="329" t="n">
        <v>0.480874</v>
      </c>
      <c r="M172" s="329" t="n">
        <v>0.038251</v>
      </c>
      <c r="N172" s="329" t="n">
        <v>41.726776</v>
      </c>
      <c r="O172" s="329" t="n">
        <v>582.513661</v>
      </c>
      <c r="P172" s="329" t="n">
        <v>0</v>
      </c>
      <c r="Q172" s="329" t="n">
        <v>0</v>
      </c>
      <c r="R172" s="329" t="n">
        <v>4.907104</v>
      </c>
      <c r="S172" s="329" t="n">
        <v>13.699454</v>
      </c>
      <c r="T172" s="329" t="n">
        <v>38.349727</v>
      </c>
      <c r="U172" s="329" t="n">
        <v>567.284153</v>
      </c>
      <c r="V172" s="329" t="n">
        <v>374.655738</v>
      </c>
      <c r="W172" s="329" t="n">
        <v>275</v>
      </c>
      <c r="X172" s="330" t="s">
        <v>340</v>
      </c>
      <c r="Y172" s="331" t="n">
        <v>45666</v>
      </c>
      <c r="Z172" s="328" t="s">
        <v>379</v>
      </c>
      <c r="AA172" s="328" t="s">
        <v>342</v>
      </c>
    </row>
    <row r="173" customFormat="false" ht="15" hidden="false" customHeight="false" outlineLevel="0" collapsed="false">
      <c r="A173" s="328" t="s">
        <v>1034</v>
      </c>
      <c r="B173" s="328" t="s">
        <v>1035</v>
      </c>
      <c r="C173" s="328" t="s">
        <v>1036</v>
      </c>
      <c r="D173" s="328" t="s">
        <v>352</v>
      </c>
      <c r="E173" s="328" t="s">
        <v>1037</v>
      </c>
      <c r="F173" s="328" t="s">
        <v>337</v>
      </c>
      <c r="G173" s="328" t="s">
        <v>368</v>
      </c>
      <c r="H173" s="328" t="s">
        <v>339</v>
      </c>
      <c r="I173" s="329" t="n">
        <v>50.4674883127922</v>
      </c>
      <c r="J173" s="329" t="n">
        <v>450.852459</v>
      </c>
      <c r="K173" s="329" t="n">
        <v>80.393443</v>
      </c>
      <c r="L173" s="329" t="n">
        <v>20.437158</v>
      </c>
      <c r="M173" s="329" t="n">
        <v>3.945355</v>
      </c>
      <c r="N173" s="329" t="n">
        <v>40.448087</v>
      </c>
      <c r="O173" s="329" t="n">
        <v>515.169399</v>
      </c>
      <c r="P173" s="329" t="n">
        <v>0</v>
      </c>
      <c r="Q173" s="329" t="n">
        <v>0.010929</v>
      </c>
      <c r="R173" s="329" t="n">
        <v>9.038251</v>
      </c>
      <c r="S173" s="329" t="n">
        <v>12.797814</v>
      </c>
      <c r="T173" s="329" t="n">
        <v>31.31694</v>
      </c>
      <c r="U173" s="329" t="n">
        <v>502.47541</v>
      </c>
      <c r="V173" s="329" t="n">
        <v>405.327869</v>
      </c>
      <c r="W173" s="329" t="n">
        <v>361</v>
      </c>
      <c r="X173" s="330" t="s">
        <v>340</v>
      </c>
      <c r="Y173" s="331" t="n">
        <v>45617</v>
      </c>
      <c r="Z173" s="328" t="s">
        <v>341</v>
      </c>
      <c r="AA173" s="328" t="s">
        <v>342</v>
      </c>
    </row>
    <row r="174" customFormat="false" ht="15" hidden="false" customHeight="false" outlineLevel="0" collapsed="false">
      <c r="A174" s="328" t="s">
        <v>1038</v>
      </c>
      <c r="B174" s="328" t="s">
        <v>1039</v>
      </c>
      <c r="C174" s="328" t="s">
        <v>1040</v>
      </c>
      <c r="D174" s="328" t="s">
        <v>463</v>
      </c>
      <c r="E174" s="328" t="s">
        <v>1041</v>
      </c>
      <c r="F174" s="328" t="s">
        <v>465</v>
      </c>
      <c r="G174" s="328" t="s">
        <v>361</v>
      </c>
      <c r="H174" s="328" t="s">
        <v>362</v>
      </c>
      <c r="I174" s="329" t="n">
        <v>3.11713764813127</v>
      </c>
      <c r="J174" s="329" t="n">
        <v>35.464481</v>
      </c>
      <c r="K174" s="329" t="n">
        <v>28.639344</v>
      </c>
      <c r="L174" s="329" t="n">
        <v>5.338798</v>
      </c>
      <c r="M174" s="329" t="n">
        <v>4.191257</v>
      </c>
      <c r="N174" s="329" t="n">
        <v>11.005464</v>
      </c>
      <c r="O174" s="329" t="n">
        <v>58.174863</v>
      </c>
      <c r="P174" s="329" t="n">
        <v>1.606557</v>
      </c>
      <c r="Q174" s="329" t="n">
        <v>2.846995</v>
      </c>
      <c r="R174" s="329" t="n">
        <v>5.79235</v>
      </c>
      <c r="S174" s="329" t="n">
        <v>4.836066</v>
      </c>
      <c r="T174" s="329" t="n">
        <v>7.31694</v>
      </c>
      <c r="U174" s="329" t="n">
        <v>55.688524</v>
      </c>
      <c r="V174" s="329" t="n">
        <v>43.322404</v>
      </c>
      <c r="W174" s="328"/>
      <c r="X174" s="330"/>
      <c r="Y174" s="330" t="s">
        <v>363</v>
      </c>
      <c r="Z174" s="328"/>
      <c r="AA174" s="328"/>
    </row>
    <row r="175" customFormat="false" ht="15" hidden="false" customHeight="false" outlineLevel="0" collapsed="false">
      <c r="A175" s="328" t="s">
        <v>1042</v>
      </c>
      <c r="B175" s="328" t="s">
        <v>1043</v>
      </c>
      <c r="C175" s="328" t="s">
        <v>1044</v>
      </c>
      <c r="D175" s="328" t="s">
        <v>650</v>
      </c>
      <c r="E175" s="328" t="s">
        <v>1045</v>
      </c>
      <c r="F175" s="328" t="s">
        <v>652</v>
      </c>
      <c r="G175" s="328" t="s">
        <v>361</v>
      </c>
      <c r="H175" s="328" t="s">
        <v>339</v>
      </c>
      <c r="I175" s="329" t="n">
        <v>3.28079331941545</v>
      </c>
      <c r="J175" s="329" t="n">
        <v>10.31694</v>
      </c>
      <c r="K175" s="329" t="n">
        <v>3.311475</v>
      </c>
      <c r="L175" s="329" t="n">
        <v>1.404372</v>
      </c>
      <c r="M175" s="329" t="n">
        <v>2.52459</v>
      </c>
      <c r="N175" s="329" t="n">
        <v>6.928962</v>
      </c>
      <c r="O175" s="329" t="n">
        <v>10.612022</v>
      </c>
      <c r="P175" s="329" t="n">
        <v>0.016393</v>
      </c>
      <c r="Q175" s="329" t="n">
        <v>0</v>
      </c>
      <c r="R175" s="329" t="n">
        <v>2.994536</v>
      </c>
      <c r="S175" s="329" t="n">
        <v>2.333333</v>
      </c>
      <c r="T175" s="329" t="n">
        <v>2.584699</v>
      </c>
      <c r="U175" s="329" t="n">
        <v>9.644809</v>
      </c>
      <c r="V175" s="329" t="n">
        <v>10.333333</v>
      </c>
      <c r="W175" s="328"/>
      <c r="X175" s="330" t="s">
        <v>340</v>
      </c>
      <c r="Y175" s="331" t="s">
        <v>363</v>
      </c>
      <c r="Z175" s="328" t="s">
        <v>379</v>
      </c>
      <c r="AA175" s="328" t="s">
        <v>342</v>
      </c>
    </row>
    <row r="176" customFormat="false" ht="15" hidden="false" customHeight="false" outlineLevel="0" collapsed="false">
      <c r="A176" s="328" t="s">
        <v>1046</v>
      </c>
      <c r="B176" s="328" t="s">
        <v>1047</v>
      </c>
      <c r="C176" s="328" t="s">
        <v>1048</v>
      </c>
      <c r="D176" s="328" t="s">
        <v>1049</v>
      </c>
      <c r="E176" s="328" t="s">
        <v>1050</v>
      </c>
      <c r="F176" s="328" t="s">
        <v>450</v>
      </c>
      <c r="G176" s="328" t="s">
        <v>361</v>
      </c>
      <c r="H176" s="328" t="s">
        <v>362</v>
      </c>
      <c r="I176" s="329" t="n">
        <v>41.9152542372881</v>
      </c>
      <c r="J176" s="329" t="n">
        <v>4.836066</v>
      </c>
      <c r="K176" s="329" t="n">
        <v>10.344262</v>
      </c>
      <c r="L176" s="329" t="n">
        <v>4.087432</v>
      </c>
      <c r="M176" s="329" t="n">
        <v>0.196721</v>
      </c>
      <c r="N176" s="329" t="n">
        <v>3.065574</v>
      </c>
      <c r="O176" s="329" t="n">
        <v>14.153005</v>
      </c>
      <c r="P176" s="329" t="n">
        <v>0.584699</v>
      </c>
      <c r="Q176" s="329" t="n">
        <v>1.661202</v>
      </c>
      <c r="R176" s="329" t="n">
        <v>3.142077</v>
      </c>
      <c r="S176" s="329" t="n">
        <v>0.540984</v>
      </c>
      <c r="T176" s="329" t="n">
        <v>1.486339</v>
      </c>
      <c r="U176" s="329" t="n">
        <v>14.295082</v>
      </c>
      <c r="V176" s="329" t="n">
        <v>13.437158</v>
      </c>
      <c r="W176" s="328"/>
      <c r="X176" s="330" t="s">
        <v>438</v>
      </c>
      <c r="Y176" s="331" t="n">
        <v>45359</v>
      </c>
      <c r="Z176" s="328" t="s">
        <v>440</v>
      </c>
      <c r="AA176" s="328" t="s">
        <v>342</v>
      </c>
    </row>
    <row r="177" customFormat="false" ht="15" hidden="false" customHeight="false" outlineLevel="0" collapsed="false">
      <c r="A177" s="328" t="s">
        <v>1051</v>
      </c>
      <c r="B177" s="328" t="s">
        <v>1052</v>
      </c>
      <c r="C177" s="328" t="s">
        <v>1053</v>
      </c>
      <c r="D177" s="328" t="s">
        <v>565</v>
      </c>
      <c r="E177" s="328" t="s">
        <v>1054</v>
      </c>
      <c r="F177" s="328" t="s">
        <v>471</v>
      </c>
      <c r="G177" s="328" t="s">
        <v>361</v>
      </c>
      <c r="H177" s="328" t="s">
        <v>362</v>
      </c>
      <c r="I177" s="329" t="n">
        <v>1.984375</v>
      </c>
      <c r="J177" s="329" t="n">
        <v>0.584699</v>
      </c>
      <c r="K177" s="329" t="n">
        <v>0.628415</v>
      </c>
      <c r="L177" s="329" t="n">
        <v>0.065574</v>
      </c>
      <c r="M177" s="329" t="n">
        <v>0.060109</v>
      </c>
      <c r="N177" s="329" t="n">
        <v>0.218579</v>
      </c>
      <c r="O177" s="329" t="n">
        <v>0.989071</v>
      </c>
      <c r="P177" s="329" t="n">
        <v>0.043716</v>
      </c>
      <c r="Q177" s="329" t="n">
        <v>0.087432</v>
      </c>
      <c r="R177" s="329" t="n">
        <v>0.185792</v>
      </c>
      <c r="S177" s="329" t="n">
        <v>0.065574</v>
      </c>
      <c r="T177" s="329" t="n">
        <v>0.240437</v>
      </c>
      <c r="U177" s="329" t="n">
        <v>0.846994</v>
      </c>
      <c r="V177" s="329" t="n">
        <v>0.857923</v>
      </c>
      <c r="W177" s="328"/>
      <c r="X177" s="330" t="s">
        <v>340</v>
      </c>
      <c r="Y177" s="331" t="s">
        <v>439</v>
      </c>
      <c r="Z177" s="328" t="s">
        <v>379</v>
      </c>
      <c r="AA177" s="328" t="s">
        <v>342</v>
      </c>
    </row>
    <row r="178" customFormat="false" ht="15" hidden="false" customHeight="false" outlineLevel="0" collapsed="false">
      <c r="A178" s="328" t="s">
        <v>1055</v>
      </c>
      <c r="B178" s="328" t="s">
        <v>1056</v>
      </c>
      <c r="C178" s="328" t="s">
        <v>1057</v>
      </c>
      <c r="D178" s="328" t="s">
        <v>1058</v>
      </c>
      <c r="E178" s="328" t="s">
        <v>1059</v>
      </c>
      <c r="F178" s="328" t="s">
        <v>374</v>
      </c>
      <c r="G178" s="328" t="s">
        <v>354</v>
      </c>
      <c r="H178" s="328" t="s">
        <v>362</v>
      </c>
      <c r="I178" s="329" t="n">
        <v>3.17023675310034</v>
      </c>
      <c r="J178" s="329" t="n">
        <v>10.595628</v>
      </c>
      <c r="K178" s="329" t="n">
        <v>1.617486</v>
      </c>
      <c r="L178" s="329" t="n">
        <v>1.497268</v>
      </c>
      <c r="M178" s="329" t="n">
        <v>1.234973</v>
      </c>
      <c r="N178" s="329" t="n">
        <v>1.836066</v>
      </c>
      <c r="O178" s="329" t="n">
        <v>12.060109</v>
      </c>
      <c r="P178" s="329" t="n">
        <v>0.04918</v>
      </c>
      <c r="Q178" s="329" t="n">
        <v>1</v>
      </c>
      <c r="R178" s="329" t="n">
        <v>2.032787</v>
      </c>
      <c r="S178" s="329" t="n">
        <v>0.743169</v>
      </c>
      <c r="T178" s="329" t="n">
        <v>0.442623</v>
      </c>
      <c r="U178" s="329" t="n">
        <v>11.726776</v>
      </c>
      <c r="V178" s="329" t="n">
        <v>8.278689</v>
      </c>
      <c r="W178" s="329" t="n">
        <v>100</v>
      </c>
      <c r="X178" s="330"/>
      <c r="Y178" s="330"/>
      <c r="Z178" s="328"/>
      <c r="AA178" s="328"/>
    </row>
    <row r="179" customFormat="false" ht="15" hidden="false" customHeight="false" outlineLevel="0" collapsed="false">
      <c r="A179" s="328" t="s">
        <v>1060</v>
      </c>
      <c r="B179" s="328" t="s">
        <v>1061</v>
      </c>
      <c r="C179" s="328" t="s">
        <v>1062</v>
      </c>
      <c r="D179" s="328" t="s">
        <v>479</v>
      </c>
      <c r="E179" s="328" t="s">
        <v>1063</v>
      </c>
      <c r="F179" s="328" t="s">
        <v>751</v>
      </c>
      <c r="G179" s="328" t="s">
        <v>368</v>
      </c>
      <c r="H179" s="328" t="s">
        <v>362</v>
      </c>
      <c r="I179" s="329" t="n">
        <v>67.033096926714</v>
      </c>
      <c r="J179" s="329" t="n">
        <v>208.180328</v>
      </c>
      <c r="K179" s="329" t="n">
        <v>35.371585</v>
      </c>
      <c r="L179" s="329" t="n">
        <v>15.289617</v>
      </c>
      <c r="M179" s="329" t="n">
        <v>22.650273</v>
      </c>
      <c r="N179" s="329" t="n">
        <v>48.775956</v>
      </c>
      <c r="O179" s="329" t="n">
        <v>179.978142</v>
      </c>
      <c r="P179" s="329" t="n">
        <v>0.868852</v>
      </c>
      <c r="Q179" s="329" t="n">
        <v>51.868852</v>
      </c>
      <c r="R179" s="329" t="n">
        <v>29.584699</v>
      </c>
      <c r="S179" s="329" t="n">
        <v>10.595628</v>
      </c>
      <c r="T179" s="329" t="n">
        <v>13.557377</v>
      </c>
      <c r="U179" s="329" t="n">
        <v>227.754098</v>
      </c>
      <c r="V179" s="329" t="n">
        <v>152.032787</v>
      </c>
      <c r="W179" s="329" t="n">
        <v>100</v>
      </c>
      <c r="X179" s="330" t="s">
        <v>340</v>
      </c>
      <c r="Y179" s="331" t="s">
        <v>363</v>
      </c>
      <c r="Z179" s="328" t="s">
        <v>379</v>
      </c>
      <c r="AA179" s="328" t="s">
        <v>342</v>
      </c>
    </row>
    <row r="180" customFormat="false" ht="15" hidden="false" customHeight="false" outlineLevel="0" collapsed="false">
      <c r="A180" s="328" t="s">
        <v>1064</v>
      </c>
      <c r="B180" s="328" t="s">
        <v>1065</v>
      </c>
      <c r="C180" s="328" t="s">
        <v>1066</v>
      </c>
      <c r="D180" s="328" t="s">
        <v>475</v>
      </c>
      <c r="E180" s="328" t="s">
        <v>1067</v>
      </c>
      <c r="F180" s="328" t="s">
        <v>432</v>
      </c>
      <c r="G180" s="328" t="s">
        <v>361</v>
      </c>
      <c r="H180" s="328" t="s">
        <v>362</v>
      </c>
      <c r="I180" s="329" t="n">
        <v>20.1917098445596</v>
      </c>
      <c r="J180" s="329" t="n">
        <v>5.57377</v>
      </c>
      <c r="K180" s="329" t="n">
        <v>2.830601</v>
      </c>
      <c r="L180" s="329" t="n">
        <v>4.377049</v>
      </c>
      <c r="M180" s="329" t="n">
        <v>7.617486</v>
      </c>
      <c r="N180" s="329" t="n">
        <v>10.693989</v>
      </c>
      <c r="O180" s="329" t="n">
        <v>8.169399</v>
      </c>
      <c r="P180" s="329" t="n">
        <v>0.360656</v>
      </c>
      <c r="Q180" s="329" t="n">
        <v>1.174863</v>
      </c>
      <c r="R180" s="329" t="n">
        <v>5.535519</v>
      </c>
      <c r="S180" s="329" t="n">
        <v>4.147541</v>
      </c>
      <c r="T180" s="329" t="n">
        <v>4.300546</v>
      </c>
      <c r="U180" s="329" t="n">
        <v>6.4153</v>
      </c>
      <c r="V180" s="329" t="n">
        <v>15.519126</v>
      </c>
      <c r="W180" s="328"/>
      <c r="X180" s="330"/>
      <c r="Y180" s="330" t="s">
        <v>363</v>
      </c>
      <c r="Z180" s="328"/>
      <c r="AA180" s="328"/>
    </row>
    <row r="181" customFormat="false" ht="15" hidden="false" customHeight="false" outlineLevel="0" collapsed="false">
      <c r="A181" s="328" t="s">
        <v>1068</v>
      </c>
      <c r="B181" s="328" t="s">
        <v>1069</v>
      </c>
      <c r="C181" s="328" t="s">
        <v>1070</v>
      </c>
      <c r="D181" s="328" t="s">
        <v>602</v>
      </c>
      <c r="E181" s="328" t="s">
        <v>1071</v>
      </c>
      <c r="F181" s="328" t="s">
        <v>404</v>
      </c>
      <c r="G181" s="328" t="s">
        <v>361</v>
      </c>
      <c r="H181" s="328" t="s">
        <v>362</v>
      </c>
      <c r="I181" s="329" t="n">
        <v>19.3693693693694</v>
      </c>
      <c r="J181" s="329" t="n">
        <v>4.224044</v>
      </c>
      <c r="K181" s="329" t="n">
        <v>0.89071</v>
      </c>
      <c r="L181" s="329" t="n">
        <v>5.874317</v>
      </c>
      <c r="M181" s="329" t="n">
        <v>1.628415</v>
      </c>
      <c r="N181" s="329" t="n">
        <v>4.409836</v>
      </c>
      <c r="O181" s="329" t="n">
        <v>8.202186</v>
      </c>
      <c r="P181" s="329" t="n">
        <v>0</v>
      </c>
      <c r="Q181" s="329" t="n">
        <v>0.005464</v>
      </c>
      <c r="R181" s="329" t="n">
        <v>0.857923</v>
      </c>
      <c r="S181" s="329" t="n">
        <v>1.934426</v>
      </c>
      <c r="T181" s="329" t="n">
        <v>2.568306</v>
      </c>
      <c r="U181" s="329" t="n">
        <v>7.256831</v>
      </c>
      <c r="V181" s="329" t="n">
        <v>9.808743</v>
      </c>
      <c r="W181" s="328"/>
      <c r="X181" s="330"/>
      <c r="Y181" s="330" t="s">
        <v>363</v>
      </c>
      <c r="Z181" s="328"/>
      <c r="AA181" s="328"/>
    </row>
    <row r="182" customFormat="false" ht="15" hidden="false" customHeight="false" outlineLevel="0" collapsed="false">
      <c r="A182" s="328" t="s">
        <v>1072</v>
      </c>
      <c r="B182" s="328" t="s">
        <v>1073</v>
      </c>
      <c r="C182" s="328" t="s">
        <v>1074</v>
      </c>
      <c r="D182" s="328" t="s">
        <v>723</v>
      </c>
      <c r="E182" s="328" t="s">
        <v>1075</v>
      </c>
      <c r="F182" s="328" t="s">
        <v>404</v>
      </c>
      <c r="G182" s="328" t="s">
        <v>361</v>
      </c>
      <c r="H182" s="328" t="s">
        <v>362</v>
      </c>
      <c r="I182" s="329" t="n">
        <v>1.8974358974359</v>
      </c>
      <c r="J182" s="329" t="n">
        <v>0.081967</v>
      </c>
      <c r="K182" s="329" t="n">
        <v>0.196721</v>
      </c>
      <c r="L182" s="329" t="n">
        <v>0.300546</v>
      </c>
      <c r="M182" s="329" t="n">
        <v>1.04918</v>
      </c>
      <c r="N182" s="329" t="n">
        <v>1.42623</v>
      </c>
      <c r="O182" s="329" t="n">
        <v>0.191257</v>
      </c>
      <c r="P182" s="329" t="n">
        <v>0</v>
      </c>
      <c r="Q182" s="329" t="n">
        <v>0.010929</v>
      </c>
      <c r="R182" s="329" t="n">
        <v>1.398907</v>
      </c>
      <c r="S182" s="329" t="n">
        <v>0.120219</v>
      </c>
      <c r="T182" s="329" t="n">
        <v>0</v>
      </c>
      <c r="U182" s="329" t="n">
        <v>0.10929</v>
      </c>
      <c r="V182" s="329" t="n">
        <v>1.371585</v>
      </c>
      <c r="W182" s="328"/>
      <c r="X182" s="330"/>
      <c r="Y182" s="330" t="s">
        <v>363</v>
      </c>
      <c r="Z182" s="328"/>
      <c r="AA182" s="328"/>
    </row>
    <row r="183" customFormat="false" ht="15" hidden="false" customHeight="false" outlineLevel="0" collapsed="false">
      <c r="A183" s="328" t="s">
        <v>1076</v>
      </c>
      <c r="B183" s="328" t="s">
        <v>1077</v>
      </c>
      <c r="C183" s="328" t="s">
        <v>1078</v>
      </c>
      <c r="D183" s="328" t="s">
        <v>435</v>
      </c>
      <c r="E183" s="328" t="s">
        <v>1079</v>
      </c>
      <c r="F183" s="328" t="s">
        <v>437</v>
      </c>
      <c r="G183" s="328" t="s">
        <v>368</v>
      </c>
      <c r="H183" s="328" t="s">
        <v>362</v>
      </c>
      <c r="I183" s="329" t="n">
        <v>30.2560240963855</v>
      </c>
      <c r="J183" s="329" t="n">
        <v>39.650273</v>
      </c>
      <c r="K183" s="329" t="n">
        <v>9.393443</v>
      </c>
      <c r="L183" s="329" t="n">
        <v>5.289617</v>
      </c>
      <c r="M183" s="329" t="n">
        <v>5.224044</v>
      </c>
      <c r="N183" s="329" t="n">
        <v>11.065574</v>
      </c>
      <c r="O183" s="329" t="n">
        <v>43.5847</v>
      </c>
      <c r="P183" s="329" t="n">
        <v>0.42623</v>
      </c>
      <c r="Q183" s="329" t="n">
        <v>4.480874</v>
      </c>
      <c r="R183" s="329" t="n">
        <v>2.693989</v>
      </c>
      <c r="S183" s="329" t="n">
        <v>2.748634</v>
      </c>
      <c r="T183" s="329" t="n">
        <v>8.748634</v>
      </c>
      <c r="U183" s="329" t="n">
        <v>45.366121</v>
      </c>
      <c r="V183" s="329" t="n">
        <v>36.857923</v>
      </c>
      <c r="W183" s="328"/>
      <c r="X183" s="330" t="s">
        <v>340</v>
      </c>
      <c r="Y183" s="331" t="n">
        <v>45596</v>
      </c>
      <c r="Z183" s="328" t="s">
        <v>379</v>
      </c>
      <c r="AA183" s="328" t="s">
        <v>342</v>
      </c>
    </row>
    <row r="184" customFormat="false" ht="15" hidden="false" customHeight="false" outlineLevel="0" collapsed="false">
      <c r="A184" s="328" t="s">
        <v>216</v>
      </c>
      <c r="B184" s="328" t="s">
        <v>1080</v>
      </c>
      <c r="C184" s="328" t="s">
        <v>1081</v>
      </c>
      <c r="D184" s="328" t="s">
        <v>551</v>
      </c>
      <c r="E184" s="328" t="s">
        <v>1082</v>
      </c>
      <c r="F184" s="328" t="s">
        <v>432</v>
      </c>
      <c r="G184" s="328" t="s">
        <v>361</v>
      </c>
      <c r="H184" s="328" t="s">
        <v>339</v>
      </c>
      <c r="I184" s="329" t="n">
        <v>21.7355555555556</v>
      </c>
      <c r="J184" s="329" t="n">
        <v>44.661202</v>
      </c>
      <c r="K184" s="329" t="n">
        <v>22.612022</v>
      </c>
      <c r="L184" s="329" t="n">
        <v>21.043716</v>
      </c>
      <c r="M184" s="329" t="n">
        <v>11.311475</v>
      </c>
      <c r="N184" s="329" t="n">
        <v>28.393443</v>
      </c>
      <c r="O184" s="329" t="n">
        <v>64.371585</v>
      </c>
      <c r="P184" s="329" t="n">
        <v>3.262295</v>
      </c>
      <c r="Q184" s="329" t="n">
        <v>3.601093</v>
      </c>
      <c r="R184" s="329" t="n">
        <v>20.032787</v>
      </c>
      <c r="S184" s="329" t="n">
        <v>6.699454</v>
      </c>
      <c r="T184" s="329" t="n">
        <v>11.551913</v>
      </c>
      <c r="U184" s="329" t="n">
        <v>61.344262</v>
      </c>
      <c r="V184" s="329" t="n">
        <v>53.010929</v>
      </c>
      <c r="W184" s="328"/>
      <c r="X184" s="330" t="s">
        <v>340</v>
      </c>
      <c r="Y184" s="331" t="s">
        <v>363</v>
      </c>
      <c r="Z184" s="328" t="s">
        <v>379</v>
      </c>
      <c r="AA184" s="328" t="s">
        <v>342</v>
      </c>
    </row>
    <row r="185" customFormat="false" ht="15" hidden="false" customHeight="false" outlineLevel="0" collapsed="false">
      <c r="A185" s="328" t="s">
        <v>1083</v>
      </c>
      <c r="B185" s="328" t="s">
        <v>1084</v>
      </c>
      <c r="C185" s="328" t="s">
        <v>1085</v>
      </c>
      <c r="D185" s="328" t="s">
        <v>723</v>
      </c>
      <c r="E185" s="328" t="s">
        <v>1086</v>
      </c>
      <c r="F185" s="328" t="s">
        <v>432</v>
      </c>
      <c r="G185" s="328" t="s">
        <v>361</v>
      </c>
      <c r="H185" s="328" t="s">
        <v>362</v>
      </c>
      <c r="I185" s="329" t="n">
        <v>33.75</v>
      </c>
      <c r="J185" s="329" t="n">
        <v>6.021858</v>
      </c>
      <c r="K185" s="329" t="n">
        <v>1.04918</v>
      </c>
      <c r="L185" s="329" t="n">
        <v>2.442623</v>
      </c>
      <c r="M185" s="329" t="n">
        <v>2.453552</v>
      </c>
      <c r="N185" s="329" t="n">
        <v>5.065574</v>
      </c>
      <c r="O185" s="329" t="n">
        <v>6.666667</v>
      </c>
      <c r="P185" s="329" t="n">
        <v>0.234973</v>
      </c>
      <c r="Q185" s="329" t="n">
        <v>0</v>
      </c>
      <c r="R185" s="329" t="n">
        <v>2.20765</v>
      </c>
      <c r="S185" s="329" t="n">
        <v>2.136612</v>
      </c>
      <c r="T185" s="329" t="n">
        <v>1.721311</v>
      </c>
      <c r="U185" s="329" t="n">
        <v>5.901639</v>
      </c>
      <c r="V185" s="329" t="n">
        <v>9.36612</v>
      </c>
      <c r="W185" s="328"/>
      <c r="X185" s="330"/>
      <c r="Y185" s="330"/>
      <c r="Z185" s="328"/>
      <c r="AA185" s="328"/>
    </row>
    <row r="186" customFormat="false" ht="15" hidden="false" customHeight="false" outlineLevel="0" collapsed="false">
      <c r="A186" s="328" t="s">
        <v>1087</v>
      </c>
      <c r="B186" s="328" t="s">
        <v>1088</v>
      </c>
      <c r="C186" s="328" t="s">
        <v>1089</v>
      </c>
      <c r="D186" s="328" t="s">
        <v>352</v>
      </c>
      <c r="E186" s="328" t="s">
        <v>1090</v>
      </c>
      <c r="F186" s="328" t="s">
        <v>337</v>
      </c>
      <c r="G186" s="328" t="s">
        <v>338</v>
      </c>
      <c r="H186" s="328" t="s">
        <v>362</v>
      </c>
      <c r="I186" s="329" t="n">
        <v>44.6013259668508</v>
      </c>
      <c r="J186" s="329" t="n">
        <v>613.606557</v>
      </c>
      <c r="K186" s="329" t="n">
        <v>121.639344</v>
      </c>
      <c r="L186" s="329" t="n">
        <v>167.628415</v>
      </c>
      <c r="M186" s="329" t="n">
        <v>62.420765</v>
      </c>
      <c r="N186" s="329" t="n">
        <v>0.065574</v>
      </c>
      <c r="O186" s="329" t="n">
        <v>1.032787</v>
      </c>
      <c r="P186" s="329" t="n">
        <v>143.087432</v>
      </c>
      <c r="Q186" s="329" t="n">
        <v>821.10929</v>
      </c>
      <c r="R186" s="329" t="n">
        <v>90.103825</v>
      </c>
      <c r="S186" s="329" t="n">
        <v>40.513661</v>
      </c>
      <c r="T186" s="329" t="n">
        <v>46.289617</v>
      </c>
      <c r="U186" s="329" t="n">
        <v>788.387978</v>
      </c>
      <c r="V186" s="329" t="n">
        <v>643.562842</v>
      </c>
      <c r="W186" s="329" t="n">
        <v>700</v>
      </c>
      <c r="X186" s="330" t="s">
        <v>340</v>
      </c>
      <c r="Y186" s="331" t="s">
        <v>439</v>
      </c>
      <c r="Z186" s="328" t="s">
        <v>341</v>
      </c>
      <c r="AA186" s="328" t="s">
        <v>342</v>
      </c>
    </row>
    <row r="187" customFormat="false" ht="15" hidden="false" customHeight="false" outlineLevel="0" collapsed="false">
      <c r="A187" s="328" t="s">
        <v>218</v>
      </c>
      <c r="B187" s="328" t="s">
        <v>1091</v>
      </c>
      <c r="C187" s="328" t="s">
        <v>1092</v>
      </c>
      <c r="D187" s="328" t="s">
        <v>396</v>
      </c>
      <c r="E187" s="328" t="s">
        <v>1093</v>
      </c>
      <c r="F187" s="328" t="s">
        <v>594</v>
      </c>
      <c r="G187" s="328" t="s">
        <v>348</v>
      </c>
      <c r="H187" s="328" t="s">
        <v>362</v>
      </c>
      <c r="I187" s="329" t="n">
        <v>48.4281218946671</v>
      </c>
      <c r="J187" s="329" t="n">
        <v>987.245902</v>
      </c>
      <c r="K187" s="329" t="n">
        <v>300.491803</v>
      </c>
      <c r="L187" s="329" t="n">
        <v>285.42623</v>
      </c>
      <c r="M187" s="329" t="n">
        <v>168.016393</v>
      </c>
      <c r="N187" s="329" t="n">
        <v>443.743169</v>
      </c>
      <c r="O187" s="329" t="n">
        <v>1167.836066</v>
      </c>
      <c r="P187" s="329" t="n">
        <v>42.153005</v>
      </c>
      <c r="Q187" s="329" t="n">
        <v>87.448087</v>
      </c>
      <c r="R187" s="329" t="n">
        <v>157.907104</v>
      </c>
      <c r="S187" s="329" t="n">
        <v>112.295082</v>
      </c>
      <c r="T187" s="329" t="n">
        <v>332.240437</v>
      </c>
      <c r="U187" s="329" t="n">
        <v>1138.737704</v>
      </c>
      <c r="V187" s="329" t="n">
        <v>1045.775956</v>
      </c>
      <c r="W187" s="329" t="n">
        <v>1350</v>
      </c>
      <c r="X187" s="330" t="s">
        <v>340</v>
      </c>
      <c r="Y187" s="331" t="n">
        <v>46065</v>
      </c>
      <c r="Z187" s="328" t="s">
        <v>341</v>
      </c>
      <c r="AA187" s="328" t="s">
        <v>342</v>
      </c>
    </row>
    <row r="188" customFormat="false" ht="15" hidden="false" customHeight="false" outlineLevel="0" collapsed="false">
      <c r="A188" s="328" t="s">
        <v>1094</v>
      </c>
      <c r="B188" s="328" t="s">
        <v>1095</v>
      </c>
      <c r="C188" s="328" t="s">
        <v>1096</v>
      </c>
      <c r="D188" s="328" t="s">
        <v>444</v>
      </c>
      <c r="E188" s="328" t="s">
        <v>1097</v>
      </c>
      <c r="F188" s="328" t="s">
        <v>437</v>
      </c>
      <c r="G188" s="328" t="s">
        <v>368</v>
      </c>
      <c r="H188" s="328" t="s">
        <v>339</v>
      </c>
      <c r="I188" s="329" t="n">
        <v>36.9759615384615</v>
      </c>
      <c r="J188" s="329" t="n">
        <v>40.262295</v>
      </c>
      <c r="K188" s="329" t="n">
        <v>6.601093</v>
      </c>
      <c r="L188" s="329" t="n">
        <v>2.382514</v>
      </c>
      <c r="M188" s="329" t="n">
        <v>3.628415</v>
      </c>
      <c r="N188" s="329" t="n">
        <v>8.021858</v>
      </c>
      <c r="O188" s="329" t="n">
        <v>44.852459</v>
      </c>
      <c r="P188" s="329" t="n">
        <v>0</v>
      </c>
      <c r="Q188" s="329" t="n">
        <v>0</v>
      </c>
      <c r="R188" s="329" t="n">
        <v>3.885246</v>
      </c>
      <c r="S188" s="329" t="n">
        <v>2.89071</v>
      </c>
      <c r="T188" s="329" t="n">
        <v>4.972678</v>
      </c>
      <c r="U188" s="329" t="n">
        <v>41.125683</v>
      </c>
      <c r="V188" s="329" t="n">
        <v>28.459016</v>
      </c>
      <c r="W188" s="328"/>
      <c r="X188" s="330" t="s">
        <v>340</v>
      </c>
      <c r="Y188" s="331" t="s">
        <v>363</v>
      </c>
      <c r="Z188" s="328" t="s">
        <v>379</v>
      </c>
      <c r="AA188" s="328" t="s">
        <v>342</v>
      </c>
    </row>
    <row r="189" customFormat="false" ht="15" hidden="false" customHeight="false" outlineLevel="0" collapsed="false">
      <c r="A189" s="328" t="s">
        <v>1098</v>
      </c>
      <c r="B189" s="328" t="s">
        <v>1099</v>
      </c>
      <c r="C189" s="328" t="s">
        <v>1100</v>
      </c>
      <c r="D189" s="328" t="s">
        <v>372</v>
      </c>
      <c r="E189" s="328" t="s">
        <v>1101</v>
      </c>
      <c r="F189" s="328" t="s">
        <v>374</v>
      </c>
      <c r="G189" s="328" t="s">
        <v>368</v>
      </c>
      <c r="H189" s="328"/>
      <c r="I189" s="329" t="n">
        <v>1.51282051282051</v>
      </c>
      <c r="J189" s="329" t="n">
        <v>0.398907</v>
      </c>
      <c r="K189" s="329" t="n">
        <v>0.043716</v>
      </c>
      <c r="L189" s="329" t="n">
        <v>0.530055</v>
      </c>
      <c r="M189" s="329" t="n">
        <v>0.060109</v>
      </c>
      <c r="N189" s="329" t="n">
        <v>0.540984</v>
      </c>
      <c r="O189" s="329" t="n">
        <v>0.464481</v>
      </c>
      <c r="P189" s="329" t="n">
        <v>0</v>
      </c>
      <c r="Q189" s="329" t="n">
        <v>0.027322</v>
      </c>
      <c r="R189" s="329" t="n">
        <v>0.502732</v>
      </c>
      <c r="S189" s="329" t="n">
        <v>0.04918</v>
      </c>
      <c r="T189" s="329" t="n">
        <v>0.262295</v>
      </c>
      <c r="U189" s="329" t="n">
        <v>0.218579</v>
      </c>
      <c r="V189" s="329" t="n">
        <v>0.169399</v>
      </c>
      <c r="W189" s="328"/>
      <c r="X189" s="330"/>
      <c r="Y189" s="331" t="s">
        <v>363</v>
      </c>
      <c r="Z189" s="328"/>
      <c r="AA189" s="328"/>
    </row>
    <row r="190" customFormat="false" ht="15" hidden="false" customHeight="false" outlineLevel="0" collapsed="false">
      <c r="A190" s="328" t="s">
        <v>1102</v>
      </c>
      <c r="B190" s="328" t="s">
        <v>1103</v>
      </c>
      <c r="C190" s="328" t="s">
        <v>1104</v>
      </c>
      <c r="D190" s="328" t="s">
        <v>710</v>
      </c>
      <c r="E190" s="328" t="s">
        <v>1105</v>
      </c>
      <c r="F190" s="328" t="s">
        <v>404</v>
      </c>
      <c r="G190" s="328" t="s">
        <v>361</v>
      </c>
      <c r="H190" s="328" t="s">
        <v>362</v>
      </c>
      <c r="I190" s="329" t="n">
        <v>21.2855731225296</v>
      </c>
      <c r="J190" s="329" t="n">
        <v>85.89071</v>
      </c>
      <c r="K190" s="329" t="n">
        <v>13.256831</v>
      </c>
      <c r="L190" s="329" t="n">
        <v>17.333333</v>
      </c>
      <c r="M190" s="329" t="n">
        <v>10.928962</v>
      </c>
      <c r="N190" s="329" t="n">
        <v>17.513661</v>
      </c>
      <c r="O190" s="329" t="n">
        <v>98</v>
      </c>
      <c r="P190" s="329" t="n">
        <v>0.748634</v>
      </c>
      <c r="Q190" s="329" t="n">
        <v>11.147541</v>
      </c>
      <c r="R190" s="329" t="n">
        <v>7.846995</v>
      </c>
      <c r="S190" s="329" t="n">
        <v>7.196721</v>
      </c>
      <c r="T190" s="329" t="n">
        <v>19.530055</v>
      </c>
      <c r="U190" s="329" t="n">
        <v>92.836066</v>
      </c>
      <c r="V190" s="329" t="n">
        <v>71.071038</v>
      </c>
      <c r="W190" s="328"/>
      <c r="X190" s="330"/>
      <c r="Y190" s="330" t="s">
        <v>363</v>
      </c>
      <c r="Z190" s="328"/>
      <c r="AA190" s="328"/>
    </row>
    <row r="191" customFormat="false" ht="15" hidden="false" customHeight="false" outlineLevel="0" collapsed="false">
      <c r="A191" s="328" t="s">
        <v>220</v>
      </c>
      <c r="B191" s="328" t="s">
        <v>1106</v>
      </c>
      <c r="C191" s="328" t="s">
        <v>1107</v>
      </c>
      <c r="D191" s="328" t="s">
        <v>650</v>
      </c>
      <c r="E191" s="328" t="s">
        <v>1108</v>
      </c>
      <c r="F191" s="328" t="s">
        <v>652</v>
      </c>
      <c r="G191" s="328" t="s">
        <v>338</v>
      </c>
      <c r="H191" s="328" t="s">
        <v>362</v>
      </c>
      <c r="I191" s="329" t="n">
        <v>47.2085267529929</v>
      </c>
      <c r="J191" s="329" t="n">
        <v>1022.382514</v>
      </c>
      <c r="K191" s="329" t="n">
        <v>427.071038</v>
      </c>
      <c r="L191" s="329" t="n">
        <v>286.169399</v>
      </c>
      <c r="M191" s="329" t="n">
        <v>290.180328</v>
      </c>
      <c r="N191" s="329" t="n">
        <v>539.420765</v>
      </c>
      <c r="O191" s="329" t="n">
        <v>1161.273224</v>
      </c>
      <c r="P191" s="329" t="n">
        <v>57.36612</v>
      </c>
      <c r="Q191" s="329" t="n">
        <v>267.743169</v>
      </c>
      <c r="R191" s="329" t="n">
        <v>316.20765</v>
      </c>
      <c r="S191" s="329" t="n">
        <v>192.852459</v>
      </c>
      <c r="T191" s="329" t="n">
        <v>235.590164</v>
      </c>
      <c r="U191" s="329" t="n">
        <v>1281.153005</v>
      </c>
      <c r="V191" s="329" t="n">
        <v>1345.721311</v>
      </c>
      <c r="W191" s="329" t="n">
        <v>1600</v>
      </c>
      <c r="X191" s="330" t="s">
        <v>340</v>
      </c>
      <c r="Y191" s="331" t="s">
        <v>439</v>
      </c>
      <c r="Z191" s="328" t="s">
        <v>341</v>
      </c>
      <c r="AA191" s="328" t="s">
        <v>342</v>
      </c>
    </row>
    <row r="192" customFormat="false" ht="15" hidden="false" customHeight="false" outlineLevel="0" collapsed="false">
      <c r="A192" s="328" t="s">
        <v>1109</v>
      </c>
      <c r="B192" s="328" t="s">
        <v>1110</v>
      </c>
      <c r="C192" s="328" t="s">
        <v>1111</v>
      </c>
      <c r="D192" s="328" t="s">
        <v>389</v>
      </c>
      <c r="E192" s="328" t="s">
        <v>1112</v>
      </c>
      <c r="F192" s="328" t="s">
        <v>391</v>
      </c>
      <c r="G192" s="328" t="s">
        <v>368</v>
      </c>
      <c r="H192" s="328" t="s">
        <v>362</v>
      </c>
      <c r="I192" s="329" t="n">
        <v>43.2098765432099</v>
      </c>
      <c r="J192" s="329" t="n">
        <v>41.562842</v>
      </c>
      <c r="K192" s="329" t="n">
        <v>3.661202</v>
      </c>
      <c r="L192" s="329" t="n">
        <v>48.453552</v>
      </c>
      <c r="M192" s="329" t="n">
        <v>44.437158</v>
      </c>
      <c r="N192" s="329" t="n">
        <v>38.065574</v>
      </c>
      <c r="O192" s="329" t="n">
        <v>82.540983</v>
      </c>
      <c r="P192" s="329" t="n">
        <v>1.584699</v>
      </c>
      <c r="Q192" s="329" t="n">
        <v>15.923497</v>
      </c>
      <c r="R192" s="329" t="n">
        <v>26.398907</v>
      </c>
      <c r="S192" s="329" t="n">
        <v>11.218579</v>
      </c>
      <c r="T192" s="329" t="n">
        <v>9.923497</v>
      </c>
      <c r="U192" s="329" t="n">
        <v>90.57377</v>
      </c>
      <c r="V192" s="329" t="n">
        <v>68.814208</v>
      </c>
      <c r="W192" s="328"/>
      <c r="X192" s="330" t="s">
        <v>340</v>
      </c>
      <c r="Y192" s="331" t="n">
        <v>45743</v>
      </c>
      <c r="Z192" s="328" t="s">
        <v>379</v>
      </c>
      <c r="AA192" s="328" t="s">
        <v>342</v>
      </c>
    </row>
    <row r="193" customFormat="false" ht="15" hidden="false" customHeight="false" outlineLevel="0" collapsed="false">
      <c r="A193" s="328" t="s">
        <v>1113</v>
      </c>
      <c r="B193" s="328" t="s">
        <v>1114</v>
      </c>
      <c r="C193" s="328" t="s">
        <v>1115</v>
      </c>
      <c r="D193" s="328" t="s">
        <v>810</v>
      </c>
      <c r="E193" s="328" t="s">
        <v>1116</v>
      </c>
      <c r="F193" s="328" t="s">
        <v>578</v>
      </c>
      <c r="G193" s="328" t="s">
        <v>361</v>
      </c>
      <c r="H193" s="328" t="s">
        <v>362</v>
      </c>
      <c r="I193" s="329" t="n">
        <v>10.5614973262032</v>
      </c>
      <c r="J193" s="329" t="n">
        <v>4.989071</v>
      </c>
      <c r="K193" s="329" t="n">
        <v>2.393443</v>
      </c>
      <c r="L193" s="329" t="n">
        <v>2.147541</v>
      </c>
      <c r="M193" s="329" t="n">
        <v>0.923497</v>
      </c>
      <c r="N193" s="329" t="n">
        <v>3.978142</v>
      </c>
      <c r="O193" s="329" t="n">
        <v>6.196721</v>
      </c>
      <c r="P193" s="329" t="n">
        <v>0</v>
      </c>
      <c r="Q193" s="329" t="n">
        <v>0.278689</v>
      </c>
      <c r="R193" s="329" t="n">
        <v>3.169399</v>
      </c>
      <c r="S193" s="329" t="n">
        <v>0.371585</v>
      </c>
      <c r="T193" s="329" t="n">
        <v>1.153005</v>
      </c>
      <c r="U193" s="329" t="n">
        <v>5.759563</v>
      </c>
      <c r="V193" s="329" t="n">
        <v>6.743169</v>
      </c>
      <c r="W193" s="328"/>
      <c r="X193" s="330" t="s">
        <v>539</v>
      </c>
      <c r="Y193" s="331" t="n">
        <v>45785</v>
      </c>
      <c r="Z193" s="328" t="s">
        <v>379</v>
      </c>
      <c r="AA193" s="328" t="s">
        <v>342</v>
      </c>
    </row>
    <row r="194" customFormat="false" ht="15" hidden="false" customHeight="false" outlineLevel="0" collapsed="false">
      <c r="A194" s="328" t="s">
        <v>1117</v>
      </c>
      <c r="B194" s="328" t="s">
        <v>1118</v>
      </c>
      <c r="C194" s="328" t="s">
        <v>1119</v>
      </c>
      <c r="D194" s="328" t="s">
        <v>396</v>
      </c>
      <c r="E194" s="328" t="s">
        <v>1120</v>
      </c>
      <c r="F194" s="328" t="s">
        <v>594</v>
      </c>
      <c r="G194" s="328" t="s">
        <v>348</v>
      </c>
      <c r="H194" s="328" t="s">
        <v>339</v>
      </c>
      <c r="I194" s="329" t="n">
        <v>36.7194275802255</v>
      </c>
      <c r="J194" s="329" t="n">
        <v>268.038251</v>
      </c>
      <c r="K194" s="329" t="n">
        <v>42</v>
      </c>
      <c r="L194" s="329" t="n">
        <v>78.153005</v>
      </c>
      <c r="M194" s="329" t="n">
        <v>57.295082</v>
      </c>
      <c r="N194" s="329" t="n">
        <v>106.36612</v>
      </c>
      <c r="O194" s="329" t="n">
        <v>339.120219</v>
      </c>
      <c r="P194" s="329" t="n">
        <v>0</v>
      </c>
      <c r="Q194" s="329" t="n">
        <v>0</v>
      </c>
      <c r="R194" s="329" t="n">
        <v>51.863388</v>
      </c>
      <c r="S194" s="329" t="n">
        <v>44.36612</v>
      </c>
      <c r="T194" s="329" t="n">
        <v>62.825137</v>
      </c>
      <c r="U194" s="329" t="n">
        <v>286.431694</v>
      </c>
      <c r="V194" s="329" t="n">
        <v>280.404372</v>
      </c>
      <c r="W194" s="329" t="n">
        <v>461</v>
      </c>
      <c r="X194" s="330" t="s">
        <v>340</v>
      </c>
      <c r="Y194" s="331" t="n">
        <v>45645</v>
      </c>
      <c r="Z194" s="328" t="s">
        <v>341</v>
      </c>
      <c r="AA194" s="328" t="s">
        <v>342</v>
      </c>
    </row>
    <row r="195" customFormat="false" ht="15" hidden="false" customHeight="false" outlineLevel="0" collapsed="false">
      <c r="A195" s="328" t="s">
        <v>1121</v>
      </c>
      <c r="B195" s="328" t="s">
        <v>1122</v>
      </c>
      <c r="C195" s="328" t="s">
        <v>1123</v>
      </c>
      <c r="D195" s="328" t="s">
        <v>565</v>
      </c>
      <c r="E195" s="328" t="s">
        <v>1124</v>
      </c>
      <c r="F195" s="328" t="s">
        <v>471</v>
      </c>
      <c r="G195" s="328" t="s">
        <v>361</v>
      </c>
      <c r="H195" s="328" t="s">
        <v>362</v>
      </c>
      <c r="I195" s="329" t="n">
        <v>3.38160469667319</v>
      </c>
      <c r="J195" s="329" t="n">
        <v>2.89071</v>
      </c>
      <c r="K195" s="329" t="n">
        <v>4.781421</v>
      </c>
      <c r="L195" s="329" t="n">
        <v>0.885246</v>
      </c>
      <c r="M195" s="329" t="n">
        <v>0.748634</v>
      </c>
      <c r="N195" s="329" t="n">
        <v>2.021858</v>
      </c>
      <c r="O195" s="329" t="n">
        <v>6.256831</v>
      </c>
      <c r="P195" s="329" t="n">
        <v>0.043716</v>
      </c>
      <c r="Q195" s="329" t="n">
        <v>0.983607</v>
      </c>
      <c r="R195" s="329" t="n">
        <v>1.382514</v>
      </c>
      <c r="S195" s="329" t="n">
        <v>1.409836</v>
      </c>
      <c r="T195" s="329" t="n">
        <v>2.355191</v>
      </c>
      <c r="U195" s="329" t="n">
        <v>4.15847</v>
      </c>
      <c r="V195" s="329" t="n">
        <v>4.699454</v>
      </c>
      <c r="W195" s="328"/>
      <c r="X195" s="330"/>
      <c r="Y195" s="330" t="s">
        <v>439</v>
      </c>
      <c r="Z195" s="328"/>
      <c r="AA195" s="328"/>
    </row>
    <row r="196" customFormat="false" ht="15" hidden="false" customHeight="false" outlineLevel="0" collapsed="false">
      <c r="A196" s="328" t="s">
        <v>1125</v>
      </c>
      <c r="B196" s="328" t="s">
        <v>1126</v>
      </c>
      <c r="C196" s="328" t="s">
        <v>1127</v>
      </c>
      <c r="D196" s="328" t="s">
        <v>507</v>
      </c>
      <c r="E196" s="328" t="s">
        <v>1128</v>
      </c>
      <c r="F196" s="328" t="s">
        <v>509</v>
      </c>
      <c r="G196" s="328" t="s">
        <v>368</v>
      </c>
      <c r="H196" s="328" t="s">
        <v>339</v>
      </c>
      <c r="I196" s="329" t="n">
        <v>90.7148014440433</v>
      </c>
      <c r="J196" s="329" t="n">
        <v>289.103825</v>
      </c>
      <c r="K196" s="329" t="n">
        <v>61.42623</v>
      </c>
      <c r="L196" s="329" t="n">
        <v>1.245902</v>
      </c>
      <c r="M196" s="329" t="n">
        <v>0.092896</v>
      </c>
      <c r="N196" s="329" t="n">
        <v>37.879781</v>
      </c>
      <c r="O196" s="329" t="n">
        <v>313.989071</v>
      </c>
      <c r="P196" s="329" t="n">
        <v>0</v>
      </c>
      <c r="Q196" s="329" t="n">
        <v>0</v>
      </c>
      <c r="R196" s="329" t="n">
        <v>6.726776</v>
      </c>
      <c r="S196" s="329" t="n">
        <v>6.912568</v>
      </c>
      <c r="T196" s="329" t="n">
        <v>31.836066</v>
      </c>
      <c r="U196" s="329" t="n">
        <v>306.393443</v>
      </c>
      <c r="V196" s="329" t="n">
        <v>172.076503</v>
      </c>
      <c r="W196" s="329" t="n">
        <v>505</v>
      </c>
      <c r="X196" s="330" t="s">
        <v>340</v>
      </c>
      <c r="Y196" s="331" t="n">
        <v>45589</v>
      </c>
      <c r="Z196" s="328" t="s">
        <v>341</v>
      </c>
      <c r="AA196" s="328" t="s">
        <v>342</v>
      </c>
    </row>
    <row r="197" customFormat="false" ht="15" hidden="false" customHeight="false" outlineLevel="0" collapsed="false">
      <c r="A197" s="328" t="s">
        <v>1129</v>
      </c>
      <c r="B197" s="328" t="s">
        <v>1130</v>
      </c>
      <c r="C197" s="328" t="s">
        <v>1131</v>
      </c>
      <c r="D197" s="328" t="s">
        <v>513</v>
      </c>
      <c r="E197" s="328" t="s">
        <v>1132</v>
      </c>
      <c r="F197" s="328" t="s">
        <v>398</v>
      </c>
      <c r="G197" s="328" t="s">
        <v>368</v>
      </c>
      <c r="H197" s="328" t="s">
        <v>362</v>
      </c>
      <c r="I197" s="329" t="n">
        <v>4.90337423312883</v>
      </c>
      <c r="J197" s="329" t="n">
        <v>26.415301</v>
      </c>
      <c r="K197" s="329" t="n">
        <v>3.278689</v>
      </c>
      <c r="L197" s="329" t="n">
        <v>2.125683</v>
      </c>
      <c r="M197" s="329" t="n">
        <v>1.185792</v>
      </c>
      <c r="N197" s="329" t="n">
        <v>4.453552</v>
      </c>
      <c r="O197" s="329" t="n">
        <v>24.404371</v>
      </c>
      <c r="P197" s="329" t="n">
        <v>0.377049</v>
      </c>
      <c r="Q197" s="329" t="n">
        <v>3.770492</v>
      </c>
      <c r="R197" s="329" t="n">
        <v>1.907104</v>
      </c>
      <c r="S197" s="329" t="n">
        <v>1.901639</v>
      </c>
      <c r="T197" s="329" t="n">
        <v>2.371585</v>
      </c>
      <c r="U197" s="329" t="n">
        <v>26.825137</v>
      </c>
      <c r="V197" s="329" t="n">
        <v>18.213115</v>
      </c>
      <c r="W197" s="328"/>
      <c r="X197" s="330" t="s">
        <v>340</v>
      </c>
      <c r="Y197" s="331" t="s">
        <v>363</v>
      </c>
      <c r="Z197" s="328" t="s">
        <v>379</v>
      </c>
      <c r="AA197" s="328" t="s">
        <v>342</v>
      </c>
    </row>
    <row r="198" customFormat="false" ht="15" hidden="false" customHeight="false" outlineLevel="0" collapsed="false">
      <c r="A198" s="328" t="s">
        <v>1133</v>
      </c>
      <c r="B198" s="328" t="s">
        <v>1134</v>
      </c>
      <c r="C198" s="328" t="s">
        <v>797</v>
      </c>
      <c r="D198" s="328" t="s">
        <v>372</v>
      </c>
      <c r="E198" s="328" t="s">
        <v>1135</v>
      </c>
      <c r="F198" s="328" t="s">
        <v>374</v>
      </c>
      <c r="G198" s="328" t="s">
        <v>368</v>
      </c>
      <c r="H198" s="328" t="s">
        <v>362</v>
      </c>
      <c r="I198" s="329" t="n">
        <v>1.01232394366197</v>
      </c>
      <c r="J198" s="329" t="n">
        <v>4.114754</v>
      </c>
      <c r="K198" s="329" t="n">
        <v>1.060109</v>
      </c>
      <c r="L198" s="329" t="n">
        <v>2.185792</v>
      </c>
      <c r="M198" s="329" t="n">
        <v>2.125683</v>
      </c>
      <c r="N198" s="329" t="n">
        <v>1.956284</v>
      </c>
      <c r="O198" s="329" t="n">
        <v>6.038251</v>
      </c>
      <c r="P198" s="329" t="n">
        <v>0.114754</v>
      </c>
      <c r="Q198" s="329" t="n">
        <v>1.377049</v>
      </c>
      <c r="R198" s="329" t="n">
        <v>1.693989</v>
      </c>
      <c r="S198" s="329" t="n">
        <v>0.409836</v>
      </c>
      <c r="T198" s="329" t="n">
        <v>0.295082</v>
      </c>
      <c r="U198" s="329" t="n">
        <v>7.087432</v>
      </c>
      <c r="V198" s="329" t="n">
        <v>4.469945</v>
      </c>
      <c r="W198" s="328"/>
      <c r="X198" s="330"/>
      <c r="Y198" s="331" t="s">
        <v>363</v>
      </c>
      <c r="Z198" s="328"/>
      <c r="AA198" s="328"/>
    </row>
    <row r="199" customFormat="false" ht="15" hidden="false" customHeight="false" outlineLevel="0" collapsed="false">
      <c r="A199" s="328" t="s">
        <v>1136</v>
      </c>
      <c r="B199" s="328" t="s">
        <v>1137</v>
      </c>
      <c r="C199" s="328" t="s">
        <v>1138</v>
      </c>
      <c r="D199" s="328" t="s">
        <v>810</v>
      </c>
      <c r="E199" s="328" t="s">
        <v>1139</v>
      </c>
      <c r="F199" s="328" t="s">
        <v>471</v>
      </c>
      <c r="G199" s="328" t="s">
        <v>361</v>
      </c>
      <c r="H199" s="328" t="s">
        <v>362</v>
      </c>
      <c r="I199" s="329" t="n">
        <v>4.11433305716653</v>
      </c>
      <c r="J199" s="329" t="n">
        <v>12.743169</v>
      </c>
      <c r="K199" s="329" t="n">
        <v>8.644809</v>
      </c>
      <c r="L199" s="329" t="n">
        <v>2.748634</v>
      </c>
      <c r="M199" s="329" t="n">
        <v>3.10929</v>
      </c>
      <c r="N199" s="329" t="n">
        <v>5.934426</v>
      </c>
      <c r="O199" s="329" t="n">
        <v>19.054645</v>
      </c>
      <c r="P199" s="329" t="n">
        <v>0.240437</v>
      </c>
      <c r="Q199" s="329" t="n">
        <v>2.016393</v>
      </c>
      <c r="R199" s="329" t="n">
        <v>4.989071</v>
      </c>
      <c r="S199" s="329" t="n">
        <v>2.901639</v>
      </c>
      <c r="T199" s="329" t="n">
        <v>3.901639</v>
      </c>
      <c r="U199" s="329" t="n">
        <v>15.453552</v>
      </c>
      <c r="V199" s="329" t="n">
        <v>13.491803</v>
      </c>
      <c r="W199" s="328"/>
      <c r="X199" s="330" t="s">
        <v>515</v>
      </c>
      <c r="Y199" s="331" t="s">
        <v>363</v>
      </c>
      <c r="Z199" s="328" t="s">
        <v>516</v>
      </c>
      <c r="AA199" s="328" t="s">
        <v>342</v>
      </c>
    </row>
    <row r="200" customFormat="false" ht="15" hidden="false" customHeight="false" outlineLevel="0" collapsed="false">
      <c r="A200" s="328" t="s">
        <v>1140</v>
      </c>
      <c r="B200" s="328" t="s">
        <v>1141</v>
      </c>
      <c r="C200" s="328" t="s">
        <v>1142</v>
      </c>
      <c r="D200" s="328" t="s">
        <v>396</v>
      </c>
      <c r="E200" s="328" t="s">
        <v>1143</v>
      </c>
      <c r="F200" s="328" t="s">
        <v>594</v>
      </c>
      <c r="G200" s="328" t="s">
        <v>361</v>
      </c>
      <c r="H200" s="328" t="s">
        <v>362</v>
      </c>
      <c r="I200" s="329" t="n">
        <v>0.576884422110553</v>
      </c>
      <c r="J200" s="329" t="n">
        <v>0.234973</v>
      </c>
      <c r="K200" s="329" t="n">
        <v>2.054645</v>
      </c>
      <c r="L200" s="329" t="n">
        <v>0.278689</v>
      </c>
      <c r="M200" s="329" t="n">
        <v>0.535519</v>
      </c>
      <c r="N200" s="329" t="n">
        <v>1.666667</v>
      </c>
      <c r="O200" s="329" t="n">
        <v>0.693989</v>
      </c>
      <c r="P200" s="329" t="n">
        <v>0.557377</v>
      </c>
      <c r="Q200" s="329" t="n">
        <v>0.185792</v>
      </c>
      <c r="R200" s="329" t="n">
        <v>0.218579</v>
      </c>
      <c r="S200" s="329" t="n">
        <v>0.715847</v>
      </c>
      <c r="T200" s="329" t="n">
        <v>2.076503</v>
      </c>
      <c r="U200" s="329" t="n">
        <v>0.092896</v>
      </c>
      <c r="V200" s="329" t="n">
        <v>2.978142</v>
      </c>
      <c r="W200" s="328"/>
      <c r="X200" s="330" t="s">
        <v>340</v>
      </c>
      <c r="Y200" s="331" t="s">
        <v>439</v>
      </c>
      <c r="Z200" s="328" t="s">
        <v>379</v>
      </c>
      <c r="AA200" s="328" t="s">
        <v>342</v>
      </c>
    </row>
    <row r="201" customFormat="false" ht="15" hidden="false" customHeight="false" outlineLevel="0" collapsed="false">
      <c r="A201" s="328" t="s">
        <v>1144</v>
      </c>
      <c r="B201" s="328" t="s">
        <v>1145</v>
      </c>
      <c r="C201" s="328" t="s">
        <v>1146</v>
      </c>
      <c r="D201" s="328" t="s">
        <v>372</v>
      </c>
      <c r="E201" s="328" t="s">
        <v>1147</v>
      </c>
      <c r="F201" s="328" t="s">
        <v>374</v>
      </c>
      <c r="G201" s="328" t="s">
        <v>361</v>
      </c>
      <c r="H201" s="328" t="s">
        <v>362</v>
      </c>
      <c r="I201" s="329" t="n">
        <v>2.68717139852787</v>
      </c>
      <c r="J201" s="329" t="n">
        <v>19.349727</v>
      </c>
      <c r="K201" s="329" t="n">
        <v>3.398907</v>
      </c>
      <c r="L201" s="329" t="n">
        <v>1.699454</v>
      </c>
      <c r="M201" s="329" t="n">
        <v>3.256831</v>
      </c>
      <c r="N201" s="329" t="n">
        <v>4.961749</v>
      </c>
      <c r="O201" s="329" t="n">
        <v>22.743169</v>
      </c>
      <c r="P201" s="329" t="n">
        <v>0</v>
      </c>
      <c r="Q201" s="329" t="n">
        <v>0</v>
      </c>
      <c r="R201" s="329" t="n">
        <v>2.786885</v>
      </c>
      <c r="S201" s="329" t="n">
        <v>1.786885</v>
      </c>
      <c r="T201" s="329" t="n">
        <v>2.415301</v>
      </c>
      <c r="U201" s="329" t="n">
        <v>20.715847</v>
      </c>
      <c r="V201" s="329" t="n">
        <v>12.338798</v>
      </c>
      <c r="W201" s="328"/>
      <c r="X201" s="330"/>
      <c r="Y201" s="330" t="s">
        <v>363</v>
      </c>
      <c r="Z201" s="333" t="s">
        <v>361</v>
      </c>
      <c r="AA201" s="328"/>
    </row>
    <row r="202" customFormat="false" ht="15" hidden="false" customHeight="false" outlineLevel="0" collapsed="false">
      <c r="A202" s="328" t="s">
        <v>1148</v>
      </c>
      <c r="B202" s="328" t="s">
        <v>1149</v>
      </c>
      <c r="C202" s="328" t="s">
        <v>1150</v>
      </c>
      <c r="D202" s="328" t="s">
        <v>430</v>
      </c>
      <c r="E202" s="328" t="s">
        <v>1151</v>
      </c>
      <c r="F202" s="328" t="s">
        <v>432</v>
      </c>
      <c r="G202" s="328" t="s">
        <v>361</v>
      </c>
      <c r="H202" s="328" t="s">
        <v>362</v>
      </c>
      <c r="I202" s="329" t="n">
        <v>5.14925373134328</v>
      </c>
      <c r="J202" s="329" t="n">
        <v>1.125683</v>
      </c>
      <c r="K202" s="329" t="n">
        <v>0.519126</v>
      </c>
      <c r="L202" s="329" t="n">
        <v>0.180328</v>
      </c>
      <c r="M202" s="329" t="n">
        <v>0.065574</v>
      </c>
      <c r="N202" s="329" t="n">
        <v>0.240437</v>
      </c>
      <c r="O202" s="329" t="n">
        <v>1.519126</v>
      </c>
      <c r="P202" s="329" t="n">
        <v>0.092896</v>
      </c>
      <c r="Q202" s="329" t="n">
        <v>0.038251</v>
      </c>
      <c r="R202" s="329" t="n">
        <v>0.256831</v>
      </c>
      <c r="S202" s="329" t="n">
        <v>0.032787</v>
      </c>
      <c r="T202" s="329" t="n">
        <v>0.092896</v>
      </c>
      <c r="U202" s="329" t="n">
        <v>1.508196</v>
      </c>
      <c r="V202" s="329" t="n">
        <v>0.918033</v>
      </c>
      <c r="W202" s="328"/>
      <c r="X202" s="330" t="s">
        <v>539</v>
      </c>
      <c r="Y202" s="332" t="n">
        <v>46100</v>
      </c>
      <c r="Z202" s="328" t="s">
        <v>516</v>
      </c>
      <c r="AA202" s="328" t="s">
        <v>553</v>
      </c>
    </row>
    <row r="203" customFormat="false" ht="15" hidden="false" customHeight="false" outlineLevel="0" collapsed="false">
      <c r="A203" s="328" t="s">
        <v>1152</v>
      </c>
      <c r="B203" s="328" t="s">
        <v>1153</v>
      </c>
      <c r="C203" s="328" t="s">
        <v>1154</v>
      </c>
      <c r="D203" s="328" t="s">
        <v>894</v>
      </c>
      <c r="E203" s="328" t="s">
        <v>1155</v>
      </c>
      <c r="F203" s="328" t="s">
        <v>337</v>
      </c>
      <c r="G203" s="328" t="s">
        <v>361</v>
      </c>
      <c r="H203" s="328" t="s">
        <v>362</v>
      </c>
      <c r="I203" s="329" t="n">
        <v>1.74626865671642</v>
      </c>
      <c r="J203" s="329" t="n">
        <v>1.180328</v>
      </c>
      <c r="K203" s="329" t="n">
        <v>1.830601</v>
      </c>
      <c r="L203" s="329" t="n">
        <v>1.530055</v>
      </c>
      <c r="M203" s="329" t="n">
        <v>0.502732</v>
      </c>
      <c r="N203" s="329" t="n">
        <v>1.092896</v>
      </c>
      <c r="O203" s="329" t="n">
        <v>3.519126</v>
      </c>
      <c r="P203" s="329" t="n">
        <v>0.076503</v>
      </c>
      <c r="Q203" s="329" t="n">
        <v>0.355191</v>
      </c>
      <c r="R203" s="329" t="n">
        <v>0.644809</v>
      </c>
      <c r="S203" s="329" t="n">
        <v>0.491803</v>
      </c>
      <c r="T203" s="329" t="n">
        <v>0.469945</v>
      </c>
      <c r="U203" s="329" t="n">
        <v>3.437159</v>
      </c>
      <c r="V203" s="329" t="n">
        <v>3.68306</v>
      </c>
      <c r="W203" s="328"/>
      <c r="X203" s="330" t="s">
        <v>539</v>
      </c>
      <c r="Y203" s="331" t="s">
        <v>439</v>
      </c>
      <c r="Z203" s="328" t="s">
        <v>379</v>
      </c>
      <c r="AA203" s="328" t="s">
        <v>342</v>
      </c>
    </row>
    <row r="204" customFormat="false" ht="15" hidden="false" customHeight="false" outlineLevel="0" collapsed="false">
      <c r="A204" s="328" t="s">
        <v>1156</v>
      </c>
      <c r="B204" s="328" t="s">
        <v>1157</v>
      </c>
      <c r="C204" s="328" t="s">
        <v>1158</v>
      </c>
      <c r="D204" s="328" t="s">
        <v>565</v>
      </c>
      <c r="E204" s="328" t="s">
        <v>1159</v>
      </c>
      <c r="F204" s="328" t="s">
        <v>471</v>
      </c>
      <c r="G204" s="328" t="s">
        <v>361</v>
      </c>
      <c r="H204" s="328" t="s">
        <v>362</v>
      </c>
      <c r="I204" s="329" t="n">
        <v>5.84677419354839</v>
      </c>
      <c r="J204" s="329" t="n">
        <v>8.825137</v>
      </c>
      <c r="K204" s="329" t="n">
        <v>2.68306</v>
      </c>
      <c r="L204" s="329" t="n">
        <v>0.054645</v>
      </c>
      <c r="M204" s="329" t="n">
        <v>0.398907</v>
      </c>
      <c r="N204" s="329" t="n">
        <v>2.846995</v>
      </c>
      <c r="O204" s="329" t="n">
        <v>8.814207</v>
      </c>
      <c r="P204" s="329" t="n">
        <v>0</v>
      </c>
      <c r="Q204" s="329" t="n">
        <v>0.300546</v>
      </c>
      <c r="R204" s="329" t="n">
        <v>2.759563</v>
      </c>
      <c r="S204" s="329" t="n">
        <v>0.967213</v>
      </c>
      <c r="T204" s="329" t="n">
        <v>1.928962</v>
      </c>
      <c r="U204" s="329" t="n">
        <v>6.306011</v>
      </c>
      <c r="V204" s="329" t="n">
        <v>6.448087</v>
      </c>
      <c r="W204" s="328"/>
      <c r="X204" s="330" t="s">
        <v>438</v>
      </c>
      <c r="Y204" s="331" t="s">
        <v>363</v>
      </c>
      <c r="Z204" s="328" t="s">
        <v>440</v>
      </c>
      <c r="AA204" s="328" t="s">
        <v>342</v>
      </c>
    </row>
    <row r="205" customFormat="false" ht="15" hidden="false" customHeight="false" outlineLevel="0" collapsed="false">
      <c r="A205" s="328" t="s">
        <v>1160</v>
      </c>
      <c r="B205" s="328" t="s">
        <v>1161</v>
      </c>
      <c r="C205" s="328" t="s">
        <v>1162</v>
      </c>
      <c r="D205" s="328" t="s">
        <v>727</v>
      </c>
      <c r="E205" s="328" t="s">
        <v>1163</v>
      </c>
      <c r="F205" s="328" t="s">
        <v>471</v>
      </c>
      <c r="G205" s="328" t="s">
        <v>361</v>
      </c>
      <c r="H205" s="328" t="s">
        <v>362</v>
      </c>
      <c r="I205" s="329" t="n">
        <v>23.9033232628399</v>
      </c>
      <c r="J205" s="329" t="n">
        <v>9.371585</v>
      </c>
      <c r="K205" s="329" t="n">
        <v>12.120219</v>
      </c>
      <c r="L205" s="329" t="n">
        <v>15.098361</v>
      </c>
      <c r="M205" s="329" t="n">
        <v>12.797814</v>
      </c>
      <c r="N205" s="329" t="n">
        <v>18.453552</v>
      </c>
      <c r="O205" s="329" t="n">
        <v>27.901639</v>
      </c>
      <c r="P205" s="329" t="n">
        <v>0.26776</v>
      </c>
      <c r="Q205" s="329" t="n">
        <v>2.765027</v>
      </c>
      <c r="R205" s="329" t="n">
        <v>14.814208</v>
      </c>
      <c r="S205" s="329" t="n">
        <v>4.836066</v>
      </c>
      <c r="T205" s="329" t="n">
        <v>6.786885</v>
      </c>
      <c r="U205" s="329" t="n">
        <v>22.95082</v>
      </c>
      <c r="V205" s="329" t="n">
        <v>28.377049</v>
      </c>
      <c r="W205" s="328"/>
      <c r="X205" s="330" t="s">
        <v>340</v>
      </c>
      <c r="Y205" s="331" t="n">
        <v>45603</v>
      </c>
      <c r="Z205" s="328" t="s">
        <v>379</v>
      </c>
      <c r="AA205" s="328" t="s">
        <v>342</v>
      </c>
    </row>
    <row r="206" customFormat="false" ht="15" hidden="false" customHeight="false" outlineLevel="0" collapsed="false">
      <c r="A206" s="328" t="s">
        <v>1164</v>
      </c>
      <c r="B206" s="328" t="s">
        <v>1165</v>
      </c>
      <c r="C206" s="328" t="s">
        <v>1166</v>
      </c>
      <c r="D206" s="328" t="s">
        <v>602</v>
      </c>
      <c r="E206" s="328" t="s">
        <v>1167</v>
      </c>
      <c r="F206" s="328" t="s">
        <v>404</v>
      </c>
      <c r="G206" s="328" t="s">
        <v>361</v>
      </c>
      <c r="H206" s="328" t="s">
        <v>362</v>
      </c>
      <c r="I206" s="329" t="n">
        <v>1.98275862068966</v>
      </c>
      <c r="J206" s="329" t="n">
        <v>1.387978</v>
      </c>
      <c r="K206" s="329" t="n">
        <v>0.26776</v>
      </c>
      <c r="L206" s="329" t="n">
        <v>0.448087</v>
      </c>
      <c r="M206" s="329" t="n">
        <v>0.420765</v>
      </c>
      <c r="N206" s="329" t="n">
        <v>0.519126</v>
      </c>
      <c r="O206" s="329" t="n">
        <v>1.530055</v>
      </c>
      <c r="P206" s="329" t="n">
        <v>0.038251</v>
      </c>
      <c r="Q206" s="329" t="n">
        <v>0.437158</v>
      </c>
      <c r="R206" s="329" t="n">
        <v>0.147541</v>
      </c>
      <c r="S206" s="329" t="n">
        <v>0.371585</v>
      </c>
      <c r="T206" s="329" t="n">
        <v>0.382514</v>
      </c>
      <c r="U206" s="329" t="n">
        <v>1.622951</v>
      </c>
      <c r="V206" s="329" t="n">
        <v>1.606557</v>
      </c>
      <c r="W206" s="328"/>
      <c r="X206" s="330" t="s">
        <v>539</v>
      </c>
      <c r="Y206" s="331" t="n">
        <v>45848</v>
      </c>
      <c r="Z206" s="328" t="s">
        <v>379</v>
      </c>
      <c r="AA206" s="328" t="s">
        <v>342</v>
      </c>
    </row>
    <row r="207" customFormat="false" ht="15" hidden="false" customHeight="false" outlineLevel="0" collapsed="false">
      <c r="A207" s="328" t="s">
        <v>1168</v>
      </c>
      <c r="B207" s="328" t="s">
        <v>1169</v>
      </c>
      <c r="C207" s="328" t="s">
        <v>814</v>
      </c>
      <c r="D207" s="328" t="s">
        <v>396</v>
      </c>
      <c r="E207" s="328" t="s">
        <v>815</v>
      </c>
      <c r="F207" s="328" t="s">
        <v>538</v>
      </c>
      <c r="G207" s="328" t="s">
        <v>338</v>
      </c>
      <c r="H207" s="328" t="s">
        <v>362</v>
      </c>
      <c r="I207" s="329" t="n">
        <v>64.484738372093</v>
      </c>
      <c r="J207" s="329" t="n">
        <v>311.016393</v>
      </c>
      <c r="K207" s="329" t="n">
        <v>18.901639</v>
      </c>
      <c r="L207" s="329" t="n">
        <v>40.595628</v>
      </c>
      <c r="M207" s="329" t="n">
        <v>51.437158</v>
      </c>
      <c r="N207" s="329" t="n">
        <v>48.568306</v>
      </c>
      <c r="O207" s="329" t="n">
        <v>366.836065</v>
      </c>
      <c r="P207" s="329" t="n">
        <v>1.508197</v>
      </c>
      <c r="Q207" s="329" t="n">
        <v>5.038251</v>
      </c>
      <c r="R207" s="329" t="n">
        <v>23.174863</v>
      </c>
      <c r="S207" s="329" t="n">
        <v>16.120219</v>
      </c>
      <c r="T207" s="329" t="n">
        <v>27.04918</v>
      </c>
      <c r="U207" s="329" t="n">
        <v>355.606557</v>
      </c>
      <c r="V207" s="329" t="n">
        <v>265.595628</v>
      </c>
      <c r="W207" s="329" t="n">
        <v>250</v>
      </c>
      <c r="X207" s="330" t="s">
        <v>340</v>
      </c>
      <c r="Y207" s="331" t="n">
        <v>46058</v>
      </c>
      <c r="Z207" s="328" t="s">
        <v>341</v>
      </c>
      <c r="AA207" s="328" t="s">
        <v>342</v>
      </c>
    </row>
    <row r="208" customFormat="false" ht="15" hidden="false" customHeight="false" outlineLevel="0" collapsed="false">
      <c r="A208" s="328" t="s">
        <v>1170</v>
      </c>
      <c r="B208" s="328" t="s">
        <v>1171</v>
      </c>
      <c r="C208" s="328" t="s">
        <v>1172</v>
      </c>
      <c r="D208" s="328" t="s">
        <v>565</v>
      </c>
      <c r="E208" s="328" t="s">
        <v>1173</v>
      </c>
      <c r="F208" s="328" t="s">
        <v>471</v>
      </c>
      <c r="G208" s="328" t="s">
        <v>361</v>
      </c>
      <c r="H208" s="328" t="s">
        <v>362</v>
      </c>
      <c r="I208" s="329" t="n">
        <v>3.75953079178886</v>
      </c>
      <c r="J208" s="329" t="n">
        <v>5.027322</v>
      </c>
      <c r="K208" s="329" t="n">
        <v>1.677596</v>
      </c>
      <c r="L208" s="329" t="n">
        <v>0.087432</v>
      </c>
      <c r="M208" s="329" t="n">
        <v>0.333333</v>
      </c>
      <c r="N208" s="329" t="n">
        <v>1.628415</v>
      </c>
      <c r="O208" s="329" t="n">
        <v>5.163934</v>
      </c>
      <c r="P208" s="329" t="n">
        <v>0.027322</v>
      </c>
      <c r="Q208" s="329" t="n">
        <v>0.306011</v>
      </c>
      <c r="R208" s="329" t="n">
        <v>1.469945</v>
      </c>
      <c r="S208" s="329" t="n">
        <v>1.038251</v>
      </c>
      <c r="T208" s="329" t="n">
        <v>1.513661</v>
      </c>
      <c r="U208" s="329" t="n">
        <v>3.103825</v>
      </c>
      <c r="V208" s="329" t="n">
        <v>4.196721</v>
      </c>
      <c r="W208" s="328"/>
      <c r="X208" s="330"/>
      <c r="Y208" s="330"/>
      <c r="Z208" s="328"/>
      <c r="AA208" s="328"/>
    </row>
    <row r="209" customFormat="false" ht="15" hidden="false" customHeight="false" outlineLevel="0" collapsed="false">
      <c r="A209" s="328" t="s">
        <v>1174</v>
      </c>
      <c r="B209" s="328" t="s">
        <v>1175</v>
      </c>
      <c r="C209" s="328" t="s">
        <v>1176</v>
      </c>
      <c r="D209" s="328" t="s">
        <v>793</v>
      </c>
      <c r="E209" s="328" t="s">
        <v>1177</v>
      </c>
      <c r="F209" s="328" t="s">
        <v>337</v>
      </c>
      <c r="G209" s="328" t="s">
        <v>338</v>
      </c>
      <c r="H209" s="328" t="s">
        <v>362</v>
      </c>
      <c r="I209" s="329" t="n">
        <v>22.7258687258687</v>
      </c>
      <c r="J209" s="329" t="n">
        <v>245.398907</v>
      </c>
      <c r="K209" s="329" t="n">
        <v>29.661202</v>
      </c>
      <c r="L209" s="329" t="n">
        <v>28.819672</v>
      </c>
      <c r="M209" s="329" t="n">
        <v>20.584699</v>
      </c>
      <c r="N209" s="329" t="n">
        <v>36.398907</v>
      </c>
      <c r="O209" s="329" t="n">
        <v>275.065574</v>
      </c>
      <c r="P209" s="329" t="n">
        <v>0.360656</v>
      </c>
      <c r="Q209" s="329" t="n">
        <v>12.639344</v>
      </c>
      <c r="R209" s="329" t="n">
        <v>22.655738</v>
      </c>
      <c r="S209" s="329" t="n">
        <v>11.704918</v>
      </c>
      <c r="T209" s="329" t="n">
        <v>27.295082</v>
      </c>
      <c r="U209" s="329" t="n">
        <v>262.808743</v>
      </c>
      <c r="V209" s="329" t="n">
        <v>152.043716</v>
      </c>
      <c r="W209" s="329" t="n">
        <v>450</v>
      </c>
      <c r="X209" s="330"/>
      <c r="Y209" s="330" t="s">
        <v>363</v>
      </c>
      <c r="Z209" s="328"/>
      <c r="AA209" s="328"/>
    </row>
    <row r="210" customFormat="false" ht="15" hidden="false" customHeight="false" outlineLevel="0" collapsed="false">
      <c r="A210" s="328" t="s">
        <v>1178</v>
      </c>
      <c r="B210" s="328" t="s">
        <v>1179</v>
      </c>
      <c r="C210" s="328" t="s">
        <v>1180</v>
      </c>
      <c r="D210" s="328" t="s">
        <v>463</v>
      </c>
      <c r="E210" s="328" t="s">
        <v>1181</v>
      </c>
      <c r="F210" s="328" t="s">
        <v>465</v>
      </c>
      <c r="G210" s="328" t="s">
        <v>361</v>
      </c>
      <c r="H210" s="328" t="s">
        <v>362</v>
      </c>
      <c r="I210" s="329" t="n">
        <v>1.71314741035857</v>
      </c>
      <c r="J210" s="329" t="n">
        <v>1.459016</v>
      </c>
      <c r="K210" s="329" t="n">
        <v>0.377049</v>
      </c>
      <c r="L210" s="329" t="n">
        <v>0.213115</v>
      </c>
      <c r="M210" s="329" t="n">
        <v>0.349727</v>
      </c>
      <c r="N210" s="329" t="n">
        <v>0.535519</v>
      </c>
      <c r="O210" s="329" t="n">
        <v>1.830601</v>
      </c>
      <c r="P210" s="329" t="n">
        <v>0.016393</v>
      </c>
      <c r="Q210" s="329" t="n">
        <v>0.016393</v>
      </c>
      <c r="R210" s="329" t="n">
        <v>0.387978</v>
      </c>
      <c r="S210" s="329" t="n">
        <v>0.163934</v>
      </c>
      <c r="T210" s="329" t="n">
        <v>0.508197</v>
      </c>
      <c r="U210" s="329" t="n">
        <v>1.338798</v>
      </c>
      <c r="V210" s="329" t="n">
        <v>1.360656</v>
      </c>
      <c r="W210" s="328"/>
      <c r="X210" s="330"/>
      <c r="Y210" s="330" t="s">
        <v>439</v>
      </c>
      <c r="Z210" s="328"/>
      <c r="AA210" s="328"/>
    </row>
    <row r="211" customFormat="false" ht="15" hidden="false" customHeight="false" outlineLevel="0" collapsed="false">
      <c r="A211" s="328" t="s">
        <v>222</v>
      </c>
      <c r="B211" s="328" t="s">
        <v>1182</v>
      </c>
      <c r="C211" s="328" t="s">
        <v>1183</v>
      </c>
      <c r="D211" s="328" t="s">
        <v>352</v>
      </c>
      <c r="E211" s="328" t="s">
        <v>1184</v>
      </c>
      <c r="F211" s="328" t="s">
        <v>337</v>
      </c>
      <c r="G211" s="328" t="s">
        <v>338</v>
      </c>
      <c r="H211" s="328" t="s">
        <v>339</v>
      </c>
      <c r="I211" s="329" t="n">
        <v>33.3111214518381</v>
      </c>
      <c r="J211" s="329" t="n">
        <v>944.016393</v>
      </c>
      <c r="K211" s="329" t="n">
        <v>170.36612</v>
      </c>
      <c r="L211" s="329" t="n">
        <v>254.956284</v>
      </c>
      <c r="M211" s="329" t="n">
        <v>195.508197</v>
      </c>
      <c r="N211" s="329" t="n">
        <v>361.486338</v>
      </c>
      <c r="O211" s="329" t="n">
        <v>1203.338798</v>
      </c>
      <c r="P211" s="329" t="n">
        <v>0</v>
      </c>
      <c r="Q211" s="329" t="n">
        <v>0.021858</v>
      </c>
      <c r="R211" s="329" t="n">
        <v>196.021858</v>
      </c>
      <c r="S211" s="329" t="n">
        <v>111.89071</v>
      </c>
      <c r="T211" s="329" t="n">
        <v>146.612022</v>
      </c>
      <c r="U211" s="329" t="n">
        <v>1110.322404</v>
      </c>
      <c r="V211" s="329" t="n">
        <v>1152.73224</v>
      </c>
      <c r="W211" s="329" t="n">
        <v>946</v>
      </c>
      <c r="X211" s="330" t="s">
        <v>340</v>
      </c>
      <c r="Y211" s="331" t="n">
        <v>46037</v>
      </c>
      <c r="Z211" s="328" t="s">
        <v>589</v>
      </c>
      <c r="AA211" s="328" t="s">
        <v>342</v>
      </c>
    </row>
    <row r="212" customFormat="false" ht="15" hidden="false" customHeight="false" outlineLevel="0" collapsed="false">
      <c r="A212" s="328" t="s">
        <v>1185</v>
      </c>
      <c r="B212" s="328" t="s">
        <v>1186</v>
      </c>
      <c r="C212" s="328" t="s">
        <v>1187</v>
      </c>
      <c r="D212" s="328" t="s">
        <v>723</v>
      </c>
      <c r="E212" s="328" t="s">
        <v>1188</v>
      </c>
      <c r="F212" s="328" t="s">
        <v>432</v>
      </c>
      <c r="G212" s="328" t="s">
        <v>361</v>
      </c>
      <c r="H212" s="328" t="s">
        <v>362</v>
      </c>
      <c r="I212" s="329" t="n">
        <v>25.6186868686869</v>
      </c>
      <c r="J212" s="329" t="n">
        <v>28.459016</v>
      </c>
      <c r="K212" s="329" t="n">
        <v>8.759563</v>
      </c>
      <c r="L212" s="329" t="n">
        <v>9.781421</v>
      </c>
      <c r="M212" s="329" t="n">
        <v>16.409836</v>
      </c>
      <c r="N212" s="329" t="n">
        <v>24.693989</v>
      </c>
      <c r="O212" s="329" t="n">
        <v>30.846995</v>
      </c>
      <c r="P212" s="329" t="n">
        <v>1.759563</v>
      </c>
      <c r="Q212" s="329" t="n">
        <v>6.10929</v>
      </c>
      <c r="R212" s="329" t="n">
        <v>15.442623</v>
      </c>
      <c r="S212" s="329" t="n">
        <v>6.814208</v>
      </c>
      <c r="T212" s="329" t="n">
        <v>8.661202</v>
      </c>
      <c r="U212" s="329" t="n">
        <v>32.491803</v>
      </c>
      <c r="V212" s="329" t="n">
        <v>42.47541</v>
      </c>
      <c r="W212" s="328"/>
      <c r="X212" s="330" t="s">
        <v>539</v>
      </c>
      <c r="Y212" s="331" t="n">
        <v>45834</v>
      </c>
      <c r="Z212" s="328" t="s">
        <v>516</v>
      </c>
      <c r="AA212" s="328" t="s">
        <v>342</v>
      </c>
    </row>
    <row r="213" customFormat="false" ht="15" hidden="false" customHeight="false" outlineLevel="0" collapsed="false">
      <c r="A213" s="328" t="s">
        <v>1189</v>
      </c>
      <c r="B213" s="328" t="s">
        <v>1190</v>
      </c>
      <c r="C213" s="328" t="s">
        <v>1191</v>
      </c>
      <c r="D213" s="328" t="s">
        <v>1192</v>
      </c>
      <c r="E213" s="328" t="s">
        <v>1193</v>
      </c>
      <c r="F213" s="328" t="s">
        <v>391</v>
      </c>
      <c r="G213" s="328" t="s">
        <v>361</v>
      </c>
      <c r="H213" s="328" t="s">
        <v>362</v>
      </c>
      <c r="I213" s="329" t="n">
        <v>38.4618473895582</v>
      </c>
      <c r="J213" s="329" t="n">
        <v>39.84153</v>
      </c>
      <c r="K213" s="329" t="n">
        <v>5.584699</v>
      </c>
      <c r="L213" s="329" t="n">
        <v>29.699454</v>
      </c>
      <c r="M213" s="329" t="n">
        <v>34.63388</v>
      </c>
      <c r="N213" s="329" t="n">
        <v>34.677596</v>
      </c>
      <c r="O213" s="329" t="n">
        <v>74.196721</v>
      </c>
      <c r="P213" s="329" t="n">
        <v>0.027322</v>
      </c>
      <c r="Q213" s="329" t="n">
        <v>0.857923</v>
      </c>
      <c r="R213" s="329" t="n">
        <v>26.688525</v>
      </c>
      <c r="S213" s="329" t="n">
        <v>6.644809</v>
      </c>
      <c r="T213" s="329" t="n">
        <v>7.601093</v>
      </c>
      <c r="U213" s="329" t="n">
        <v>68.825136</v>
      </c>
      <c r="V213" s="329" t="n">
        <v>52.650273</v>
      </c>
      <c r="W213" s="328"/>
      <c r="X213" s="330" t="s">
        <v>340</v>
      </c>
      <c r="Y213" s="331" t="s">
        <v>363</v>
      </c>
      <c r="Z213" s="328" t="s">
        <v>379</v>
      </c>
      <c r="AA213" s="328" t="s">
        <v>342</v>
      </c>
    </row>
  </sheetData>
  <autoFilter ref="A10:AA213"/>
  <mergeCells count="5">
    <mergeCell ref="A9:H9"/>
    <mergeCell ref="J9:M9"/>
    <mergeCell ref="N9:Q9"/>
    <mergeCell ref="R9:U9"/>
    <mergeCell ref="W9:AA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00390625" defaultRowHeight="14.25" customHeight="false" zeroHeight="false" outlineLevelRow="0" outlineLevelCol="0"/>
  <cols>
    <col collapsed="false" customWidth="true" hidden="false" outlineLevel="0" max="1" min="1" style="1" width="52.44"/>
    <col collapsed="false" customWidth="true" hidden="false" outlineLevel="0" max="2" min="2" style="1" width="40.56"/>
  </cols>
  <sheetData>
    <row r="1" customFormat="false" ht="25.5" hidden="false" customHeight="true" outlineLevel="0" collapsed="false">
      <c r="A1" s="334" t="s">
        <v>1194</v>
      </c>
      <c r="B1" s="334"/>
      <c r="C1" s="335"/>
      <c r="D1" s="335"/>
      <c r="E1" s="335"/>
      <c r="F1" s="335"/>
    </row>
    <row r="2" customFormat="false" ht="15" hidden="false" customHeight="true" outlineLevel="0" collapsed="false">
      <c r="A2" s="334"/>
      <c r="B2" s="334"/>
    </row>
    <row r="3" customFormat="false" ht="14.25" hidden="false" customHeight="false" outlineLevel="0" collapsed="false">
      <c r="A3" s="334"/>
      <c r="B3" s="334"/>
    </row>
    <row r="4" customFormat="false" ht="14.25" hidden="false" customHeight="false" outlineLevel="0" collapsed="false">
      <c r="A4" s="334"/>
      <c r="B4" s="334"/>
    </row>
    <row r="5" customFormat="false" ht="14.25" hidden="false" customHeight="false" outlineLevel="0" collapsed="false">
      <c r="A5" s="336" t="s">
        <v>1195</v>
      </c>
      <c r="B5" s="337"/>
    </row>
    <row r="6" customFormat="false" ht="14.25" hidden="false" customHeight="false" outlineLevel="0" collapsed="false">
      <c r="A6" s="338" t="s">
        <v>1196</v>
      </c>
      <c r="B6" s="338" t="s">
        <v>1197</v>
      </c>
    </row>
    <row r="7" customFormat="false" ht="14.25" hidden="false" customHeight="false" outlineLevel="0" collapsed="false">
      <c r="A7" s="339" t="s">
        <v>144</v>
      </c>
      <c r="B7" s="339" t="n">
        <v>76</v>
      </c>
    </row>
    <row r="8" customFormat="false" ht="14.25" hidden="false" customHeight="false" outlineLevel="0" collapsed="false">
      <c r="A8" s="339" t="s">
        <v>910</v>
      </c>
      <c r="B8" s="339" t="n">
        <v>74</v>
      </c>
    </row>
    <row r="9" customFormat="false" ht="14.25" hidden="false" customHeight="false" outlineLevel="0" collapsed="false">
      <c r="A9" s="339" t="s">
        <v>218</v>
      </c>
      <c r="B9" s="339" t="n">
        <v>66</v>
      </c>
    </row>
    <row r="10" customFormat="false" ht="14.25" hidden="false" customHeight="false" outlineLevel="0" collapsed="false">
      <c r="A10" s="339" t="s">
        <v>631</v>
      </c>
      <c r="B10" s="339" t="n">
        <v>55</v>
      </c>
    </row>
    <row r="11" customFormat="false" ht="14.25" hidden="false" customHeight="false" outlineLevel="0" collapsed="false">
      <c r="A11" s="339" t="s">
        <v>661</v>
      </c>
      <c r="B11" s="339" t="n">
        <v>50</v>
      </c>
    </row>
    <row r="12" customFormat="false" ht="14.25" hidden="false" customHeight="false" outlineLevel="0" collapsed="false">
      <c r="A12" s="339" t="s">
        <v>483</v>
      </c>
      <c r="B12" s="339" t="n">
        <v>42</v>
      </c>
    </row>
    <row r="13" customFormat="false" ht="14.25" hidden="false" customHeight="false" outlineLevel="0" collapsed="false">
      <c r="A13" s="339" t="s">
        <v>422</v>
      </c>
      <c r="B13" s="339" t="n">
        <v>34</v>
      </c>
    </row>
    <row r="14" customFormat="false" ht="14.25" hidden="false" customHeight="false" outlineLevel="0" collapsed="false">
      <c r="A14" s="339" t="s">
        <v>975</v>
      </c>
      <c r="B14" s="339" t="n">
        <v>31</v>
      </c>
    </row>
    <row r="15" customFormat="false" ht="14.25" hidden="false" customHeight="false" outlineLevel="0" collapsed="false">
      <c r="A15" s="339" t="s">
        <v>158</v>
      </c>
      <c r="B15" s="339" t="n">
        <v>31</v>
      </c>
    </row>
    <row r="16" customFormat="false" ht="14.25" hidden="false" customHeight="false" outlineLevel="0" collapsed="false">
      <c r="A16" s="339" t="s">
        <v>939</v>
      </c>
      <c r="B16" s="339" t="n">
        <v>30</v>
      </c>
    </row>
    <row r="17" customFormat="false" ht="14.25" hidden="false" customHeight="false" outlineLevel="0" collapsed="false">
      <c r="A17" s="339" t="s">
        <v>393</v>
      </c>
      <c r="B17" s="339" t="n">
        <v>29</v>
      </c>
    </row>
    <row r="18" customFormat="false" ht="14.25" hidden="false" customHeight="false" outlineLevel="0" collapsed="false">
      <c r="A18" s="339" t="s">
        <v>635</v>
      </c>
      <c r="B18" s="339" t="n">
        <v>28</v>
      </c>
    </row>
    <row r="19" customFormat="false" ht="14.25" hidden="false" customHeight="false" outlineLevel="0" collapsed="false">
      <c r="A19" s="339" t="s">
        <v>946</v>
      </c>
      <c r="B19" s="339" t="n">
        <v>27</v>
      </c>
    </row>
    <row r="20" customFormat="false" ht="14.25" hidden="false" customHeight="false" outlineLevel="0" collapsed="false">
      <c r="A20" s="339" t="s">
        <v>573</v>
      </c>
      <c r="B20" s="339" t="n">
        <v>25</v>
      </c>
    </row>
    <row r="21" customFormat="false" ht="14.25" hidden="false" customHeight="false" outlineLevel="0" collapsed="false">
      <c r="A21" s="339" t="s">
        <v>615</v>
      </c>
      <c r="B21" s="339" t="n">
        <v>23</v>
      </c>
    </row>
    <row r="22" customFormat="false" ht="14.25" hidden="false" customHeight="false" outlineLevel="0" collapsed="false">
      <c r="A22" s="339" t="s">
        <v>643</v>
      </c>
      <c r="B22" s="339" t="n">
        <v>21</v>
      </c>
    </row>
    <row r="23" customFormat="false" ht="14.25" hidden="false" customHeight="false" outlineLevel="0" collapsed="false">
      <c r="A23" s="339" t="s">
        <v>664</v>
      </c>
      <c r="B23" s="339" t="n">
        <v>21</v>
      </c>
    </row>
    <row r="24" customFormat="false" ht="14.25" hidden="false" customHeight="false" outlineLevel="0" collapsed="false">
      <c r="A24" s="339" t="s">
        <v>747</v>
      </c>
      <c r="B24" s="339" t="n">
        <v>20</v>
      </c>
    </row>
    <row r="25" customFormat="false" ht="14.25" hidden="false" customHeight="false" outlineLevel="0" collapsed="false">
      <c r="A25" s="339" t="s">
        <v>1198</v>
      </c>
      <c r="B25" s="339" t="n">
        <v>17</v>
      </c>
    </row>
    <row r="26" customFormat="false" ht="14.25" hidden="false" customHeight="false" outlineLevel="0" collapsed="false">
      <c r="A26" s="339" t="s">
        <v>214</v>
      </c>
      <c r="B26" s="339" t="n">
        <v>16</v>
      </c>
    </row>
    <row r="27" customFormat="false" ht="14.25" hidden="false" customHeight="false" outlineLevel="0" collapsed="false">
      <c r="A27" s="339" t="s">
        <v>908</v>
      </c>
      <c r="B27" s="339" t="n">
        <v>15</v>
      </c>
    </row>
    <row r="28" customFormat="false" ht="14.25" hidden="false" customHeight="false" outlineLevel="0" collapsed="false">
      <c r="A28" s="339" t="s">
        <v>795</v>
      </c>
      <c r="B28" s="339" t="n">
        <v>13</v>
      </c>
    </row>
    <row r="29" customFormat="false" ht="14.25" hidden="false" customHeight="false" outlineLevel="0" collapsed="false">
      <c r="A29" s="339" t="s">
        <v>695</v>
      </c>
      <c r="B29" s="339" t="n">
        <v>13</v>
      </c>
    </row>
    <row r="30" customFormat="false" ht="14.25" hidden="false" customHeight="false" outlineLevel="0" collapsed="false">
      <c r="A30" s="339" t="s">
        <v>738</v>
      </c>
      <c r="B30" s="339" t="n">
        <v>13</v>
      </c>
    </row>
    <row r="31" customFormat="false" ht="14.25" hidden="false" customHeight="false" outlineLevel="0" collapsed="false">
      <c r="A31" s="339" t="s">
        <v>926</v>
      </c>
      <c r="B31" s="339" t="n">
        <v>12</v>
      </c>
    </row>
    <row r="32" customFormat="false" ht="14.25" hidden="false" customHeight="false" outlineLevel="0" collapsed="false">
      <c r="A32" s="339" t="s">
        <v>162</v>
      </c>
      <c r="B32" s="339" t="n">
        <v>12</v>
      </c>
    </row>
    <row r="33" customFormat="false" ht="14.25" hidden="false" customHeight="false" outlineLevel="0" collapsed="false">
      <c r="A33" s="339" t="s">
        <v>622</v>
      </c>
      <c r="B33" s="339" t="n">
        <v>11</v>
      </c>
    </row>
    <row r="34" customFormat="false" ht="14.25" hidden="false" customHeight="false" outlineLevel="0" collapsed="false">
      <c r="A34" s="339" t="s">
        <v>446</v>
      </c>
      <c r="B34" s="339" t="n">
        <v>11</v>
      </c>
    </row>
    <row r="35" customFormat="false" ht="14.25" hidden="false" customHeight="false" outlineLevel="0" collapsed="false">
      <c r="A35" s="339" t="s">
        <v>190</v>
      </c>
      <c r="B35" s="339" t="n">
        <v>8</v>
      </c>
    </row>
    <row r="36" customFormat="false" ht="14.25" hidden="false" customHeight="false" outlineLevel="0" collapsed="false">
      <c r="A36" s="339" t="s">
        <v>222</v>
      </c>
      <c r="B36" s="339" t="n">
        <v>5</v>
      </c>
    </row>
    <row r="37" customFormat="false" ht="14.25" hidden="false" customHeight="false" outlineLevel="0" collapsed="false">
      <c r="A37" s="339" t="s">
        <v>943</v>
      </c>
      <c r="B37" s="339" t="n">
        <v>5</v>
      </c>
    </row>
    <row r="38" customFormat="false" ht="14.25" hidden="false" customHeight="false" outlineLevel="0" collapsed="false">
      <c r="A38" s="339" t="s">
        <v>854</v>
      </c>
      <c r="B38" s="339" t="n">
        <v>4</v>
      </c>
    </row>
    <row r="39" customFormat="false" ht="14.25" hidden="false" customHeight="false" outlineLevel="0" collapsed="false">
      <c r="A39" s="339" t="s">
        <v>1076</v>
      </c>
      <c r="B39" s="339" t="n">
        <v>4</v>
      </c>
    </row>
    <row r="40" customFormat="false" ht="14.25" hidden="false" customHeight="false" outlineLevel="0" collapsed="false">
      <c r="A40" s="339" t="s">
        <v>1031</v>
      </c>
      <c r="B40" s="339" t="n">
        <v>4</v>
      </c>
    </row>
    <row r="41" customFormat="false" ht="14.25" hidden="false" customHeight="false" outlineLevel="0" collapsed="false">
      <c r="A41" s="339" t="s">
        <v>1087</v>
      </c>
      <c r="B41" s="339" t="n">
        <v>3</v>
      </c>
    </row>
    <row r="42" customFormat="false" ht="14.25" hidden="false" customHeight="false" outlineLevel="0" collapsed="false">
      <c r="A42" s="339" t="s">
        <v>1168</v>
      </c>
      <c r="B42" s="339" t="n">
        <v>3</v>
      </c>
    </row>
    <row r="43" customFormat="false" ht="14.25" hidden="false" customHeight="false" outlineLevel="0" collapsed="false">
      <c r="A43" s="339" t="s">
        <v>487</v>
      </c>
      <c r="B43" s="339" t="n">
        <v>2</v>
      </c>
    </row>
    <row r="44" customFormat="false" ht="14.25" hidden="false" customHeight="false" outlineLevel="0" collapsed="false">
      <c r="A44" s="339" t="s">
        <v>204</v>
      </c>
      <c r="B44" s="339" t="n">
        <v>2</v>
      </c>
    </row>
    <row r="45" customFormat="false" ht="14.25" hidden="false" customHeight="false" outlineLevel="0" collapsed="false">
      <c r="A45" s="339" t="s">
        <v>186</v>
      </c>
      <c r="B45" s="339" t="n">
        <v>2</v>
      </c>
    </row>
    <row r="46" customFormat="false" ht="14.25" hidden="false" customHeight="false" outlineLevel="0" collapsed="false">
      <c r="A46" s="339" t="s">
        <v>1083</v>
      </c>
      <c r="B46" s="339" t="n">
        <v>1</v>
      </c>
    </row>
    <row r="47" customFormat="false" ht="14.25" hidden="false" customHeight="false" outlineLevel="0" collapsed="false">
      <c r="A47" s="339" t="s">
        <v>729</v>
      </c>
      <c r="B47" s="339" t="n">
        <v>1</v>
      </c>
    </row>
    <row r="48" customFormat="false" ht="14.25" hidden="false" customHeight="false" outlineLevel="0" collapsed="false">
      <c r="A48" s="339" t="s">
        <v>862</v>
      </c>
      <c r="B48" s="339" t="n">
        <v>1</v>
      </c>
    </row>
    <row r="49" customFormat="false" ht="14.25" hidden="false" customHeight="false" outlineLevel="0" collapsed="false">
      <c r="A49" s="339" t="s">
        <v>1109</v>
      </c>
      <c r="B49" s="339" t="n">
        <v>1</v>
      </c>
    </row>
    <row r="50" customFormat="false" ht="14.25" hidden="false" customHeight="false" outlineLevel="0" collapsed="false">
      <c r="A50" s="339" t="s">
        <v>812</v>
      </c>
      <c r="B50" s="339" t="n">
        <v>1</v>
      </c>
    </row>
    <row r="51" customFormat="false" ht="14.25" hidden="false" customHeight="false" outlineLevel="0" collapsed="false">
      <c r="A51" s="339" t="s">
        <v>688</v>
      </c>
      <c r="B51" s="339" t="n">
        <v>1</v>
      </c>
    </row>
    <row r="52" customFormat="false" ht="14.25" hidden="false" customHeight="false" outlineLevel="0" collapsed="false">
      <c r="A52" s="339" t="s">
        <v>554</v>
      </c>
      <c r="B52" s="339" t="n">
        <v>1</v>
      </c>
    </row>
    <row r="53" customFormat="false" ht="14.25" hidden="false" customHeight="false" outlineLevel="0" collapsed="false">
      <c r="A53" s="339" t="s">
        <v>210</v>
      </c>
      <c r="B53" s="339" t="n">
        <v>1</v>
      </c>
    </row>
    <row r="54" customFormat="false" ht="14.25" hidden="false" customHeight="false" outlineLevel="0" collapsed="false">
      <c r="A54" s="339" t="s">
        <v>212</v>
      </c>
      <c r="B54" s="339" t="n">
        <v>1</v>
      </c>
    </row>
    <row r="55" customFormat="false" ht="14.25" hidden="false" customHeight="false" outlineLevel="0" collapsed="false">
      <c r="A55" s="339" t="s">
        <v>763</v>
      </c>
      <c r="B55" s="339" t="n">
        <v>1</v>
      </c>
    </row>
    <row r="56" customFormat="false" ht="14.25" hidden="false" customHeight="false" outlineLevel="0" collapsed="false">
      <c r="A56" s="340" t="s">
        <v>1199</v>
      </c>
      <c r="B56" s="341" t="n">
        <v>868</v>
      </c>
    </row>
    <row r="57" customFormat="false" ht="14.25" hidden="false" customHeight="false" outlineLevel="0" collapsed="false">
      <c r="A57" s="342"/>
    </row>
    <row r="58" customFormat="false" ht="14.25" hidden="false" customHeight="false" outlineLevel="0" collapsed="false">
      <c r="A58" s="342"/>
    </row>
    <row r="59" customFormat="false" ht="14.25" hidden="false" customHeight="false" outlineLevel="0" collapsed="false">
      <c r="A59" s="336" t="s">
        <v>1200</v>
      </c>
      <c r="B59" s="337"/>
    </row>
    <row r="60" customFormat="false" ht="14.25" hidden="false" customHeight="false" outlineLevel="0" collapsed="false">
      <c r="A60" s="338" t="s">
        <v>1196</v>
      </c>
      <c r="B60" s="338" t="s">
        <v>1197</v>
      </c>
    </row>
    <row r="61" customFormat="false" ht="14.25" hidden="false" customHeight="false" outlineLevel="0" collapsed="false">
      <c r="A61" s="339" t="s">
        <v>910</v>
      </c>
      <c r="B61" s="339" t="n">
        <v>83</v>
      </c>
    </row>
    <row r="62" customFormat="false" ht="14.25" hidden="false" customHeight="false" outlineLevel="0" collapsed="false">
      <c r="A62" s="339" t="s">
        <v>144</v>
      </c>
      <c r="B62" s="339" t="n">
        <v>72</v>
      </c>
    </row>
    <row r="63" customFormat="false" ht="14.25" hidden="false" customHeight="false" outlineLevel="0" collapsed="false">
      <c r="A63" s="339" t="s">
        <v>218</v>
      </c>
      <c r="B63" s="339" t="n">
        <v>72</v>
      </c>
    </row>
    <row r="64" customFormat="false" ht="14.25" hidden="false" customHeight="false" outlineLevel="0" collapsed="false">
      <c r="A64" s="339" t="s">
        <v>631</v>
      </c>
      <c r="B64" s="339" t="n">
        <v>59</v>
      </c>
    </row>
    <row r="65" customFormat="false" ht="14.25" hidden="false" customHeight="false" outlineLevel="0" collapsed="false">
      <c r="A65" s="339" t="s">
        <v>635</v>
      </c>
      <c r="B65" s="339" t="n">
        <v>44</v>
      </c>
    </row>
    <row r="66" customFormat="false" ht="14.25" hidden="false" customHeight="false" outlineLevel="0" collapsed="false">
      <c r="A66" s="339" t="s">
        <v>483</v>
      </c>
      <c r="B66" s="339" t="n">
        <v>38</v>
      </c>
    </row>
    <row r="67" customFormat="false" ht="14.25" hidden="false" customHeight="false" outlineLevel="0" collapsed="false">
      <c r="A67" s="339" t="s">
        <v>661</v>
      </c>
      <c r="B67" s="339" t="n">
        <v>35</v>
      </c>
    </row>
    <row r="68" customFormat="false" ht="14.25" hidden="false" customHeight="false" outlineLevel="0" collapsed="false">
      <c r="A68" s="339" t="s">
        <v>975</v>
      </c>
      <c r="B68" s="339" t="n">
        <v>27</v>
      </c>
    </row>
    <row r="69" customFormat="false" ht="14.25" hidden="false" customHeight="false" outlineLevel="0" collapsed="false">
      <c r="A69" s="339" t="s">
        <v>573</v>
      </c>
      <c r="B69" s="339" t="n">
        <v>27</v>
      </c>
    </row>
    <row r="70" customFormat="false" ht="14.25" hidden="false" customHeight="false" outlineLevel="0" collapsed="false">
      <c r="A70" s="339" t="s">
        <v>664</v>
      </c>
      <c r="B70" s="339" t="n">
        <v>27</v>
      </c>
    </row>
    <row r="71" customFormat="false" ht="14.25" hidden="false" customHeight="false" outlineLevel="0" collapsed="false">
      <c r="A71" s="339" t="s">
        <v>158</v>
      </c>
      <c r="B71" s="339" t="n">
        <v>27</v>
      </c>
    </row>
    <row r="72" customFormat="false" ht="14.25" hidden="false" customHeight="false" outlineLevel="0" collapsed="false">
      <c r="A72" s="339" t="s">
        <v>939</v>
      </c>
      <c r="B72" s="339" t="n">
        <v>25</v>
      </c>
    </row>
    <row r="73" customFormat="false" ht="14.25" hidden="false" customHeight="false" outlineLevel="0" collapsed="false">
      <c r="A73" s="339" t="s">
        <v>162</v>
      </c>
      <c r="B73" s="339" t="n">
        <v>24</v>
      </c>
    </row>
    <row r="74" customFormat="false" ht="14.25" hidden="false" customHeight="false" outlineLevel="0" collapsed="false">
      <c r="A74" s="339" t="s">
        <v>615</v>
      </c>
      <c r="B74" s="339" t="n">
        <v>24</v>
      </c>
    </row>
    <row r="75" customFormat="false" ht="14.25" hidden="false" customHeight="false" outlineLevel="0" collapsed="false">
      <c r="A75" s="339" t="s">
        <v>393</v>
      </c>
      <c r="B75" s="339" t="n">
        <v>24</v>
      </c>
    </row>
    <row r="76" customFormat="false" ht="14.25" hidden="false" customHeight="false" outlineLevel="0" collapsed="false">
      <c r="A76" s="339" t="s">
        <v>422</v>
      </c>
      <c r="B76" s="339" t="n">
        <v>23</v>
      </c>
    </row>
    <row r="77" customFormat="false" ht="14.25" hidden="false" customHeight="false" outlineLevel="0" collapsed="false">
      <c r="A77" s="339" t="s">
        <v>738</v>
      </c>
      <c r="B77" s="339" t="n">
        <v>21</v>
      </c>
    </row>
    <row r="78" customFormat="false" ht="14.25" hidden="false" customHeight="false" outlineLevel="0" collapsed="false">
      <c r="A78" s="339" t="s">
        <v>643</v>
      </c>
      <c r="B78" s="339" t="n">
        <v>20</v>
      </c>
    </row>
    <row r="79" customFormat="false" ht="14.25" hidden="false" customHeight="false" outlineLevel="0" collapsed="false">
      <c r="A79" s="339" t="s">
        <v>214</v>
      </c>
      <c r="B79" s="339" t="n">
        <v>18</v>
      </c>
    </row>
    <row r="80" customFormat="false" ht="14.25" hidden="false" customHeight="false" outlineLevel="0" collapsed="false">
      <c r="A80" s="339" t="s">
        <v>946</v>
      </c>
      <c r="B80" s="339" t="n">
        <v>17</v>
      </c>
    </row>
    <row r="81" customFormat="false" ht="14.25" hidden="false" customHeight="false" outlineLevel="0" collapsed="false">
      <c r="A81" s="339" t="s">
        <v>795</v>
      </c>
      <c r="B81" s="339" t="n">
        <v>14</v>
      </c>
    </row>
    <row r="82" customFormat="false" ht="14.25" hidden="false" customHeight="false" outlineLevel="0" collapsed="false">
      <c r="A82" s="339" t="s">
        <v>908</v>
      </c>
      <c r="B82" s="339" t="n">
        <v>13</v>
      </c>
    </row>
    <row r="83" customFormat="false" ht="14.25" hidden="false" customHeight="false" outlineLevel="0" collapsed="false">
      <c r="A83" s="339" t="s">
        <v>747</v>
      </c>
      <c r="B83" s="339" t="n">
        <v>12</v>
      </c>
    </row>
    <row r="84" customFormat="false" ht="14.25" hidden="false" customHeight="false" outlineLevel="0" collapsed="false">
      <c r="A84" s="339" t="s">
        <v>446</v>
      </c>
      <c r="B84" s="339" t="n">
        <v>12</v>
      </c>
    </row>
    <row r="85" customFormat="false" ht="14.25" hidden="false" customHeight="false" outlineLevel="0" collapsed="false">
      <c r="A85" s="339" t="s">
        <v>1198</v>
      </c>
      <c r="B85" s="339" t="n">
        <v>10</v>
      </c>
    </row>
    <row r="86" customFormat="false" ht="14.25" hidden="false" customHeight="false" outlineLevel="0" collapsed="false">
      <c r="A86" s="339" t="s">
        <v>926</v>
      </c>
      <c r="B86" s="339" t="n">
        <v>8</v>
      </c>
    </row>
    <row r="87" customFormat="false" ht="14.25" hidden="false" customHeight="false" outlineLevel="0" collapsed="false">
      <c r="A87" s="339" t="s">
        <v>190</v>
      </c>
      <c r="B87" s="339" t="n">
        <v>8</v>
      </c>
    </row>
    <row r="88" customFormat="false" ht="14.25" hidden="false" customHeight="false" outlineLevel="0" collapsed="false">
      <c r="A88" s="339" t="s">
        <v>622</v>
      </c>
      <c r="B88" s="339" t="n">
        <v>7</v>
      </c>
    </row>
    <row r="89" customFormat="false" ht="14.25" hidden="false" customHeight="false" outlineLevel="0" collapsed="false">
      <c r="A89" s="339" t="s">
        <v>943</v>
      </c>
      <c r="B89" s="339" t="n">
        <v>5</v>
      </c>
    </row>
    <row r="90" customFormat="false" ht="14.25" hidden="false" customHeight="false" outlineLevel="0" collapsed="false">
      <c r="A90" s="339" t="s">
        <v>1076</v>
      </c>
      <c r="B90" s="339" t="n">
        <v>5</v>
      </c>
    </row>
    <row r="91" customFormat="false" ht="14.25" hidden="false" customHeight="false" outlineLevel="0" collapsed="false">
      <c r="A91" s="339" t="s">
        <v>222</v>
      </c>
      <c r="B91" s="339" t="n">
        <v>5</v>
      </c>
    </row>
    <row r="92" customFormat="false" ht="14.25" hidden="false" customHeight="false" outlineLevel="0" collapsed="false">
      <c r="A92" s="339" t="s">
        <v>854</v>
      </c>
      <c r="B92" s="339" t="n">
        <v>4</v>
      </c>
    </row>
    <row r="93" customFormat="false" ht="14.25" hidden="false" customHeight="false" outlineLevel="0" collapsed="false">
      <c r="A93" s="339" t="s">
        <v>1168</v>
      </c>
      <c r="B93" s="339" t="n">
        <v>4</v>
      </c>
    </row>
    <row r="94" customFormat="false" ht="14.25" hidden="false" customHeight="false" outlineLevel="0" collapsed="false">
      <c r="A94" s="339" t="s">
        <v>1087</v>
      </c>
      <c r="B94" s="339" t="n">
        <v>3</v>
      </c>
    </row>
    <row r="95" customFormat="false" ht="14.25" hidden="false" customHeight="false" outlineLevel="0" collapsed="false">
      <c r="A95" s="339" t="s">
        <v>1031</v>
      </c>
      <c r="B95" s="339" t="n">
        <v>2</v>
      </c>
    </row>
    <row r="96" customFormat="false" ht="14.25" hidden="false" customHeight="false" outlineLevel="0" collapsed="false">
      <c r="A96" s="339" t="s">
        <v>487</v>
      </c>
      <c r="B96" s="339" t="n">
        <v>2</v>
      </c>
    </row>
    <row r="97" customFormat="false" ht="14.25" hidden="false" customHeight="false" outlineLevel="0" collapsed="false">
      <c r="A97" s="339" t="s">
        <v>204</v>
      </c>
      <c r="B97" s="339" t="n">
        <v>2</v>
      </c>
    </row>
    <row r="98" customFormat="false" ht="14.25" hidden="false" customHeight="false" outlineLevel="0" collapsed="false">
      <c r="A98" s="339" t="s">
        <v>1109</v>
      </c>
      <c r="B98" s="339" t="n">
        <v>2</v>
      </c>
    </row>
    <row r="99" customFormat="false" ht="14.25" hidden="false" customHeight="false" outlineLevel="0" collapsed="false">
      <c r="A99" s="339" t="s">
        <v>695</v>
      </c>
      <c r="B99" s="339" t="n">
        <v>2</v>
      </c>
    </row>
    <row r="100" customFormat="false" ht="14.25" hidden="false" customHeight="false" outlineLevel="0" collapsed="false">
      <c r="A100" s="339" t="s">
        <v>812</v>
      </c>
      <c r="B100" s="339" t="n">
        <v>2</v>
      </c>
    </row>
    <row r="101" customFormat="false" ht="14.25" hidden="false" customHeight="false" outlineLevel="0" collapsed="false">
      <c r="A101" s="339" t="s">
        <v>862</v>
      </c>
      <c r="B101" s="339" t="n">
        <v>1</v>
      </c>
    </row>
    <row r="102" customFormat="false" ht="14.25" hidden="false" customHeight="false" outlineLevel="0" collapsed="false">
      <c r="A102" s="339" t="s">
        <v>688</v>
      </c>
      <c r="B102" s="339" t="n">
        <v>1</v>
      </c>
    </row>
    <row r="103" customFormat="false" ht="14.25" hidden="false" customHeight="false" outlineLevel="0" collapsed="false">
      <c r="A103" s="339" t="s">
        <v>729</v>
      </c>
      <c r="B103" s="339" t="n">
        <v>1</v>
      </c>
    </row>
    <row r="104" customFormat="false" ht="14.25" hidden="false" customHeight="false" outlineLevel="0" collapsed="false">
      <c r="A104" s="339" t="s">
        <v>554</v>
      </c>
      <c r="B104" s="339" t="n">
        <v>1</v>
      </c>
    </row>
    <row r="105" customFormat="false" ht="14.25" hidden="false" customHeight="false" outlineLevel="0" collapsed="false">
      <c r="A105" s="339" t="s">
        <v>210</v>
      </c>
      <c r="B105" s="339" t="n">
        <v>1</v>
      </c>
    </row>
    <row r="106" customFormat="false" ht="14.25" hidden="false" customHeight="false" outlineLevel="0" collapsed="false">
      <c r="A106" s="339" t="s">
        <v>212</v>
      </c>
      <c r="B106" s="339" t="n">
        <v>1</v>
      </c>
    </row>
    <row r="107" customFormat="false" ht="14.25" hidden="false" customHeight="false" outlineLevel="0" collapsed="false">
      <c r="A107" s="340" t="s">
        <v>1199</v>
      </c>
      <c r="B107" s="341" t="n">
        <v>835</v>
      </c>
    </row>
    <row r="108" customFormat="false" ht="14.25" hidden="false" customHeight="false" outlineLevel="0" collapsed="false">
      <c r="A108" s="342"/>
    </row>
    <row r="109" customFormat="false" ht="14.25" hidden="false" customHeight="false" outlineLevel="0" collapsed="false">
      <c r="A109" s="342"/>
    </row>
    <row r="110" customFormat="false" ht="14.25" hidden="false" customHeight="false" outlineLevel="0" collapsed="false">
      <c r="A110" s="336" t="s">
        <v>1201</v>
      </c>
      <c r="B110" s="337"/>
    </row>
    <row r="111" customFormat="false" ht="14.25" hidden="false" customHeight="false" outlineLevel="0" collapsed="false">
      <c r="A111" s="338" t="s">
        <v>1196</v>
      </c>
      <c r="B111" s="338" t="s">
        <v>1197</v>
      </c>
    </row>
    <row r="112" customFormat="false" ht="14.25" hidden="false" customHeight="false" outlineLevel="0" collapsed="false">
      <c r="A112" s="339" t="s">
        <v>218</v>
      </c>
      <c r="B112" s="339" t="n">
        <v>118</v>
      </c>
    </row>
    <row r="113" customFormat="false" ht="14.25" hidden="false" customHeight="false" outlineLevel="0" collapsed="false">
      <c r="A113" s="339" t="s">
        <v>144</v>
      </c>
      <c r="B113" s="339" t="n">
        <v>74</v>
      </c>
    </row>
    <row r="114" customFormat="false" ht="14.25" hidden="false" customHeight="false" outlineLevel="0" collapsed="false">
      <c r="A114" s="339" t="s">
        <v>635</v>
      </c>
      <c r="B114" s="339" t="n">
        <v>72</v>
      </c>
    </row>
    <row r="115" customFormat="false" ht="14.25" hidden="false" customHeight="false" outlineLevel="0" collapsed="false">
      <c r="A115" s="339" t="s">
        <v>910</v>
      </c>
      <c r="B115" s="339" t="n">
        <v>68</v>
      </c>
    </row>
    <row r="116" customFormat="false" ht="14.25" hidden="false" customHeight="false" outlineLevel="0" collapsed="false">
      <c r="A116" s="339" t="s">
        <v>631</v>
      </c>
      <c r="B116" s="339" t="n">
        <v>56</v>
      </c>
    </row>
    <row r="117" customFormat="false" ht="14.25" hidden="false" customHeight="false" outlineLevel="0" collapsed="false">
      <c r="A117" s="339" t="s">
        <v>483</v>
      </c>
      <c r="B117" s="339" t="n">
        <v>36</v>
      </c>
    </row>
    <row r="118" customFormat="false" ht="14.25" hidden="false" customHeight="false" outlineLevel="0" collapsed="false">
      <c r="A118" s="339" t="s">
        <v>908</v>
      </c>
      <c r="B118" s="339" t="n">
        <v>34</v>
      </c>
    </row>
    <row r="119" customFormat="false" ht="14.25" hidden="false" customHeight="false" outlineLevel="0" collapsed="false">
      <c r="A119" s="339" t="s">
        <v>573</v>
      </c>
      <c r="B119" s="339" t="n">
        <v>34</v>
      </c>
    </row>
    <row r="120" customFormat="false" ht="14.25" hidden="false" customHeight="false" outlineLevel="0" collapsed="false">
      <c r="A120" s="339" t="s">
        <v>615</v>
      </c>
      <c r="B120" s="339" t="n">
        <v>29</v>
      </c>
    </row>
    <row r="121" customFormat="false" ht="14.25" hidden="false" customHeight="false" outlineLevel="0" collapsed="false">
      <c r="A121" s="339" t="s">
        <v>422</v>
      </c>
      <c r="B121" s="339" t="n">
        <v>28</v>
      </c>
    </row>
    <row r="122" customFormat="false" ht="14.25" hidden="false" customHeight="false" outlineLevel="0" collapsed="false">
      <c r="A122" s="339" t="s">
        <v>661</v>
      </c>
      <c r="B122" s="339" t="n">
        <v>28</v>
      </c>
    </row>
    <row r="123" customFormat="false" ht="14.25" hidden="false" customHeight="false" outlineLevel="0" collapsed="false">
      <c r="A123" s="339" t="s">
        <v>664</v>
      </c>
      <c r="B123" s="339" t="n">
        <v>24</v>
      </c>
    </row>
    <row r="124" customFormat="false" ht="14.25" hidden="false" customHeight="false" outlineLevel="0" collapsed="false">
      <c r="A124" s="339" t="s">
        <v>158</v>
      </c>
      <c r="B124" s="339" t="n">
        <v>23</v>
      </c>
    </row>
    <row r="125" customFormat="false" ht="14.25" hidden="false" customHeight="false" outlineLevel="0" collapsed="false">
      <c r="A125" s="339" t="s">
        <v>738</v>
      </c>
      <c r="B125" s="339" t="n">
        <v>23</v>
      </c>
    </row>
    <row r="126" customFormat="false" ht="14.25" hidden="false" customHeight="false" outlineLevel="0" collapsed="false">
      <c r="A126" s="339" t="s">
        <v>1009</v>
      </c>
      <c r="B126" s="339" t="n">
        <v>19</v>
      </c>
    </row>
    <row r="127" customFormat="false" ht="14.25" hidden="false" customHeight="false" outlineLevel="0" collapsed="false">
      <c r="A127" s="339" t="s">
        <v>795</v>
      </c>
      <c r="B127" s="339" t="n">
        <v>19</v>
      </c>
    </row>
    <row r="128" customFormat="false" ht="14.25" hidden="false" customHeight="false" outlineLevel="0" collapsed="false">
      <c r="A128" s="339" t="s">
        <v>214</v>
      </c>
      <c r="B128" s="339" t="n">
        <v>18</v>
      </c>
    </row>
    <row r="129" customFormat="false" ht="14.25" hidden="false" customHeight="false" outlineLevel="0" collapsed="false">
      <c r="A129" s="339" t="s">
        <v>393</v>
      </c>
      <c r="B129" s="339" t="n">
        <v>18</v>
      </c>
    </row>
    <row r="130" customFormat="false" ht="14.25" hidden="false" customHeight="false" outlineLevel="0" collapsed="false">
      <c r="A130" s="339" t="s">
        <v>446</v>
      </c>
      <c r="B130" s="339" t="n">
        <v>17</v>
      </c>
    </row>
    <row r="131" customFormat="false" ht="14.25" hidden="false" customHeight="false" outlineLevel="0" collapsed="false">
      <c r="A131" s="339" t="s">
        <v>946</v>
      </c>
      <c r="B131" s="339" t="n">
        <v>17</v>
      </c>
    </row>
    <row r="132" customFormat="false" ht="14.25" hidden="false" customHeight="false" outlineLevel="0" collapsed="false">
      <c r="A132" s="339" t="s">
        <v>643</v>
      </c>
      <c r="B132" s="339" t="n">
        <v>15</v>
      </c>
    </row>
    <row r="133" customFormat="false" ht="14.25" hidden="false" customHeight="false" outlineLevel="0" collapsed="false">
      <c r="A133" s="339" t="s">
        <v>939</v>
      </c>
      <c r="B133" s="339" t="n">
        <v>14</v>
      </c>
    </row>
    <row r="134" customFormat="false" ht="14.25" hidden="false" customHeight="false" outlineLevel="0" collapsed="false">
      <c r="A134" s="339" t="s">
        <v>1198</v>
      </c>
      <c r="B134" s="339" t="n">
        <v>12</v>
      </c>
    </row>
    <row r="135" customFormat="false" ht="14.25" hidden="false" customHeight="false" outlineLevel="0" collapsed="false">
      <c r="A135" s="339" t="s">
        <v>162</v>
      </c>
      <c r="B135" s="339" t="n">
        <v>10</v>
      </c>
    </row>
    <row r="136" customFormat="false" ht="14.25" hidden="false" customHeight="false" outlineLevel="0" collapsed="false">
      <c r="A136" s="339" t="s">
        <v>190</v>
      </c>
      <c r="B136" s="339" t="n">
        <v>9</v>
      </c>
    </row>
    <row r="137" customFormat="false" ht="14.25" hidden="false" customHeight="false" outlineLevel="0" collapsed="false">
      <c r="A137" s="339" t="s">
        <v>747</v>
      </c>
      <c r="B137" s="339" t="n">
        <v>8</v>
      </c>
    </row>
    <row r="138" customFormat="false" ht="14.25" hidden="false" customHeight="false" outlineLevel="0" collapsed="false">
      <c r="A138" s="339" t="s">
        <v>1031</v>
      </c>
      <c r="B138" s="339" t="n">
        <v>6</v>
      </c>
    </row>
    <row r="139" customFormat="false" ht="14.25" hidden="false" customHeight="false" outlineLevel="0" collapsed="false">
      <c r="A139" s="339" t="s">
        <v>1168</v>
      </c>
      <c r="B139" s="339" t="n">
        <v>6</v>
      </c>
    </row>
    <row r="140" customFormat="false" ht="14.25" hidden="false" customHeight="false" outlineLevel="0" collapsed="false">
      <c r="A140" s="339" t="s">
        <v>1076</v>
      </c>
      <c r="B140" s="339" t="n">
        <v>5</v>
      </c>
    </row>
    <row r="141" customFormat="false" ht="14.25" hidden="false" customHeight="false" outlineLevel="0" collapsed="false">
      <c r="A141" s="339" t="s">
        <v>222</v>
      </c>
      <c r="B141" s="339" t="n">
        <v>5</v>
      </c>
    </row>
    <row r="142" customFormat="false" ht="14.25" hidden="false" customHeight="false" outlineLevel="0" collapsed="false">
      <c r="A142" s="339" t="s">
        <v>1087</v>
      </c>
      <c r="B142" s="339" t="n">
        <v>5</v>
      </c>
    </row>
    <row r="143" customFormat="false" ht="14.25" hidden="false" customHeight="false" outlineLevel="0" collapsed="false">
      <c r="A143" s="339" t="s">
        <v>622</v>
      </c>
      <c r="B143" s="339" t="n">
        <v>4</v>
      </c>
    </row>
    <row r="144" customFormat="false" ht="14.25" hidden="false" customHeight="false" outlineLevel="0" collapsed="false">
      <c r="A144" s="339" t="s">
        <v>943</v>
      </c>
      <c r="B144" s="339" t="n">
        <v>4</v>
      </c>
    </row>
    <row r="145" customFormat="false" ht="14.25" hidden="false" customHeight="false" outlineLevel="0" collapsed="false">
      <c r="A145" s="339" t="s">
        <v>210</v>
      </c>
      <c r="B145" s="339" t="n">
        <v>4</v>
      </c>
    </row>
    <row r="146" customFormat="false" ht="14.25" hidden="false" customHeight="false" outlineLevel="0" collapsed="false">
      <c r="A146" s="339" t="s">
        <v>441</v>
      </c>
      <c r="B146" s="339" t="n">
        <v>3</v>
      </c>
    </row>
    <row r="147" customFormat="false" ht="14.25" hidden="false" customHeight="false" outlineLevel="0" collapsed="false">
      <c r="A147" s="339" t="s">
        <v>1109</v>
      </c>
      <c r="B147" s="339" t="n">
        <v>3</v>
      </c>
    </row>
    <row r="148" customFormat="false" ht="14.25" hidden="false" customHeight="false" outlineLevel="0" collapsed="false">
      <c r="A148" s="339" t="s">
        <v>492</v>
      </c>
      <c r="B148" s="339" t="n">
        <v>2</v>
      </c>
    </row>
    <row r="149" customFormat="false" ht="14.25" hidden="false" customHeight="false" outlineLevel="0" collapsed="false">
      <c r="A149" s="339" t="s">
        <v>812</v>
      </c>
      <c r="B149" s="339" t="n">
        <v>2</v>
      </c>
    </row>
    <row r="150" customFormat="false" ht="14.25" hidden="false" customHeight="false" outlineLevel="0" collapsed="false">
      <c r="A150" s="339" t="s">
        <v>487</v>
      </c>
      <c r="B150" s="339" t="n">
        <v>2</v>
      </c>
    </row>
    <row r="151" customFormat="false" ht="14.25" hidden="false" customHeight="false" outlineLevel="0" collapsed="false">
      <c r="A151" s="339" t="s">
        <v>204</v>
      </c>
      <c r="B151" s="339" t="n">
        <v>2</v>
      </c>
    </row>
    <row r="152" customFormat="false" ht="14.25" hidden="false" customHeight="false" outlineLevel="0" collapsed="false">
      <c r="A152" s="339" t="s">
        <v>695</v>
      </c>
      <c r="B152" s="339" t="n">
        <v>2</v>
      </c>
    </row>
    <row r="153" customFormat="false" ht="14.25" hidden="false" customHeight="false" outlineLevel="0" collapsed="false">
      <c r="A153" s="339" t="s">
        <v>975</v>
      </c>
      <c r="B153" s="339" t="n">
        <v>2</v>
      </c>
    </row>
    <row r="154" customFormat="false" ht="14.25" hidden="false" customHeight="false" outlineLevel="0" collapsed="false">
      <c r="A154" s="339" t="s">
        <v>763</v>
      </c>
      <c r="B154" s="339" t="n">
        <v>2</v>
      </c>
    </row>
    <row r="155" customFormat="false" ht="14.25" hidden="false" customHeight="false" outlineLevel="0" collapsed="false">
      <c r="A155" s="339" t="s">
        <v>212</v>
      </c>
      <c r="B155" s="339" t="n">
        <v>1</v>
      </c>
    </row>
    <row r="156" customFormat="false" ht="14.25" hidden="false" customHeight="false" outlineLevel="0" collapsed="false">
      <c r="A156" s="339" t="s">
        <v>554</v>
      </c>
      <c r="B156" s="339" t="n">
        <v>1</v>
      </c>
    </row>
    <row r="157" customFormat="false" ht="14.25" hidden="false" customHeight="false" outlineLevel="0" collapsed="false">
      <c r="A157" s="339" t="s">
        <v>1202</v>
      </c>
      <c r="B157" s="339" t="n">
        <v>1</v>
      </c>
    </row>
    <row r="158" customFormat="false" ht="14.25" hidden="false" customHeight="false" outlineLevel="0" collapsed="false">
      <c r="A158" s="339" t="s">
        <v>874</v>
      </c>
      <c r="B158" s="339" t="n">
        <v>1</v>
      </c>
    </row>
    <row r="159" customFormat="false" ht="14.25" hidden="false" customHeight="false" outlineLevel="0" collapsed="false">
      <c r="A159" s="339" t="s">
        <v>364</v>
      </c>
      <c r="B159" s="339" t="n">
        <v>1</v>
      </c>
    </row>
    <row r="160" customFormat="false" ht="14.25" hidden="false" customHeight="false" outlineLevel="0" collapsed="false">
      <c r="A160" s="339" t="s">
        <v>688</v>
      </c>
      <c r="B160" s="339" t="n">
        <v>1</v>
      </c>
    </row>
    <row r="161" customFormat="false" ht="14.25" hidden="false" customHeight="false" outlineLevel="0" collapsed="false">
      <c r="A161" s="339" t="s">
        <v>998</v>
      </c>
      <c r="B161" s="339" t="n">
        <v>1</v>
      </c>
    </row>
    <row r="162" customFormat="false" ht="14.25" hidden="false" customHeight="false" outlineLevel="0" collapsed="false">
      <c r="A162" s="340" t="s">
        <v>1199</v>
      </c>
      <c r="B162" s="341" t="n">
        <v>889</v>
      </c>
    </row>
    <row r="163" customFormat="false" ht="14.25" hidden="false" customHeight="false" outlineLevel="0" collapsed="false">
      <c r="A163" s="342"/>
    </row>
    <row r="165" customFormat="false" ht="14.25" hidden="false" customHeight="true" outlineLevel="0" collapsed="false">
      <c r="A165" s="343" t="s">
        <v>1203</v>
      </c>
      <c r="B165" s="343"/>
    </row>
    <row r="166" customFormat="false" ht="14.25" hidden="false" customHeight="false" outlineLevel="0" collapsed="false">
      <c r="A166" s="338" t="s">
        <v>1196</v>
      </c>
      <c r="B166" s="338" t="s">
        <v>1197</v>
      </c>
    </row>
    <row r="167" customFormat="false" ht="14.25" hidden="false" customHeight="false" outlineLevel="0" collapsed="false">
      <c r="A167" s="339" t="s">
        <v>218</v>
      </c>
      <c r="B167" s="339" t="n">
        <v>109</v>
      </c>
    </row>
    <row r="168" customFormat="false" ht="14.25" hidden="false" customHeight="false" outlineLevel="0" collapsed="false">
      <c r="A168" s="339" t="s">
        <v>910</v>
      </c>
      <c r="B168" s="339" t="n">
        <v>105</v>
      </c>
    </row>
    <row r="169" customFormat="false" ht="14.25" hidden="false" customHeight="false" outlineLevel="0" collapsed="false">
      <c r="A169" s="339" t="s">
        <v>573</v>
      </c>
      <c r="B169" s="339" t="n">
        <v>91</v>
      </c>
    </row>
    <row r="170" customFormat="false" ht="14.25" hidden="false" customHeight="false" outlineLevel="0" collapsed="false">
      <c r="A170" s="339" t="s">
        <v>144</v>
      </c>
      <c r="B170" s="339" t="n">
        <v>90</v>
      </c>
    </row>
    <row r="171" customFormat="false" ht="14.25" hidden="false" customHeight="false" outlineLevel="0" collapsed="false">
      <c r="A171" s="339" t="s">
        <v>631</v>
      </c>
      <c r="B171" s="339" t="n">
        <v>51</v>
      </c>
    </row>
    <row r="172" customFormat="false" ht="14.25" hidden="false" customHeight="false" outlineLevel="0" collapsed="false">
      <c r="A172" s="339" t="s">
        <v>908</v>
      </c>
      <c r="B172" s="339" t="n">
        <v>46</v>
      </c>
    </row>
    <row r="173" customFormat="false" ht="14.25" hidden="false" customHeight="false" outlineLevel="0" collapsed="false">
      <c r="A173" s="339" t="s">
        <v>661</v>
      </c>
      <c r="B173" s="339" t="n">
        <v>41</v>
      </c>
    </row>
    <row r="174" customFormat="false" ht="14.25" hidden="false" customHeight="false" outlineLevel="0" collapsed="false">
      <c r="A174" s="339" t="s">
        <v>158</v>
      </c>
      <c r="B174" s="339" t="n">
        <v>37</v>
      </c>
    </row>
    <row r="175" customFormat="false" ht="14.25" hidden="false" customHeight="false" outlineLevel="0" collapsed="false">
      <c r="A175" s="339" t="s">
        <v>664</v>
      </c>
      <c r="B175" s="339" t="n">
        <v>30</v>
      </c>
    </row>
    <row r="176" customFormat="false" ht="14.25" hidden="false" customHeight="false" outlineLevel="0" collapsed="false">
      <c r="A176" s="339" t="s">
        <v>615</v>
      </c>
      <c r="B176" s="339" t="n">
        <v>30</v>
      </c>
    </row>
    <row r="177" customFormat="false" ht="14.25" hidden="false" customHeight="false" outlineLevel="0" collapsed="false">
      <c r="A177" s="339" t="s">
        <v>422</v>
      </c>
      <c r="B177" s="339" t="n">
        <v>27</v>
      </c>
    </row>
    <row r="178" customFormat="false" ht="14.25" hidden="false" customHeight="false" outlineLevel="0" collapsed="false">
      <c r="A178" s="339" t="s">
        <v>483</v>
      </c>
      <c r="B178" s="339" t="n">
        <v>26</v>
      </c>
    </row>
    <row r="179" customFormat="false" ht="14.25" hidden="false" customHeight="false" outlineLevel="0" collapsed="false">
      <c r="A179" s="339" t="s">
        <v>795</v>
      </c>
      <c r="B179" s="339" t="n">
        <v>20</v>
      </c>
    </row>
    <row r="180" customFormat="false" ht="14.25" hidden="false" customHeight="false" outlineLevel="0" collapsed="false">
      <c r="A180" s="339" t="s">
        <v>214</v>
      </c>
      <c r="B180" s="339" t="n">
        <v>20</v>
      </c>
    </row>
    <row r="181" customFormat="false" ht="14.25" hidden="false" customHeight="false" outlineLevel="0" collapsed="false">
      <c r="A181" s="339" t="s">
        <v>643</v>
      </c>
      <c r="B181" s="339" t="n">
        <v>19</v>
      </c>
    </row>
    <row r="182" customFormat="false" ht="14.25" hidden="false" customHeight="false" outlineLevel="0" collapsed="false">
      <c r="A182" s="339" t="s">
        <v>446</v>
      </c>
      <c r="B182" s="339" t="n">
        <v>19</v>
      </c>
    </row>
    <row r="183" customFormat="false" ht="14.25" hidden="false" customHeight="false" outlineLevel="0" collapsed="false">
      <c r="A183" s="339" t="s">
        <v>635</v>
      </c>
      <c r="B183" s="339" t="n">
        <v>19</v>
      </c>
    </row>
    <row r="184" customFormat="false" ht="14.25" hidden="false" customHeight="false" outlineLevel="0" collapsed="false">
      <c r="A184" s="339" t="s">
        <v>393</v>
      </c>
      <c r="B184" s="339" t="n">
        <v>17</v>
      </c>
    </row>
    <row r="185" customFormat="false" ht="14.25" hidden="false" customHeight="false" outlineLevel="0" collapsed="false">
      <c r="A185" s="339" t="s">
        <v>946</v>
      </c>
      <c r="B185" s="339" t="n">
        <v>17</v>
      </c>
    </row>
    <row r="186" customFormat="false" ht="14.25" hidden="false" customHeight="false" outlineLevel="0" collapsed="false">
      <c r="A186" s="339" t="s">
        <v>975</v>
      </c>
      <c r="B186" s="339" t="n">
        <v>16</v>
      </c>
    </row>
    <row r="187" customFormat="false" ht="14.25" hidden="false" customHeight="false" outlineLevel="0" collapsed="false">
      <c r="A187" s="339" t="s">
        <v>738</v>
      </c>
      <c r="B187" s="339" t="n">
        <v>13</v>
      </c>
    </row>
    <row r="188" customFormat="false" ht="14.25" hidden="false" customHeight="false" outlineLevel="0" collapsed="false">
      <c r="A188" s="339" t="s">
        <v>162</v>
      </c>
      <c r="B188" s="339" t="n">
        <v>12</v>
      </c>
    </row>
    <row r="189" customFormat="false" ht="14.25" hidden="false" customHeight="false" outlineLevel="0" collapsed="false">
      <c r="A189" s="339" t="s">
        <v>210</v>
      </c>
      <c r="B189" s="339" t="n">
        <v>9</v>
      </c>
    </row>
    <row r="190" customFormat="false" ht="14.25" hidden="false" customHeight="false" outlineLevel="0" collapsed="false">
      <c r="A190" s="339" t="s">
        <v>190</v>
      </c>
      <c r="B190" s="339" t="n">
        <v>9</v>
      </c>
    </row>
    <row r="191" customFormat="false" ht="14.25" hidden="false" customHeight="false" outlineLevel="0" collapsed="false">
      <c r="A191" s="339" t="s">
        <v>747</v>
      </c>
      <c r="B191" s="339" t="n">
        <v>8</v>
      </c>
    </row>
    <row r="192" customFormat="false" ht="14.25" hidden="false" customHeight="false" outlineLevel="0" collapsed="false">
      <c r="A192" s="339" t="s">
        <v>1076</v>
      </c>
      <c r="B192" s="339" t="n">
        <v>7</v>
      </c>
    </row>
    <row r="193" customFormat="false" ht="14.25" hidden="false" customHeight="false" outlineLevel="0" collapsed="false">
      <c r="A193" s="339" t="s">
        <v>1168</v>
      </c>
      <c r="B193" s="339" t="n">
        <v>6</v>
      </c>
    </row>
    <row r="194" customFormat="false" ht="14.25" hidden="false" customHeight="false" outlineLevel="0" collapsed="false">
      <c r="A194" s="339" t="s">
        <v>1031</v>
      </c>
      <c r="B194" s="339" t="n">
        <v>5</v>
      </c>
    </row>
    <row r="195" customFormat="false" ht="14.25" hidden="false" customHeight="false" outlineLevel="0" collapsed="false">
      <c r="A195" s="339" t="s">
        <v>441</v>
      </c>
      <c r="B195" s="339" t="n">
        <v>5</v>
      </c>
    </row>
    <row r="196" customFormat="false" ht="14.25" hidden="false" customHeight="false" outlineLevel="0" collapsed="false">
      <c r="A196" s="339" t="s">
        <v>1087</v>
      </c>
      <c r="B196" s="339" t="n">
        <v>5</v>
      </c>
    </row>
    <row r="197" customFormat="false" ht="14.25" hidden="false" customHeight="false" outlineLevel="0" collapsed="false">
      <c r="A197" s="339" t="s">
        <v>222</v>
      </c>
      <c r="B197" s="339" t="n">
        <v>5</v>
      </c>
    </row>
    <row r="198" customFormat="false" ht="14.25" hidden="false" customHeight="false" outlineLevel="0" collapsed="false">
      <c r="A198" s="339" t="s">
        <v>1109</v>
      </c>
      <c r="B198" s="339" t="n">
        <v>3</v>
      </c>
    </row>
    <row r="199" customFormat="false" ht="14.25" hidden="false" customHeight="false" outlineLevel="0" collapsed="false">
      <c r="A199" s="339" t="s">
        <v>1202</v>
      </c>
      <c r="B199" s="339" t="n">
        <v>3</v>
      </c>
    </row>
    <row r="200" customFormat="false" ht="14.25" hidden="false" customHeight="false" outlineLevel="0" collapsed="false">
      <c r="A200" s="339" t="s">
        <v>1198</v>
      </c>
      <c r="B200" s="339" t="n">
        <v>3</v>
      </c>
    </row>
    <row r="201" customFormat="false" ht="14.25" hidden="false" customHeight="false" outlineLevel="0" collapsed="false">
      <c r="A201" s="339" t="s">
        <v>622</v>
      </c>
      <c r="B201" s="339" t="n">
        <v>2</v>
      </c>
    </row>
    <row r="202" customFormat="false" ht="14.25" hidden="false" customHeight="false" outlineLevel="0" collapsed="false">
      <c r="A202" s="339" t="s">
        <v>695</v>
      </c>
      <c r="B202" s="339" t="n">
        <v>2</v>
      </c>
    </row>
    <row r="203" customFormat="false" ht="14.25" hidden="false" customHeight="false" outlineLevel="0" collapsed="false">
      <c r="A203" s="339" t="s">
        <v>487</v>
      </c>
      <c r="B203" s="339" t="n">
        <v>2</v>
      </c>
    </row>
    <row r="204" customFormat="false" ht="14.25" hidden="false" customHeight="false" outlineLevel="0" collapsed="false">
      <c r="A204" s="339" t="s">
        <v>204</v>
      </c>
      <c r="B204" s="339" t="n">
        <v>2</v>
      </c>
    </row>
    <row r="205" customFormat="false" ht="14.25" hidden="false" customHeight="false" outlineLevel="0" collapsed="false">
      <c r="A205" s="339" t="s">
        <v>688</v>
      </c>
      <c r="B205" s="339" t="n">
        <v>1</v>
      </c>
    </row>
    <row r="206" customFormat="false" ht="14.25" hidden="false" customHeight="false" outlineLevel="0" collapsed="false">
      <c r="A206" s="339" t="s">
        <v>212</v>
      </c>
      <c r="B206" s="339" t="n">
        <v>1</v>
      </c>
    </row>
    <row r="207" customFormat="false" ht="14.25" hidden="false" customHeight="false" outlineLevel="0" collapsed="false">
      <c r="A207" s="339" t="s">
        <v>763</v>
      </c>
      <c r="B207" s="339" t="n">
        <v>1</v>
      </c>
    </row>
    <row r="208" customFormat="false" ht="14.25" hidden="false" customHeight="false" outlineLevel="0" collapsed="false">
      <c r="A208" s="339" t="s">
        <v>998</v>
      </c>
      <c r="B208" s="339" t="n">
        <v>1</v>
      </c>
    </row>
    <row r="209" customFormat="false" ht="14.25" hidden="false" customHeight="false" outlineLevel="0" collapsed="false">
      <c r="A209" s="339" t="s">
        <v>364</v>
      </c>
      <c r="B209" s="339" t="n">
        <v>1</v>
      </c>
    </row>
    <row r="210" customFormat="false" ht="14.25" hidden="false" customHeight="false" outlineLevel="0" collapsed="false">
      <c r="A210" s="339" t="s">
        <v>1028</v>
      </c>
      <c r="B210" s="339" t="n">
        <v>1</v>
      </c>
    </row>
    <row r="211" customFormat="false" ht="14.25" hidden="false" customHeight="false" outlineLevel="0" collapsed="false">
      <c r="A211" s="339" t="s">
        <v>939</v>
      </c>
      <c r="B211" s="339" t="n">
        <v>1</v>
      </c>
    </row>
    <row r="212" customFormat="false" ht="14.25" hidden="false" customHeight="false" outlineLevel="0" collapsed="false">
      <c r="A212" s="339" t="s">
        <v>943</v>
      </c>
      <c r="B212" s="339" t="n">
        <v>1</v>
      </c>
    </row>
    <row r="213" customFormat="false" ht="14.25" hidden="false" customHeight="false" outlineLevel="0" collapsed="false">
      <c r="A213" s="340" t="s">
        <v>1199</v>
      </c>
      <c r="B213" s="341" t="n">
        <v>939</v>
      </c>
    </row>
    <row r="214" customFormat="false" ht="14.25" hidden="false" customHeight="false" outlineLevel="0" collapsed="false">
      <c r="A214" s="342"/>
    </row>
    <row r="216" customFormat="false" ht="14.25" hidden="false" customHeight="true" outlineLevel="0" collapsed="false">
      <c r="A216" s="344" t="s">
        <v>1204</v>
      </c>
      <c r="B216" s="344"/>
    </row>
    <row r="217" customFormat="false" ht="14.25" hidden="false" customHeight="false" outlineLevel="0" collapsed="false">
      <c r="A217" s="338" t="s">
        <v>1196</v>
      </c>
      <c r="B217" s="338" t="s">
        <v>1197</v>
      </c>
    </row>
    <row r="218" customFormat="false" ht="14.25" hidden="false" customHeight="false" outlineLevel="0" collapsed="false">
      <c r="A218" s="339" t="s">
        <v>218</v>
      </c>
      <c r="B218" s="339" t="n">
        <v>101</v>
      </c>
    </row>
    <row r="219" customFormat="false" ht="14.25" hidden="false" customHeight="false" outlineLevel="0" collapsed="false">
      <c r="A219" s="339" t="s">
        <v>144</v>
      </c>
      <c r="B219" s="339" t="n">
        <v>95</v>
      </c>
    </row>
    <row r="220" customFormat="false" ht="14.25" hidden="false" customHeight="false" outlineLevel="0" collapsed="false">
      <c r="A220" s="339" t="s">
        <v>910</v>
      </c>
      <c r="B220" s="339" t="n">
        <v>94</v>
      </c>
    </row>
    <row r="221" customFormat="false" ht="14.25" hidden="false" customHeight="false" outlineLevel="0" collapsed="false">
      <c r="A221" s="339" t="s">
        <v>573</v>
      </c>
      <c r="B221" s="339" t="n">
        <v>79</v>
      </c>
    </row>
    <row r="222" customFormat="false" ht="14.25" hidden="false" customHeight="false" outlineLevel="0" collapsed="false">
      <c r="A222" s="339" t="s">
        <v>946</v>
      </c>
      <c r="B222" s="339" t="n">
        <v>63</v>
      </c>
    </row>
    <row r="223" customFormat="false" ht="14.25" hidden="false" customHeight="false" outlineLevel="0" collapsed="false">
      <c r="A223" s="339" t="s">
        <v>631</v>
      </c>
      <c r="B223" s="339" t="n">
        <v>56</v>
      </c>
    </row>
    <row r="224" customFormat="false" ht="14.25" hidden="false" customHeight="false" outlineLevel="0" collapsed="false">
      <c r="A224" s="339" t="s">
        <v>908</v>
      </c>
      <c r="B224" s="339" t="n">
        <v>46</v>
      </c>
    </row>
    <row r="225" customFormat="false" ht="14.25" hidden="false" customHeight="false" outlineLevel="0" collapsed="false">
      <c r="A225" s="339" t="s">
        <v>158</v>
      </c>
      <c r="B225" s="339" t="n">
        <v>42</v>
      </c>
    </row>
    <row r="226" customFormat="false" ht="14.25" hidden="false" customHeight="false" outlineLevel="0" collapsed="false">
      <c r="A226" s="339" t="s">
        <v>615</v>
      </c>
      <c r="B226" s="339" t="n">
        <v>39</v>
      </c>
    </row>
    <row r="227" customFormat="false" ht="14.25" hidden="false" customHeight="false" outlineLevel="0" collapsed="false">
      <c r="A227" s="339" t="s">
        <v>422</v>
      </c>
      <c r="B227" s="339" t="n">
        <v>34</v>
      </c>
    </row>
    <row r="228" customFormat="false" ht="14.25" hidden="false" customHeight="false" outlineLevel="0" collapsed="false">
      <c r="A228" s="339" t="s">
        <v>661</v>
      </c>
      <c r="B228" s="339" t="n">
        <v>32</v>
      </c>
    </row>
    <row r="229" customFormat="false" ht="14.25" hidden="false" customHeight="false" outlineLevel="0" collapsed="false">
      <c r="A229" s="339" t="s">
        <v>483</v>
      </c>
      <c r="B229" s="339" t="n">
        <v>26</v>
      </c>
    </row>
    <row r="230" customFormat="false" ht="14.25" hidden="false" customHeight="false" outlineLevel="0" collapsed="false">
      <c r="A230" s="339" t="s">
        <v>664</v>
      </c>
      <c r="B230" s="339" t="n">
        <v>23</v>
      </c>
    </row>
    <row r="231" customFormat="false" ht="14.25" hidden="false" customHeight="false" outlineLevel="0" collapsed="false">
      <c r="A231" s="339" t="s">
        <v>795</v>
      </c>
      <c r="B231" s="339" t="n">
        <v>23</v>
      </c>
    </row>
    <row r="232" customFormat="false" ht="14.25" hidden="false" customHeight="false" outlineLevel="0" collapsed="false">
      <c r="A232" s="339" t="s">
        <v>738</v>
      </c>
      <c r="B232" s="339" t="n">
        <v>22</v>
      </c>
    </row>
    <row r="233" customFormat="false" ht="14.25" hidden="false" customHeight="false" outlineLevel="0" collapsed="false">
      <c r="A233" s="339" t="s">
        <v>214</v>
      </c>
      <c r="B233" s="339" t="n">
        <v>21</v>
      </c>
    </row>
    <row r="234" customFormat="false" ht="14.25" hidden="false" customHeight="false" outlineLevel="0" collapsed="false">
      <c r="A234" s="339" t="s">
        <v>393</v>
      </c>
      <c r="B234" s="339" t="n">
        <v>16</v>
      </c>
    </row>
    <row r="235" customFormat="false" ht="14.25" hidden="false" customHeight="false" outlineLevel="0" collapsed="false">
      <c r="A235" s="339" t="s">
        <v>162</v>
      </c>
      <c r="B235" s="339" t="n">
        <v>14</v>
      </c>
    </row>
    <row r="236" customFormat="false" ht="14.25" hidden="false" customHeight="false" outlineLevel="0" collapsed="false">
      <c r="A236" s="339" t="s">
        <v>210</v>
      </c>
      <c r="B236" s="339" t="n">
        <v>14</v>
      </c>
    </row>
    <row r="237" customFormat="false" ht="14.25" hidden="false" customHeight="false" outlineLevel="0" collapsed="false">
      <c r="A237" s="339" t="s">
        <v>446</v>
      </c>
      <c r="B237" s="339" t="n">
        <v>13</v>
      </c>
    </row>
    <row r="238" customFormat="false" ht="14.25" hidden="false" customHeight="false" outlineLevel="0" collapsed="false">
      <c r="A238" s="339" t="s">
        <v>975</v>
      </c>
      <c r="B238" s="339" t="n">
        <v>13</v>
      </c>
    </row>
    <row r="239" customFormat="false" ht="14.25" hidden="false" customHeight="false" outlineLevel="0" collapsed="false">
      <c r="A239" s="339" t="s">
        <v>643</v>
      </c>
      <c r="B239" s="339" t="n">
        <v>13</v>
      </c>
    </row>
    <row r="240" customFormat="false" ht="14.25" hidden="false" customHeight="false" outlineLevel="0" collapsed="false">
      <c r="A240" s="339" t="s">
        <v>1076</v>
      </c>
      <c r="B240" s="339" t="n">
        <v>10</v>
      </c>
    </row>
    <row r="241" customFormat="false" ht="14.25" hidden="false" customHeight="false" outlineLevel="0" collapsed="false">
      <c r="A241" s="339" t="s">
        <v>190</v>
      </c>
      <c r="B241" s="339" t="n">
        <v>10</v>
      </c>
    </row>
    <row r="242" customFormat="false" ht="14.25" hidden="false" customHeight="false" outlineLevel="0" collapsed="false">
      <c r="A242" s="339" t="s">
        <v>747</v>
      </c>
      <c r="B242" s="339" t="n">
        <v>9</v>
      </c>
    </row>
    <row r="243" customFormat="false" ht="14.25" hidden="false" customHeight="false" outlineLevel="0" collapsed="false">
      <c r="A243" s="339" t="s">
        <v>174</v>
      </c>
      <c r="B243" s="339" t="n">
        <v>8</v>
      </c>
    </row>
    <row r="244" customFormat="false" ht="14.25" hidden="false" customHeight="false" outlineLevel="0" collapsed="false">
      <c r="A244" s="339" t="s">
        <v>584</v>
      </c>
      <c r="B244" s="339" t="n">
        <v>7</v>
      </c>
    </row>
    <row r="245" customFormat="false" ht="14.25" hidden="false" customHeight="false" outlineLevel="0" collapsed="false">
      <c r="A245" s="339" t="s">
        <v>1087</v>
      </c>
      <c r="B245" s="339" t="n">
        <v>5</v>
      </c>
    </row>
    <row r="246" customFormat="false" ht="14.25" hidden="false" customHeight="false" outlineLevel="0" collapsed="false">
      <c r="A246" s="339" t="s">
        <v>222</v>
      </c>
      <c r="B246" s="339" t="n">
        <v>5</v>
      </c>
    </row>
    <row r="247" customFormat="false" ht="14.25" hidden="false" customHeight="false" outlineLevel="0" collapsed="false">
      <c r="A247" s="339" t="s">
        <v>492</v>
      </c>
      <c r="B247" s="339" t="n">
        <v>5</v>
      </c>
    </row>
    <row r="248" customFormat="false" ht="14.25" hidden="false" customHeight="false" outlineLevel="0" collapsed="false">
      <c r="A248" s="339" t="s">
        <v>939</v>
      </c>
      <c r="B248" s="339" t="n">
        <v>5</v>
      </c>
    </row>
    <row r="249" customFormat="false" ht="14.25" hidden="false" customHeight="false" outlineLevel="0" collapsed="false">
      <c r="A249" s="339" t="s">
        <v>1168</v>
      </c>
      <c r="B249" s="339" t="n">
        <v>5</v>
      </c>
    </row>
    <row r="250" customFormat="false" ht="14.25" hidden="false" customHeight="false" outlineLevel="0" collapsed="false">
      <c r="A250" s="339" t="s">
        <v>622</v>
      </c>
      <c r="B250" s="339" t="n">
        <v>4</v>
      </c>
    </row>
    <row r="251" customFormat="false" ht="14.25" hidden="false" customHeight="false" outlineLevel="0" collapsed="false">
      <c r="A251" s="339" t="s">
        <v>695</v>
      </c>
      <c r="B251" s="339" t="n">
        <v>3</v>
      </c>
    </row>
    <row r="252" customFormat="false" ht="14.25" hidden="false" customHeight="false" outlineLevel="0" collapsed="false">
      <c r="A252" s="339" t="s">
        <v>1009</v>
      </c>
      <c r="B252" s="339" t="n">
        <v>3</v>
      </c>
    </row>
    <row r="253" customFormat="false" ht="14.25" hidden="false" customHeight="false" outlineLevel="0" collapsed="false">
      <c r="A253" s="339" t="s">
        <v>148</v>
      </c>
      <c r="B253" s="339" t="n">
        <v>2</v>
      </c>
    </row>
    <row r="254" customFormat="false" ht="14.25" hidden="false" customHeight="false" outlineLevel="0" collapsed="false">
      <c r="A254" s="339" t="s">
        <v>441</v>
      </c>
      <c r="B254" s="339" t="n">
        <v>2</v>
      </c>
    </row>
    <row r="255" customFormat="false" ht="14.25" hidden="false" customHeight="false" outlineLevel="0" collapsed="false">
      <c r="A255" s="339" t="s">
        <v>204</v>
      </c>
      <c r="B255" s="339" t="n">
        <v>2</v>
      </c>
    </row>
    <row r="256" customFormat="false" ht="14.25" hidden="false" customHeight="false" outlineLevel="0" collapsed="false">
      <c r="A256" s="339" t="s">
        <v>838</v>
      </c>
      <c r="B256" s="339" t="n">
        <v>2</v>
      </c>
    </row>
    <row r="257" customFormat="false" ht="14.25" hidden="false" customHeight="false" outlineLevel="0" collapsed="false">
      <c r="A257" s="339" t="s">
        <v>635</v>
      </c>
      <c r="B257" s="339" t="n">
        <v>1</v>
      </c>
    </row>
    <row r="258" customFormat="false" ht="14.25" hidden="false" customHeight="false" outlineLevel="0" collapsed="false">
      <c r="A258" s="339" t="s">
        <v>1031</v>
      </c>
      <c r="B258" s="339" t="n">
        <v>1</v>
      </c>
    </row>
    <row r="259" customFormat="false" ht="14.25" hidden="false" customHeight="false" outlineLevel="0" collapsed="false">
      <c r="A259" s="339" t="s">
        <v>487</v>
      </c>
      <c r="B259" s="339" t="n">
        <v>1</v>
      </c>
    </row>
    <row r="260" customFormat="false" ht="14.25" hidden="false" customHeight="false" outlineLevel="0" collapsed="false">
      <c r="A260" s="339" t="s">
        <v>926</v>
      </c>
      <c r="B260" s="339" t="n">
        <v>1</v>
      </c>
    </row>
    <row r="261" customFormat="false" ht="14.25" hidden="false" customHeight="false" outlineLevel="0" collapsed="false">
      <c r="A261" s="339" t="s">
        <v>812</v>
      </c>
      <c r="B261" s="339" t="n">
        <v>1</v>
      </c>
    </row>
    <row r="262" customFormat="false" ht="14.25" hidden="false" customHeight="false" outlineLevel="0" collapsed="false">
      <c r="A262" s="339" t="s">
        <v>212</v>
      </c>
      <c r="B262" s="339" t="n">
        <v>1</v>
      </c>
    </row>
    <row r="263" customFormat="false" ht="14.25" hidden="false" customHeight="false" outlineLevel="0" collapsed="false">
      <c r="A263" s="339" t="s">
        <v>364</v>
      </c>
      <c r="B263" s="339" t="n">
        <v>1</v>
      </c>
    </row>
    <row r="264" customFormat="false" ht="14.25" hidden="false" customHeight="false" outlineLevel="0" collapsed="false">
      <c r="A264" s="339" t="s">
        <v>688</v>
      </c>
      <c r="B264" s="339" t="n">
        <v>1</v>
      </c>
    </row>
    <row r="265" customFormat="false" ht="14.25" hidden="false" customHeight="false" outlineLevel="0" collapsed="false">
      <c r="A265" s="339" t="s">
        <v>763</v>
      </c>
      <c r="B265" s="339" t="n">
        <v>1</v>
      </c>
    </row>
    <row r="266" customFormat="false" ht="14.25" hidden="false" customHeight="false" outlineLevel="0" collapsed="false">
      <c r="A266" s="339" t="s">
        <v>1028</v>
      </c>
      <c r="B266" s="339" t="n">
        <v>1</v>
      </c>
    </row>
    <row r="267" customFormat="false" ht="14.25" hidden="false" customHeight="false" outlineLevel="0" collapsed="false">
      <c r="A267" s="339" t="s">
        <v>186</v>
      </c>
      <c r="B267" s="339" t="n">
        <v>1</v>
      </c>
    </row>
    <row r="268" customFormat="false" ht="14.25" hidden="false" customHeight="false" outlineLevel="0" collapsed="false">
      <c r="A268" s="340" t="s">
        <v>1199</v>
      </c>
      <c r="B268" s="341" t="n">
        <v>977</v>
      </c>
    </row>
    <row r="271" customFormat="false" ht="14.25" hidden="false" customHeight="true" outlineLevel="0" collapsed="false">
      <c r="A271" s="344" t="s">
        <v>1205</v>
      </c>
      <c r="B271" s="344"/>
    </row>
    <row r="272" customFormat="false" ht="14.25" hidden="false" customHeight="false" outlineLevel="0" collapsed="false">
      <c r="A272" s="338" t="s">
        <v>1196</v>
      </c>
      <c r="B272" s="338" t="s">
        <v>1197</v>
      </c>
    </row>
    <row r="273" customFormat="false" ht="14.25" hidden="false" customHeight="false" outlineLevel="0" collapsed="false">
      <c r="A273" s="345" t="s">
        <v>218</v>
      </c>
      <c r="B273" s="339" t="n">
        <v>145</v>
      </c>
    </row>
    <row r="274" customFormat="false" ht="14.25" hidden="false" customHeight="false" outlineLevel="0" collapsed="false">
      <c r="A274" s="345" t="s">
        <v>910</v>
      </c>
      <c r="B274" s="339" t="n">
        <v>105</v>
      </c>
    </row>
    <row r="275" customFormat="false" ht="14.25" hidden="false" customHeight="false" outlineLevel="0" collapsed="false">
      <c r="A275" s="345" t="s">
        <v>144</v>
      </c>
      <c r="B275" s="339" t="n">
        <v>89</v>
      </c>
    </row>
    <row r="276" customFormat="false" ht="14.25" hidden="false" customHeight="false" outlineLevel="0" collapsed="false">
      <c r="A276" s="345" t="s">
        <v>573</v>
      </c>
      <c r="B276" s="339" t="n">
        <v>83</v>
      </c>
    </row>
    <row r="277" customFormat="false" ht="14.25" hidden="false" customHeight="false" outlineLevel="0" collapsed="false">
      <c r="A277" s="345" t="s">
        <v>946</v>
      </c>
      <c r="B277" s="339" t="n">
        <v>65</v>
      </c>
    </row>
    <row r="278" customFormat="false" ht="14.25" hidden="false" customHeight="false" outlineLevel="0" collapsed="false">
      <c r="A278" s="345" t="s">
        <v>631</v>
      </c>
      <c r="B278" s="339" t="n">
        <v>64</v>
      </c>
    </row>
    <row r="279" customFormat="false" ht="14.25" hidden="false" customHeight="false" outlineLevel="0" collapsed="false">
      <c r="A279" s="345" t="s">
        <v>422</v>
      </c>
      <c r="B279" s="339" t="n">
        <v>50</v>
      </c>
    </row>
    <row r="280" customFormat="false" ht="14.25" hidden="false" customHeight="false" outlineLevel="0" collapsed="false">
      <c r="A280" s="345" t="s">
        <v>158</v>
      </c>
      <c r="B280" s="339" t="n">
        <v>44</v>
      </c>
    </row>
    <row r="281" customFormat="false" ht="14.25" hidden="false" customHeight="false" outlineLevel="0" collapsed="false">
      <c r="A281" s="345" t="s">
        <v>483</v>
      </c>
      <c r="B281" s="339" t="n">
        <v>40</v>
      </c>
    </row>
    <row r="282" customFormat="false" ht="14.25" hidden="false" customHeight="false" outlineLevel="0" collapsed="false">
      <c r="A282" s="345" t="s">
        <v>615</v>
      </c>
      <c r="B282" s="339" t="n">
        <v>39</v>
      </c>
    </row>
    <row r="283" customFormat="false" ht="14.25" hidden="false" customHeight="false" outlineLevel="0" collapsed="false">
      <c r="A283" s="345" t="s">
        <v>661</v>
      </c>
      <c r="B283" s="339" t="n">
        <v>27</v>
      </c>
    </row>
    <row r="284" customFormat="false" ht="14.25" hidden="false" customHeight="false" outlineLevel="0" collapsed="false">
      <c r="A284" s="345" t="s">
        <v>908</v>
      </c>
      <c r="B284" s="339" t="n">
        <v>26</v>
      </c>
    </row>
    <row r="285" customFormat="false" ht="14.25" hidden="false" customHeight="false" outlineLevel="0" collapsed="false">
      <c r="A285" s="345" t="s">
        <v>174</v>
      </c>
      <c r="B285" s="339" t="n">
        <v>25</v>
      </c>
    </row>
    <row r="286" customFormat="false" ht="14.25" hidden="false" customHeight="false" outlineLevel="0" collapsed="false">
      <c r="A286" s="345" t="s">
        <v>975</v>
      </c>
      <c r="B286" s="339" t="n">
        <v>23</v>
      </c>
    </row>
    <row r="287" customFormat="false" ht="14.25" hidden="false" customHeight="false" outlineLevel="0" collapsed="false">
      <c r="A287" s="345" t="s">
        <v>214</v>
      </c>
      <c r="B287" s="339" t="n">
        <v>22</v>
      </c>
    </row>
    <row r="288" customFormat="false" ht="14.25" hidden="false" customHeight="false" outlineLevel="0" collapsed="false">
      <c r="A288" s="345" t="s">
        <v>393</v>
      </c>
      <c r="B288" s="339" t="n">
        <v>22</v>
      </c>
    </row>
    <row r="289" customFormat="false" ht="14.25" hidden="false" customHeight="false" outlineLevel="0" collapsed="false">
      <c r="A289" s="345" t="s">
        <v>738</v>
      </c>
      <c r="B289" s="339" t="n">
        <v>19</v>
      </c>
    </row>
    <row r="290" customFormat="false" ht="14.25" hidden="false" customHeight="false" outlineLevel="0" collapsed="false">
      <c r="A290" s="345" t="s">
        <v>664</v>
      </c>
      <c r="B290" s="339" t="n">
        <v>18</v>
      </c>
    </row>
    <row r="291" customFormat="false" ht="14.25" hidden="false" customHeight="false" outlineLevel="0" collapsed="false">
      <c r="A291" s="345" t="s">
        <v>643</v>
      </c>
      <c r="B291" s="339" t="n">
        <v>18</v>
      </c>
    </row>
    <row r="292" customFormat="false" ht="14.25" hidden="false" customHeight="false" outlineLevel="0" collapsed="false">
      <c r="A292" s="345" t="s">
        <v>1009</v>
      </c>
      <c r="B292" s="339" t="n">
        <v>17</v>
      </c>
    </row>
    <row r="293" customFormat="false" ht="14.25" hidden="false" customHeight="false" outlineLevel="0" collapsed="false">
      <c r="A293" s="345" t="s">
        <v>162</v>
      </c>
      <c r="B293" s="339" t="n">
        <v>17</v>
      </c>
    </row>
    <row r="294" customFormat="false" ht="14.25" hidden="false" customHeight="false" outlineLevel="0" collapsed="false">
      <c r="A294" s="345" t="s">
        <v>795</v>
      </c>
      <c r="B294" s="339" t="n">
        <v>15</v>
      </c>
    </row>
    <row r="295" customFormat="false" ht="14.25" hidden="false" customHeight="false" outlineLevel="0" collapsed="false">
      <c r="A295" s="345" t="s">
        <v>210</v>
      </c>
      <c r="B295" s="339" t="n">
        <v>14</v>
      </c>
    </row>
    <row r="296" customFormat="false" ht="14.25" hidden="false" customHeight="false" outlineLevel="0" collapsed="false">
      <c r="A296" s="345" t="s">
        <v>747</v>
      </c>
      <c r="B296" s="339" t="n">
        <v>11</v>
      </c>
    </row>
    <row r="297" customFormat="false" ht="14.25" hidden="false" customHeight="false" outlineLevel="0" collapsed="false">
      <c r="A297" s="345" t="s">
        <v>1168</v>
      </c>
      <c r="B297" s="339" t="n">
        <v>10</v>
      </c>
    </row>
    <row r="298" customFormat="false" ht="14.25" hidden="false" customHeight="false" outlineLevel="0" collapsed="false">
      <c r="A298" s="345" t="s">
        <v>190</v>
      </c>
      <c r="B298" s="339" t="n">
        <v>10</v>
      </c>
    </row>
    <row r="299" customFormat="false" ht="14.25" hidden="false" customHeight="false" outlineLevel="0" collapsed="false">
      <c r="A299" s="345" t="s">
        <v>204</v>
      </c>
      <c r="B299" s="339" t="n">
        <v>7</v>
      </c>
    </row>
    <row r="300" customFormat="false" ht="14.25" hidden="false" customHeight="false" outlineLevel="0" collapsed="false">
      <c r="A300" s="345" t="s">
        <v>446</v>
      </c>
      <c r="B300" s="339" t="n">
        <v>7</v>
      </c>
    </row>
    <row r="301" customFormat="false" ht="14.25" hidden="false" customHeight="false" outlineLevel="0" collapsed="false">
      <c r="A301" s="345" t="s">
        <v>943</v>
      </c>
      <c r="B301" s="339" t="n">
        <v>7</v>
      </c>
    </row>
    <row r="302" customFormat="false" ht="14.25" hidden="false" customHeight="false" outlineLevel="0" collapsed="false">
      <c r="A302" s="345" t="s">
        <v>1076</v>
      </c>
      <c r="B302" s="339" t="n">
        <v>5</v>
      </c>
    </row>
    <row r="303" customFormat="false" ht="14.25" hidden="false" customHeight="false" outlineLevel="0" collapsed="false">
      <c r="A303" s="345" t="s">
        <v>695</v>
      </c>
      <c r="B303" s="339" t="n">
        <v>5</v>
      </c>
    </row>
    <row r="304" customFormat="false" ht="14.25" hidden="false" customHeight="false" outlineLevel="0" collapsed="false">
      <c r="A304" s="345" t="s">
        <v>1087</v>
      </c>
      <c r="B304" s="339" t="n">
        <v>5</v>
      </c>
    </row>
    <row r="305" customFormat="false" ht="14.25" hidden="false" customHeight="false" outlineLevel="0" collapsed="false">
      <c r="A305" s="345" t="s">
        <v>622</v>
      </c>
      <c r="B305" s="339" t="n">
        <v>5</v>
      </c>
    </row>
    <row r="306" customFormat="false" ht="14.25" hidden="false" customHeight="false" outlineLevel="0" collapsed="false">
      <c r="A306" s="345" t="s">
        <v>222</v>
      </c>
      <c r="B306" s="339" t="n">
        <v>5</v>
      </c>
    </row>
    <row r="307" customFormat="false" ht="14.25" hidden="false" customHeight="false" outlineLevel="0" collapsed="false">
      <c r="A307" s="345" t="s">
        <v>688</v>
      </c>
      <c r="B307" s="339" t="n">
        <v>4</v>
      </c>
    </row>
    <row r="308" customFormat="false" ht="14.25" hidden="false" customHeight="false" outlineLevel="0" collapsed="false">
      <c r="A308" s="345" t="s">
        <v>492</v>
      </c>
      <c r="B308" s="339" t="n">
        <v>4</v>
      </c>
    </row>
    <row r="309" customFormat="false" ht="14.25" hidden="false" customHeight="false" outlineLevel="0" collapsed="false">
      <c r="A309" s="345" t="s">
        <v>812</v>
      </c>
      <c r="B309" s="339" t="n">
        <v>4</v>
      </c>
    </row>
    <row r="310" customFormat="false" ht="14.25" hidden="false" customHeight="false" outlineLevel="0" collapsed="false">
      <c r="A310" s="345" t="s">
        <v>584</v>
      </c>
      <c r="B310" s="339" t="n">
        <v>4</v>
      </c>
    </row>
    <row r="311" customFormat="false" ht="14.25" hidden="false" customHeight="false" outlineLevel="0" collapsed="false">
      <c r="A311" s="345" t="s">
        <v>1031</v>
      </c>
      <c r="B311" s="339" t="n">
        <v>3</v>
      </c>
    </row>
    <row r="312" customFormat="false" ht="14.25" hidden="false" customHeight="false" outlineLevel="0" collapsed="false">
      <c r="A312" s="345" t="s">
        <v>220</v>
      </c>
      <c r="B312" s="339" t="n">
        <v>3</v>
      </c>
    </row>
    <row r="313" customFormat="false" ht="14.25" hidden="false" customHeight="false" outlineLevel="0" collapsed="false">
      <c r="A313" s="345" t="s">
        <v>838</v>
      </c>
      <c r="B313" s="339" t="n">
        <v>2</v>
      </c>
    </row>
    <row r="314" customFormat="false" ht="14.25" hidden="false" customHeight="false" outlineLevel="0" collapsed="false">
      <c r="A314" s="345" t="s">
        <v>441</v>
      </c>
      <c r="B314" s="339" t="n">
        <v>2</v>
      </c>
    </row>
    <row r="315" customFormat="false" ht="14.25" hidden="false" customHeight="false" outlineLevel="0" collapsed="false">
      <c r="A315" s="345" t="s">
        <v>148</v>
      </c>
      <c r="B315" s="339" t="n">
        <v>2</v>
      </c>
    </row>
    <row r="316" customFormat="false" ht="14.25" hidden="false" customHeight="false" outlineLevel="0" collapsed="false">
      <c r="A316" s="345" t="s">
        <v>487</v>
      </c>
      <c r="B316" s="339" t="n">
        <v>2</v>
      </c>
    </row>
    <row r="317" customFormat="false" ht="14.25" hidden="false" customHeight="false" outlineLevel="0" collapsed="false">
      <c r="A317" s="345" t="s">
        <v>212</v>
      </c>
      <c r="B317" s="339" t="n">
        <v>1</v>
      </c>
    </row>
    <row r="318" customFormat="false" ht="14.25" hidden="false" customHeight="false" outlineLevel="0" collapsed="false">
      <c r="A318" s="345" t="s">
        <v>364</v>
      </c>
      <c r="B318" s="339" t="n">
        <v>1</v>
      </c>
    </row>
    <row r="319" customFormat="false" ht="14.25" hidden="false" customHeight="false" outlineLevel="0" collapsed="false">
      <c r="A319" s="345" t="s">
        <v>216</v>
      </c>
      <c r="B319" s="339" t="n">
        <v>1</v>
      </c>
    </row>
    <row r="320" customFormat="false" ht="14.25" hidden="false" customHeight="false" outlineLevel="0" collapsed="false">
      <c r="A320" s="345" t="s">
        <v>1028</v>
      </c>
      <c r="B320" s="339" t="n">
        <v>1</v>
      </c>
    </row>
    <row r="321" customFormat="false" ht="14.25" hidden="false" customHeight="false" outlineLevel="0" collapsed="false">
      <c r="A321" s="345" t="s">
        <v>763</v>
      </c>
      <c r="B321" s="339" t="n">
        <v>1</v>
      </c>
    </row>
    <row r="322" customFormat="false" ht="14.25" hidden="false" customHeight="false" outlineLevel="0" collapsed="false">
      <c r="A322" s="345" t="s">
        <v>926</v>
      </c>
      <c r="B322" s="339" t="n">
        <v>1</v>
      </c>
    </row>
    <row r="323" customFormat="false" ht="14.25" hidden="false" customHeight="false" outlineLevel="0" collapsed="false">
      <c r="A323" s="345" t="s">
        <v>200</v>
      </c>
      <c r="B323" s="339" t="n">
        <v>1</v>
      </c>
    </row>
    <row r="324" customFormat="false" ht="14.25" hidden="false" customHeight="false" outlineLevel="0" collapsed="false">
      <c r="A324" s="345" t="s">
        <v>939</v>
      </c>
      <c r="B324" s="339" t="n">
        <v>1</v>
      </c>
    </row>
    <row r="325" customFormat="false" ht="14.25" hidden="false" customHeight="false" outlineLevel="0" collapsed="false">
      <c r="A325" s="345" t="s">
        <v>186</v>
      </c>
      <c r="B325" s="339" t="n">
        <v>1</v>
      </c>
    </row>
    <row r="326" customFormat="false" ht="14.25" hidden="false" customHeight="false" outlineLevel="0" collapsed="false">
      <c r="A326" s="345" t="s">
        <v>635</v>
      </c>
      <c r="B326" s="339" t="n">
        <v>1</v>
      </c>
    </row>
    <row r="327" customFormat="false" ht="14.25" hidden="false" customHeight="false" outlineLevel="0" collapsed="false">
      <c r="A327" s="340" t="s">
        <v>1199</v>
      </c>
      <c r="B327" s="341" t="n">
        <v>1104</v>
      </c>
    </row>
  </sheetData>
  <mergeCells count="4">
    <mergeCell ref="A1:B4"/>
    <mergeCell ref="A165:B165"/>
    <mergeCell ref="A216:B216"/>
    <mergeCell ref="A271:B27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3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00390625" defaultRowHeight="15" customHeight="false" zeroHeight="false" outlineLevelRow="0" outlineLevelCol="0"/>
  <cols>
    <col collapsed="false" customWidth="true" hidden="false" outlineLevel="0" max="1" min="1" style="1" width="23.44"/>
    <col collapsed="false" customWidth="true" hidden="false" outlineLevel="0" max="2" min="2" style="1" width="16.77"/>
    <col collapsed="false" customWidth="true" hidden="false" outlineLevel="0" max="3" min="3" style="1" width="37.22"/>
    <col collapsed="false" customWidth="true" hidden="false" outlineLevel="0" max="4" min="4" style="1" width="34.78"/>
    <col collapsed="false" customWidth="true" hidden="false" outlineLevel="0" max="9" min="5" style="1" width="19.56"/>
    <col collapsed="false" customWidth="true" hidden="false" outlineLevel="0" max="10" min="10" style="1" width="15"/>
    <col collapsed="false" customWidth="true" hidden="false" outlineLevel="0" max="13" min="13" style="7" width="8.56"/>
  </cols>
  <sheetData>
    <row r="1" customFormat="false" ht="26.25" hidden="false" customHeight="true" outlineLevel="0" collapsed="false">
      <c r="A1" s="346" t="s">
        <v>1206</v>
      </c>
      <c r="B1" s="346"/>
      <c r="C1" s="346"/>
      <c r="D1" s="346"/>
      <c r="E1" s="347"/>
      <c r="F1" s="347"/>
      <c r="G1" s="347"/>
      <c r="H1" s="348"/>
      <c r="I1" s="7"/>
      <c r="J1" s="7"/>
      <c r="K1" s="7"/>
      <c r="L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customFormat="false" ht="109.5" hidden="false" customHeight="true" outlineLevel="0" collapsed="false">
      <c r="A2" s="349" t="s">
        <v>1207</v>
      </c>
      <c r="B2" s="349"/>
      <c r="C2" s="349"/>
      <c r="D2" s="349"/>
      <c r="E2" s="349"/>
      <c r="F2" s="349"/>
      <c r="G2" s="349"/>
      <c r="H2" s="349"/>
      <c r="I2" s="7"/>
      <c r="J2" s="7"/>
      <c r="K2" s="7"/>
      <c r="L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row>
    <row r="3" customFormat="false" ht="15" hidden="false" customHeight="false" outlineLevel="0" collapsed="false">
      <c r="I3" s="7"/>
      <c r="J3" s="7"/>
      <c r="K3" s="7"/>
      <c r="L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row>
    <row r="4" customFormat="false" ht="15" hidden="false" customHeight="false" outlineLevel="0" collapsed="false">
      <c r="A4" s="350"/>
      <c r="I4" s="7"/>
      <c r="J4" s="7"/>
      <c r="K4" s="7"/>
      <c r="L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row>
    <row r="5" customFormat="false" ht="29.25" hidden="false" customHeight="true" outlineLevel="0" collapsed="false">
      <c r="A5" s="351" t="s">
        <v>1208</v>
      </c>
      <c r="B5" s="351"/>
      <c r="C5" s="351"/>
      <c r="D5" s="351"/>
      <c r="I5" s="7"/>
      <c r="J5" s="7"/>
      <c r="K5" s="7"/>
      <c r="L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row>
    <row r="6" customFormat="false" ht="48" hidden="false" customHeight="true" outlineLevel="0" collapsed="false">
      <c r="A6" s="352" t="s">
        <v>1209</v>
      </c>
      <c r="B6" s="353" t="s">
        <v>1210</v>
      </c>
      <c r="C6" s="353" t="s">
        <v>1211</v>
      </c>
      <c r="D6" s="353" t="s">
        <v>1212</v>
      </c>
      <c r="G6" s="354" t="s">
        <v>1213</v>
      </c>
      <c r="I6" s="7"/>
      <c r="J6" s="7"/>
      <c r="K6" s="7"/>
      <c r="L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row>
    <row r="7" customFormat="false" ht="15" hidden="false" customHeight="false" outlineLevel="0" collapsed="false">
      <c r="A7" s="355" t="s">
        <v>1214</v>
      </c>
      <c r="B7" s="356" t="n">
        <v>41</v>
      </c>
      <c r="C7" s="356" t="n">
        <v>14.46</v>
      </c>
      <c r="D7" s="356" t="n">
        <v>19.63</v>
      </c>
      <c r="I7" s="7"/>
      <c r="J7" s="7"/>
      <c r="K7" s="7"/>
      <c r="L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row>
    <row r="8" customFormat="false" ht="15" hidden="false" customHeight="false" outlineLevel="0" collapsed="false">
      <c r="A8" s="355" t="s">
        <v>1215</v>
      </c>
      <c r="B8" s="356" t="n">
        <v>10</v>
      </c>
      <c r="C8" s="356" t="n">
        <v>26.3</v>
      </c>
      <c r="D8" s="356" t="n">
        <v>29.5</v>
      </c>
      <c r="I8" s="7"/>
      <c r="J8" s="7"/>
      <c r="K8" s="7"/>
      <c r="L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row>
    <row r="9" customFormat="false" ht="15" hidden="false" customHeight="false" outlineLevel="0" collapsed="false">
      <c r="A9" s="355" t="s">
        <v>1216</v>
      </c>
      <c r="B9" s="356" t="n">
        <v>231</v>
      </c>
      <c r="C9" s="356" t="n">
        <v>10.48</v>
      </c>
      <c r="D9" s="356" t="n">
        <v>12.6</v>
      </c>
      <c r="I9" s="7"/>
      <c r="J9" s="7"/>
      <c r="K9" s="7"/>
      <c r="L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row>
    <row r="10" customFormat="false" ht="45" hidden="false" customHeight="true" outlineLevel="0" collapsed="false">
      <c r="A10" s="357" t="s">
        <v>1217</v>
      </c>
      <c r="B10" s="356" t="n">
        <v>12</v>
      </c>
      <c r="C10" s="356" t="n">
        <v>20.83</v>
      </c>
      <c r="D10" s="356" t="n">
        <v>25.5</v>
      </c>
      <c r="I10" s="7"/>
      <c r="J10" s="7"/>
      <c r="K10" s="7"/>
      <c r="L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row>
    <row r="11" customFormat="false" ht="15" hidden="false" customHeight="false" outlineLevel="0" collapsed="false">
      <c r="A11" s="355" t="s">
        <v>1218</v>
      </c>
      <c r="B11" s="356" t="n">
        <v>2</v>
      </c>
      <c r="C11" s="356" t="n">
        <v>11</v>
      </c>
      <c r="D11" s="356" t="n">
        <v>19.5</v>
      </c>
      <c r="I11" s="7"/>
      <c r="J11" s="7"/>
      <c r="K11" s="7"/>
      <c r="L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row>
    <row r="12" customFormat="false" ht="15" hidden="false" customHeight="false" outlineLevel="0" collapsed="false">
      <c r="A12" s="358" t="s">
        <v>1199</v>
      </c>
      <c r="B12" s="359" t="n">
        <v>296</v>
      </c>
      <c r="C12" s="359" t="n">
        <v>11.99</v>
      </c>
      <c r="D12" s="359" t="n">
        <v>14.72</v>
      </c>
      <c r="I12" s="7"/>
      <c r="J12" s="7"/>
      <c r="K12" s="7"/>
      <c r="L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customFormat="false" ht="15" hidden="false" customHeight="false" outlineLevel="0" collapsed="false">
      <c r="I13" s="7"/>
      <c r="J13" s="7"/>
      <c r="K13" s="7"/>
      <c r="L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customFormat="false" ht="15" hidden="false" customHeight="false" outlineLevel="0" collapsed="false">
      <c r="A14" s="360" t="s">
        <v>1219</v>
      </c>
      <c r="B14" s="360"/>
      <c r="C14" s="360"/>
      <c r="D14" s="360"/>
      <c r="E14" s="360"/>
      <c r="F14" s="360"/>
      <c r="G14" s="360"/>
      <c r="H14" s="360"/>
      <c r="I14" s="7"/>
      <c r="J14" s="7"/>
      <c r="K14" s="7"/>
      <c r="L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customFormat="false" ht="15" hidden="false" customHeight="false" outlineLevel="0" collapsed="false">
      <c r="A15" s="361"/>
      <c r="B15" s="361"/>
      <c r="C15" s="361"/>
      <c r="D15" s="361"/>
      <c r="E15" s="361"/>
      <c r="F15" s="361"/>
      <c r="G15" s="361"/>
      <c r="H15" s="361"/>
      <c r="I15" s="7"/>
      <c r="J15" s="7"/>
      <c r="K15" s="7"/>
      <c r="L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customFormat="false" ht="28.5" hidden="false" customHeight="true" outlineLevel="0" collapsed="false">
      <c r="A16" s="351" t="s">
        <v>1220</v>
      </c>
      <c r="B16" s="351"/>
      <c r="C16" s="351"/>
      <c r="D16" s="351"/>
      <c r="I16" s="7"/>
      <c r="J16" s="7"/>
      <c r="K16" s="7"/>
      <c r="L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customFormat="false" ht="45.75" hidden="false" customHeight="true" outlineLevel="0" collapsed="false">
      <c r="A17" s="352" t="s">
        <v>1209</v>
      </c>
      <c r="B17" s="353" t="s">
        <v>1210</v>
      </c>
      <c r="C17" s="353" t="s">
        <v>1211</v>
      </c>
      <c r="D17" s="353" t="s">
        <v>1212</v>
      </c>
      <c r="E17" s="362"/>
      <c r="F17" s="363"/>
      <c r="G17" s="363"/>
      <c r="H17" s="363"/>
      <c r="I17" s="7"/>
      <c r="J17" s="7"/>
      <c r="K17" s="7"/>
      <c r="L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customFormat="false" ht="15" hidden="false" customHeight="false" outlineLevel="0" collapsed="false">
      <c r="A18" s="355" t="s">
        <v>1214</v>
      </c>
      <c r="B18" s="356" t="n">
        <v>52</v>
      </c>
      <c r="C18" s="364" t="n">
        <v>9.884615385</v>
      </c>
      <c r="D18" s="364" t="n">
        <v>11.42222222</v>
      </c>
      <c r="E18" s="365"/>
      <c r="F18" s="366"/>
      <c r="G18" s="366"/>
      <c r="H18" s="366"/>
      <c r="I18" s="7"/>
      <c r="J18" s="7"/>
      <c r="K18" s="7"/>
      <c r="L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customFormat="false" ht="15" hidden="false" customHeight="false" outlineLevel="0" collapsed="false">
      <c r="A19" s="355" t="s">
        <v>1215</v>
      </c>
      <c r="B19" s="356" t="n">
        <v>5</v>
      </c>
      <c r="C19" s="364" t="n">
        <v>15.2</v>
      </c>
      <c r="D19" s="364" t="n">
        <v>15.2</v>
      </c>
      <c r="I19" s="7"/>
      <c r="J19" s="7"/>
      <c r="K19" s="7"/>
      <c r="L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customFormat="false" ht="15" hidden="false" customHeight="false" outlineLevel="0" collapsed="false">
      <c r="A20" s="355" t="s">
        <v>1216</v>
      </c>
      <c r="B20" s="356" t="n">
        <v>111</v>
      </c>
      <c r="C20" s="364" t="n">
        <v>7.486486486</v>
      </c>
      <c r="D20" s="364" t="n">
        <v>7.694444444</v>
      </c>
      <c r="E20" s="362"/>
      <c r="F20" s="363"/>
      <c r="G20" s="363"/>
      <c r="H20" s="363"/>
      <c r="I20" s="7"/>
      <c r="J20" s="7"/>
      <c r="K20" s="7"/>
      <c r="L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customFormat="false" ht="51.75" hidden="false" customHeight="true" outlineLevel="0" collapsed="false">
      <c r="A21" s="357" t="s">
        <v>1217</v>
      </c>
      <c r="B21" s="356" t="n">
        <v>19</v>
      </c>
      <c r="C21" s="364" t="n">
        <v>7.052631579</v>
      </c>
      <c r="D21" s="364" t="n">
        <v>7.444444444</v>
      </c>
      <c r="E21" s="367"/>
      <c r="F21" s="367"/>
      <c r="G21" s="367"/>
      <c r="H21" s="367"/>
      <c r="I21" s="7"/>
      <c r="J21" s="7"/>
      <c r="K21" s="7"/>
      <c r="L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customFormat="false" ht="15" hidden="false" customHeight="false" outlineLevel="0" collapsed="false">
      <c r="A22" s="355" t="s">
        <v>1218</v>
      </c>
      <c r="B22" s="356" t="n">
        <v>39</v>
      </c>
      <c r="C22" s="364" t="n">
        <v>17.41025641</v>
      </c>
      <c r="D22" s="364" t="n">
        <v>19.4</v>
      </c>
      <c r="E22" s="368"/>
      <c r="I22" s="7"/>
      <c r="J22" s="7"/>
      <c r="K22" s="7"/>
      <c r="L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row>
    <row r="23" customFormat="false" ht="15" hidden="false" customHeight="false" outlineLevel="0" collapsed="false">
      <c r="A23" s="358" t="s">
        <v>1199</v>
      </c>
      <c r="B23" s="359" t="n">
        <v>226</v>
      </c>
      <c r="C23" s="369" t="n">
        <v>11.406797972</v>
      </c>
      <c r="D23" s="369" t="n">
        <v>12.2322222216</v>
      </c>
      <c r="I23" s="7"/>
      <c r="J23" s="7"/>
      <c r="K23" s="7"/>
      <c r="L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customFormat="false" ht="15" hidden="false" customHeight="false" outlineLevel="0" collapsed="false">
      <c r="I24" s="7"/>
      <c r="J24" s="7"/>
      <c r="K24" s="7"/>
      <c r="L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row>
    <row r="25" customFormat="false" ht="15" hidden="false" customHeight="false" outlineLevel="0" collapsed="false">
      <c r="A25" s="360" t="s">
        <v>1221</v>
      </c>
      <c r="B25" s="360"/>
      <c r="C25" s="360"/>
      <c r="D25" s="360"/>
      <c r="E25" s="360"/>
      <c r="F25" s="360"/>
      <c r="G25" s="360"/>
      <c r="H25" s="360"/>
      <c r="I25" s="7"/>
      <c r="J25" s="7"/>
      <c r="K25" s="7"/>
      <c r="L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row>
    <row r="26" customFormat="false" ht="15" hidden="false" customHeight="false" outlineLevel="0" collapsed="false">
      <c r="A26" s="361" t="s">
        <v>1222</v>
      </c>
      <c r="B26" s="361"/>
      <c r="C26" s="361"/>
      <c r="D26" s="361"/>
      <c r="E26" s="361"/>
      <c r="F26" s="361"/>
      <c r="G26" s="361"/>
      <c r="H26" s="361"/>
      <c r="I26" s="7"/>
      <c r="J26" s="7"/>
      <c r="K26" s="7"/>
      <c r="L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row>
    <row r="27" customFormat="false" ht="15" hidden="false" customHeight="false" outlineLevel="0" collapsed="false">
      <c r="A27" s="361"/>
      <c r="B27" s="361"/>
      <c r="C27" s="361"/>
      <c r="D27" s="361"/>
      <c r="E27" s="361"/>
      <c r="F27" s="361"/>
      <c r="G27" s="361"/>
      <c r="H27" s="361"/>
      <c r="I27" s="7"/>
      <c r="J27" s="7"/>
      <c r="K27" s="7"/>
      <c r="L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customFormat="false" ht="26.25" hidden="false" customHeight="true" outlineLevel="0" collapsed="false">
      <c r="A28" s="351" t="s">
        <v>1223</v>
      </c>
      <c r="B28" s="351"/>
      <c r="C28" s="351"/>
      <c r="D28" s="351"/>
      <c r="E28" s="361"/>
      <c r="F28" s="361"/>
      <c r="G28" s="361"/>
      <c r="H28" s="361"/>
      <c r="I28" s="7"/>
      <c r="J28" s="7"/>
      <c r="K28" s="7"/>
      <c r="L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row>
    <row r="29" customFormat="false" ht="48" hidden="false" customHeight="true" outlineLevel="0" collapsed="false">
      <c r="A29" s="352" t="s">
        <v>1209</v>
      </c>
      <c r="B29" s="353" t="s">
        <v>1210</v>
      </c>
      <c r="C29" s="353" t="s">
        <v>1211</v>
      </c>
      <c r="D29" s="353" t="s">
        <v>1212</v>
      </c>
      <c r="E29" s="361"/>
      <c r="F29" s="361"/>
      <c r="G29" s="361"/>
      <c r="H29" s="361"/>
      <c r="I29" s="7"/>
      <c r="J29" s="7"/>
      <c r="K29" s="7"/>
      <c r="L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customFormat="false" ht="15" hidden="false" customHeight="false" outlineLevel="0" collapsed="false">
      <c r="A30" s="355" t="s">
        <v>1214</v>
      </c>
      <c r="B30" s="356" t="n">
        <v>59</v>
      </c>
      <c r="C30" s="364" t="n">
        <v>11.78</v>
      </c>
      <c r="D30" s="364" t="n">
        <v>35</v>
      </c>
      <c r="E30" s="361"/>
      <c r="F30" s="361"/>
      <c r="G30" s="361"/>
      <c r="H30" s="361"/>
      <c r="I30" s="7"/>
      <c r="J30" s="7"/>
      <c r="K30" s="7"/>
      <c r="L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customFormat="false" ht="15" hidden="false" customHeight="false" outlineLevel="0" collapsed="false">
      <c r="A31" s="355" t="s">
        <v>1215</v>
      </c>
      <c r="B31" s="356" t="n">
        <v>13</v>
      </c>
      <c r="C31" s="364" t="n">
        <v>17.08</v>
      </c>
      <c r="D31" s="364" t="n">
        <v>64.54</v>
      </c>
      <c r="E31" s="361"/>
      <c r="F31" s="361"/>
      <c r="G31" s="361"/>
      <c r="H31" s="361"/>
      <c r="I31" s="7"/>
      <c r="J31" s="7"/>
      <c r="K31" s="7"/>
      <c r="L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row>
    <row r="32" customFormat="false" ht="15" hidden="false" customHeight="false" outlineLevel="0" collapsed="false">
      <c r="A32" s="355" t="s">
        <v>1216</v>
      </c>
      <c r="B32" s="356" t="n">
        <v>146</v>
      </c>
      <c r="C32" s="364" t="n">
        <v>10.21</v>
      </c>
      <c r="D32" s="364" t="n">
        <v>18.42</v>
      </c>
      <c r="E32" s="361"/>
      <c r="F32" s="361"/>
      <c r="G32" s="361"/>
      <c r="H32" s="361"/>
      <c r="I32" s="7"/>
      <c r="J32" s="7"/>
      <c r="K32" s="7"/>
      <c r="L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customFormat="false" ht="44.25" hidden="false" customHeight="true" outlineLevel="0" collapsed="false">
      <c r="A33" s="357" t="s">
        <v>1217</v>
      </c>
      <c r="B33" s="356" t="n">
        <v>32</v>
      </c>
      <c r="C33" s="364" t="n">
        <v>4.91</v>
      </c>
      <c r="D33" s="364" t="n">
        <v>9.97</v>
      </c>
      <c r="E33" s="361"/>
      <c r="F33" s="361"/>
      <c r="G33" s="361"/>
      <c r="H33" s="361"/>
      <c r="I33" s="7"/>
      <c r="J33" s="7"/>
      <c r="K33" s="7"/>
      <c r="L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row>
    <row r="34" customFormat="false" ht="15" hidden="false" customHeight="false" outlineLevel="0" collapsed="false">
      <c r="A34" s="355" t="s">
        <v>1218</v>
      </c>
      <c r="B34" s="356" t="n">
        <v>61</v>
      </c>
      <c r="C34" s="364" t="n">
        <v>50.8</v>
      </c>
      <c r="D34" s="364" t="n">
        <v>87.23</v>
      </c>
      <c r="E34" s="361"/>
      <c r="F34" s="361"/>
      <c r="G34" s="361"/>
      <c r="H34" s="361"/>
      <c r="I34" s="7"/>
      <c r="J34" s="7"/>
      <c r="K34" s="7"/>
      <c r="L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row>
    <row r="35" customFormat="false" ht="15" hidden="false" customHeight="false" outlineLevel="0" collapsed="false">
      <c r="A35" s="358" t="s">
        <v>1199</v>
      </c>
      <c r="B35" s="359" t="n">
        <v>311</v>
      </c>
      <c r="C35" s="369" t="n">
        <v>18.21</v>
      </c>
      <c r="D35" s="369" t="n">
        <v>36.12</v>
      </c>
      <c r="E35" s="361"/>
      <c r="F35" s="361"/>
      <c r="G35" s="361"/>
      <c r="H35" s="361"/>
      <c r="I35" s="7"/>
      <c r="J35" s="7"/>
      <c r="K35" s="7"/>
      <c r="L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row>
    <row r="36" customFormat="false" ht="15" hidden="false" customHeight="false" outlineLevel="0" collapsed="false">
      <c r="I36" s="7"/>
      <c r="J36" s="7"/>
      <c r="K36" s="7"/>
      <c r="L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row>
    <row r="37" customFormat="false" ht="15" hidden="false" customHeight="false" outlineLevel="0" collapsed="false">
      <c r="A37" s="370" t="s">
        <v>1224</v>
      </c>
      <c r="B37" s="370"/>
      <c r="C37" s="370"/>
      <c r="D37" s="370"/>
      <c r="E37" s="370"/>
      <c r="I37" s="7"/>
      <c r="J37" s="7"/>
      <c r="K37" s="7"/>
      <c r="L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row>
    <row r="38" customFormat="false" ht="15" hidden="false" customHeight="false" outlineLevel="0" collapsed="false">
      <c r="A38" s="370"/>
      <c r="B38" s="370"/>
      <c r="C38" s="370"/>
      <c r="D38" s="370"/>
      <c r="E38" s="370"/>
      <c r="I38" s="7"/>
      <c r="J38" s="7"/>
      <c r="K38" s="7"/>
      <c r="L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row>
    <row r="39" customFormat="false" ht="15" hidden="false" customHeight="false" outlineLevel="0" collapsed="false">
      <c r="A39" s="370"/>
      <c r="B39" s="370"/>
      <c r="C39" s="370"/>
      <c r="D39" s="370"/>
      <c r="E39" s="370"/>
      <c r="I39" s="7"/>
      <c r="J39" s="7"/>
      <c r="K39" s="7"/>
      <c r="L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row>
    <row r="40" customFormat="false" ht="15" hidden="false" customHeight="false" outlineLevel="0" collapsed="false">
      <c r="A40" s="351" t="s">
        <v>1225</v>
      </c>
      <c r="B40" s="351"/>
      <c r="C40" s="351"/>
      <c r="D40" s="351"/>
      <c r="E40" s="370"/>
      <c r="I40" s="7"/>
      <c r="J40" s="7"/>
      <c r="K40" s="7"/>
      <c r="L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row>
    <row r="41" customFormat="false" ht="45" hidden="false" customHeight="true" outlineLevel="0" collapsed="false">
      <c r="A41" s="352" t="s">
        <v>1209</v>
      </c>
      <c r="B41" s="353" t="s">
        <v>1210</v>
      </c>
      <c r="C41" s="353" t="s">
        <v>1211</v>
      </c>
      <c r="D41" s="353" t="s">
        <v>1212</v>
      </c>
      <c r="E41" s="370"/>
      <c r="I41" s="7"/>
      <c r="J41" s="7"/>
      <c r="K41" s="7"/>
      <c r="L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row>
    <row r="42" customFormat="false" ht="15" hidden="false" customHeight="false" outlineLevel="0" collapsed="false">
      <c r="A42" s="355" t="s">
        <v>1214</v>
      </c>
      <c r="B42" s="356" t="n">
        <v>96</v>
      </c>
      <c r="C42" s="364" t="n">
        <v>14.6145833333333</v>
      </c>
      <c r="D42" s="364" t="n">
        <v>32.3854166666667</v>
      </c>
      <c r="E42" s="370"/>
      <c r="I42" s="7"/>
      <c r="J42" s="7"/>
      <c r="K42" s="7"/>
      <c r="L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row>
    <row r="43" customFormat="false" ht="15" hidden="false" customHeight="false" outlineLevel="0" collapsed="false">
      <c r="A43" s="355" t="s">
        <v>1215</v>
      </c>
      <c r="B43" s="356" t="n">
        <v>5</v>
      </c>
      <c r="C43" s="364" t="n">
        <v>29</v>
      </c>
      <c r="D43" s="364" t="n">
        <v>57.6</v>
      </c>
      <c r="E43" s="370"/>
      <c r="I43" s="7"/>
      <c r="J43" s="7"/>
      <c r="K43" s="7"/>
      <c r="L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row>
    <row r="44" customFormat="false" ht="15" hidden="false" customHeight="false" outlineLevel="0" collapsed="false">
      <c r="A44" s="355" t="s">
        <v>1216</v>
      </c>
      <c r="B44" s="356" t="n">
        <v>200</v>
      </c>
      <c r="C44" s="364" t="n">
        <v>12.205</v>
      </c>
      <c r="D44" s="364" t="n">
        <v>17.045</v>
      </c>
      <c r="E44" s="370"/>
      <c r="I44" s="7"/>
      <c r="J44" s="7"/>
      <c r="K44" s="7"/>
      <c r="L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row>
    <row r="45" customFormat="false" ht="22.7" hidden="false" customHeight="false" outlineLevel="0" collapsed="false">
      <c r="A45" s="357" t="s">
        <v>1217</v>
      </c>
      <c r="B45" s="356" t="n">
        <v>19</v>
      </c>
      <c r="C45" s="364" t="n">
        <v>4.10526315789474</v>
      </c>
      <c r="D45" s="364" t="n">
        <v>26</v>
      </c>
      <c r="E45" s="370"/>
      <c r="I45" s="7"/>
      <c r="J45" s="7"/>
      <c r="K45" s="7"/>
      <c r="L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row>
    <row r="46" customFormat="false" ht="15" hidden="false" customHeight="false" outlineLevel="0" collapsed="false">
      <c r="A46" s="355" t="s">
        <v>1218</v>
      </c>
      <c r="B46" s="356" t="n">
        <v>57</v>
      </c>
      <c r="C46" s="364" t="n">
        <v>43.2105263157895</v>
      </c>
      <c r="D46" s="364" t="n">
        <v>73.5789473684211</v>
      </c>
      <c r="E46" s="370"/>
      <c r="I46" s="7"/>
      <c r="J46" s="7"/>
      <c r="K46" s="7"/>
      <c r="L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row>
    <row r="47" customFormat="false" ht="15" hidden="false" customHeight="false" outlineLevel="0" collapsed="false">
      <c r="A47" s="358" t="s">
        <v>1199</v>
      </c>
      <c r="B47" s="359" t="n">
        <v>377</v>
      </c>
      <c r="C47" s="369" t="n">
        <v>17.3209549071618</v>
      </c>
      <c r="D47" s="369" t="n">
        <v>30.4880636604775</v>
      </c>
      <c r="E47" s="370"/>
      <c r="I47" s="7"/>
      <c r="J47" s="7"/>
      <c r="K47" s="7"/>
      <c r="L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row>
    <row r="48" customFormat="false" ht="15" hidden="false" customHeight="false" outlineLevel="0" collapsed="false">
      <c r="E48" s="370"/>
      <c r="I48" s="7"/>
      <c r="J48" s="7"/>
      <c r="K48" s="7"/>
      <c r="L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row>
    <row r="49" customFormat="false" ht="15" hidden="false" customHeight="false" outlineLevel="0" collapsed="false">
      <c r="A49" s="370" t="s">
        <v>1226</v>
      </c>
      <c r="B49" s="370"/>
      <c r="C49" s="370"/>
      <c r="D49" s="370"/>
      <c r="E49" s="370"/>
      <c r="I49" s="7"/>
      <c r="J49" s="7"/>
      <c r="K49" s="7"/>
      <c r="L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row>
    <row r="50" customFormat="false" ht="15" hidden="false" customHeight="false" outlineLevel="0" collapsed="false">
      <c r="A50" s="370"/>
      <c r="B50" s="370"/>
      <c r="C50" s="370"/>
      <c r="D50" s="370"/>
      <c r="E50" s="370"/>
      <c r="I50" s="7"/>
      <c r="J50" s="7"/>
      <c r="K50" s="7"/>
      <c r="L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row>
    <row r="51" customFormat="false" ht="15" hidden="false" customHeight="false" outlineLevel="0" collapsed="false">
      <c r="A51" s="370"/>
      <c r="B51" s="370"/>
      <c r="C51" s="370"/>
      <c r="D51" s="370"/>
      <c r="E51" s="370"/>
      <c r="I51" s="7"/>
      <c r="J51" s="7"/>
      <c r="K51" s="7"/>
      <c r="L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row>
    <row r="52" customFormat="false" ht="15" hidden="false" customHeight="false" outlineLevel="0" collapsed="false">
      <c r="A52" s="351" t="s">
        <v>1227</v>
      </c>
      <c r="B52" s="351"/>
      <c r="C52" s="351"/>
      <c r="D52" s="351"/>
      <c r="E52" s="370"/>
      <c r="I52" s="7"/>
      <c r="J52" s="7"/>
      <c r="K52" s="7"/>
      <c r="L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row>
    <row r="53" customFormat="false" ht="22.7" hidden="false" customHeight="false" outlineLevel="0" collapsed="false">
      <c r="A53" s="352" t="s">
        <v>1209</v>
      </c>
      <c r="B53" s="353" t="s">
        <v>1210</v>
      </c>
      <c r="C53" s="353" t="s">
        <v>1211</v>
      </c>
      <c r="D53" s="353" t="s">
        <v>1212</v>
      </c>
      <c r="E53" s="370"/>
      <c r="I53" s="7"/>
      <c r="J53" s="7"/>
      <c r="K53" s="7"/>
      <c r="L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row>
    <row r="54" customFormat="false" ht="15" hidden="false" customHeight="false" outlineLevel="0" collapsed="false">
      <c r="A54" s="355" t="s">
        <v>1214</v>
      </c>
      <c r="B54" s="356" t="n">
        <v>110</v>
      </c>
      <c r="C54" s="356" t="n">
        <v>14</v>
      </c>
      <c r="D54" s="364" t="n">
        <v>34.3909090909091</v>
      </c>
      <c r="E54" s="370"/>
      <c r="I54" s="7"/>
      <c r="J54" s="7"/>
      <c r="K54" s="7"/>
      <c r="L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row>
    <row r="55" customFormat="false" ht="15" hidden="false" customHeight="false" outlineLevel="0" collapsed="false">
      <c r="A55" s="355" t="s">
        <v>1215</v>
      </c>
      <c r="B55" s="356" t="n">
        <v>13</v>
      </c>
      <c r="C55" s="364" t="n">
        <v>20.4615384615385</v>
      </c>
      <c r="D55" s="356" t="n">
        <v>31</v>
      </c>
      <c r="E55" s="370"/>
      <c r="I55" s="7"/>
      <c r="J55" s="7"/>
      <c r="K55" s="7"/>
      <c r="L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row>
    <row r="56" customFormat="false" ht="15" hidden="false" customHeight="false" outlineLevel="0" collapsed="false">
      <c r="A56" s="355" t="s">
        <v>1216</v>
      </c>
      <c r="B56" s="356" t="n">
        <v>178</v>
      </c>
      <c r="C56" s="364" t="n">
        <v>10.2584269662921</v>
      </c>
      <c r="D56" s="364" t="n">
        <v>18.7134831460674</v>
      </c>
      <c r="E56" s="370"/>
      <c r="I56" s="7"/>
      <c r="J56" s="7"/>
      <c r="K56" s="7"/>
      <c r="L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row>
    <row r="57" customFormat="false" ht="22.7" hidden="false" customHeight="false" outlineLevel="0" collapsed="false">
      <c r="A57" s="357" t="s">
        <v>1217</v>
      </c>
      <c r="B57" s="356" t="n">
        <v>17</v>
      </c>
      <c r="C57" s="364" t="n">
        <v>8.05882352941176</v>
      </c>
      <c r="D57" s="364" t="n">
        <v>15.6470588235294</v>
      </c>
      <c r="E57" s="370"/>
      <c r="I57" s="7"/>
      <c r="J57" s="7"/>
      <c r="K57" s="7"/>
      <c r="L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customFormat="false" ht="15" hidden="false" customHeight="false" outlineLevel="0" collapsed="false">
      <c r="A58" s="355" t="s">
        <v>1218</v>
      </c>
      <c r="B58" s="356" t="n">
        <v>55</v>
      </c>
      <c r="C58" s="364" t="n">
        <v>62.1818181818182</v>
      </c>
      <c r="D58" s="364" t="n">
        <v>90.6181818181818</v>
      </c>
      <c r="E58" s="370"/>
      <c r="I58" s="7"/>
      <c r="J58" s="7"/>
      <c r="K58" s="7"/>
      <c r="L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customFormat="false" ht="15" hidden="false" customHeight="false" outlineLevel="0" collapsed="false">
      <c r="A59" s="358" t="s">
        <v>1199</v>
      </c>
      <c r="B59" s="359" t="n">
        <v>373</v>
      </c>
      <c r="C59" s="369" t="n">
        <v>19.2734584450402</v>
      </c>
      <c r="D59" s="369" t="n">
        <v>34.2278820375335</v>
      </c>
      <c r="E59" s="370"/>
      <c r="I59" s="7"/>
      <c r="J59" s="7"/>
      <c r="K59" s="7"/>
      <c r="L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customFormat="false" ht="15" hidden="false" customHeight="false" outlineLevel="0" collapsed="false">
      <c r="E60" s="370"/>
      <c r="I60" s="7"/>
      <c r="J60" s="7"/>
      <c r="K60" s="7"/>
      <c r="L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row>
    <row r="61" customFormat="false" ht="15" hidden="false" customHeight="false" outlineLevel="0" collapsed="false">
      <c r="A61" s="370" t="s">
        <v>1228</v>
      </c>
      <c r="B61" s="370"/>
      <c r="C61" s="370"/>
      <c r="D61" s="370"/>
      <c r="E61" s="370"/>
      <c r="I61" s="7"/>
      <c r="J61" s="7"/>
      <c r="K61" s="7"/>
      <c r="L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customFormat="false" ht="15" hidden="false" customHeight="false" outlineLevel="0" collapsed="false">
      <c r="A62" s="370"/>
      <c r="B62" s="370"/>
      <c r="C62" s="370"/>
      <c r="D62" s="370"/>
      <c r="E62" s="370"/>
      <c r="I62" s="7"/>
      <c r="J62" s="7"/>
      <c r="K62" s="7"/>
      <c r="L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customFormat="false" ht="15" hidden="false" customHeight="false" outlineLevel="0" collapsed="false">
      <c r="A63" s="370"/>
      <c r="B63" s="370"/>
      <c r="C63" s="370"/>
      <c r="D63" s="370"/>
      <c r="E63" s="370"/>
      <c r="I63" s="7"/>
      <c r="J63" s="7"/>
      <c r="K63" s="7"/>
      <c r="L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customFormat="false" ht="15" hidden="false" customHeight="false" outlineLevel="0" collapsed="false">
      <c r="A64" s="351" t="s">
        <v>1229</v>
      </c>
      <c r="B64" s="351"/>
      <c r="C64" s="351"/>
      <c r="D64" s="351"/>
      <c r="E64" s="370"/>
      <c r="I64" s="7"/>
      <c r="J64" s="7"/>
      <c r="K64" s="7"/>
      <c r="L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row>
    <row r="65" customFormat="false" ht="22.7" hidden="false" customHeight="false" outlineLevel="0" collapsed="false">
      <c r="A65" s="352" t="s">
        <v>1209</v>
      </c>
      <c r="B65" s="353" t="s">
        <v>1210</v>
      </c>
      <c r="C65" s="353" t="s">
        <v>1211</v>
      </c>
      <c r="D65" s="353" t="s">
        <v>1212</v>
      </c>
      <c r="E65" s="370"/>
      <c r="I65" s="7"/>
      <c r="J65" s="7"/>
      <c r="K65" s="7"/>
      <c r="L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row>
    <row r="66" customFormat="false" ht="15" hidden="false" customHeight="false" outlineLevel="0" collapsed="false">
      <c r="A66" s="355" t="s">
        <v>1214</v>
      </c>
      <c r="B66" s="356" t="n">
        <v>125</v>
      </c>
      <c r="C66" s="364" t="n">
        <v>14.152</v>
      </c>
      <c r="D66" s="364" t="n">
        <v>37.48</v>
      </c>
      <c r="E66" s="370"/>
      <c r="I66" s="7"/>
      <c r="J66" s="7"/>
      <c r="K66" s="7"/>
      <c r="L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row>
    <row r="67" customFormat="false" ht="15" hidden="false" customHeight="false" outlineLevel="0" collapsed="false">
      <c r="A67" s="355" t="s">
        <v>1215</v>
      </c>
      <c r="B67" s="356" t="n">
        <v>26</v>
      </c>
      <c r="C67" s="364" t="n">
        <v>15.7692307692308</v>
      </c>
      <c r="D67" s="364" t="n">
        <v>36.5384615384615</v>
      </c>
      <c r="E67" s="370"/>
      <c r="I67" s="7"/>
      <c r="J67" s="7"/>
      <c r="K67" s="7"/>
      <c r="L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row>
    <row r="68" customFormat="false" ht="15" hidden="false" customHeight="false" outlineLevel="0" collapsed="false">
      <c r="A68" s="355" t="s">
        <v>1216</v>
      </c>
      <c r="B68" s="356" t="n">
        <v>184</v>
      </c>
      <c r="C68" s="364" t="n">
        <v>11.804347826087</v>
      </c>
      <c r="D68" s="364" t="n">
        <v>17.8152173913043</v>
      </c>
      <c r="E68" s="370"/>
      <c r="I68" s="7"/>
      <c r="J68" s="7"/>
      <c r="K68" s="7"/>
      <c r="L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row>
    <row r="69" customFormat="false" ht="22.7" hidden="false" customHeight="false" outlineLevel="0" collapsed="false">
      <c r="A69" s="357" t="s">
        <v>1217</v>
      </c>
      <c r="B69" s="356" t="n">
        <v>23</v>
      </c>
      <c r="C69" s="364" t="n">
        <v>14.4782608695652</v>
      </c>
      <c r="D69" s="364" t="n">
        <v>33.4782608695652</v>
      </c>
      <c r="E69" s="370"/>
      <c r="I69" s="7"/>
      <c r="J69" s="7"/>
      <c r="K69" s="7"/>
      <c r="L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row>
    <row r="70" customFormat="false" ht="15" hidden="false" customHeight="false" outlineLevel="0" collapsed="false">
      <c r="A70" s="355" t="s">
        <v>1218</v>
      </c>
      <c r="B70" s="356" t="n">
        <v>60</v>
      </c>
      <c r="C70" s="364" t="n">
        <v>68.3833333333333</v>
      </c>
      <c r="D70" s="364" t="n">
        <v>118.1</v>
      </c>
      <c r="E70" s="370"/>
      <c r="I70" s="7"/>
      <c r="J70" s="7"/>
      <c r="K70" s="7"/>
      <c r="L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row>
    <row r="71" customFormat="false" ht="15" hidden="false" customHeight="false" outlineLevel="0" collapsed="false">
      <c r="A71" s="358" t="s">
        <v>1199</v>
      </c>
      <c r="B71" s="359" t="n">
        <v>418</v>
      </c>
      <c r="C71" s="369" t="n">
        <v>21.0215311004785</v>
      </c>
      <c r="D71" s="369" t="n">
        <v>40.1172248803828</v>
      </c>
      <c r="E71" s="370"/>
      <c r="I71" s="7"/>
      <c r="J71" s="7"/>
      <c r="K71" s="7"/>
      <c r="L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row>
    <row r="72" customFormat="false" ht="15" hidden="false" customHeight="false" outlineLevel="0" collapsed="false">
      <c r="A72" s="370"/>
      <c r="B72" s="370"/>
      <c r="C72" s="370"/>
      <c r="D72" s="370"/>
      <c r="E72" s="370"/>
      <c r="I72" s="7"/>
      <c r="J72" s="7"/>
      <c r="K72" s="7"/>
      <c r="L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row>
    <row r="73" customFormat="false" ht="15" hidden="false" customHeight="false" outlineLevel="0" collapsed="false">
      <c r="A73" s="370" t="s">
        <v>1230</v>
      </c>
      <c r="B73" s="370"/>
      <c r="C73" s="370"/>
      <c r="D73" s="370"/>
      <c r="E73" s="370"/>
      <c r="I73" s="7"/>
      <c r="J73" s="7"/>
      <c r="K73" s="7"/>
      <c r="L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row>
    <row r="74" customFormat="false" ht="15" hidden="false" customHeight="false" outlineLevel="0" collapsed="false">
      <c r="A74" s="370"/>
      <c r="B74" s="370"/>
      <c r="C74" s="370"/>
      <c r="D74" s="370"/>
      <c r="E74" s="370"/>
      <c r="I74" s="7"/>
      <c r="J74" s="7"/>
      <c r="K74" s="7"/>
      <c r="L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row>
    <row r="75" customFormat="false" ht="15" hidden="false" customHeight="false" outlineLevel="0" collapsed="false">
      <c r="A75" s="370"/>
      <c r="B75" s="370"/>
      <c r="C75" s="370"/>
      <c r="D75" s="370"/>
      <c r="E75" s="370"/>
      <c r="I75" s="7"/>
      <c r="J75" s="7"/>
      <c r="K75" s="7"/>
      <c r="L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row>
    <row r="76" customFormat="false" ht="15" hidden="false" customHeight="false" outlineLevel="0" collapsed="false">
      <c r="A76" s="351" t="s">
        <v>1231</v>
      </c>
      <c r="B76" s="351"/>
      <c r="C76" s="351"/>
      <c r="D76" s="351"/>
      <c r="E76" s="370"/>
      <c r="I76" s="7"/>
      <c r="J76" s="7"/>
      <c r="K76" s="7"/>
      <c r="L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row>
    <row r="77" customFormat="false" ht="22.7" hidden="false" customHeight="false" outlineLevel="0" collapsed="false">
      <c r="A77" s="352" t="s">
        <v>1209</v>
      </c>
      <c r="B77" s="353" t="s">
        <v>1210</v>
      </c>
      <c r="C77" s="353" t="s">
        <v>1211</v>
      </c>
      <c r="D77" s="353" t="s">
        <v>1212</v>
      </c>
      <c r="E77" s="370"/>
      <c r="I77" s="7"/>
      <c r="J77" s="7"/>
      <c r="K77" s="7"/>
      <c r="L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row>
    <row r="78" customFormat="false" ht="15" hidden="false" customHeight="false" outlineLevel="0" collapsed="false">
      <c r="A78" s="355" t="s">
        <v>1214</v>
      </c>
      <c r="B78" s="356" t="n">
        <v>126</v>
      </c>
      <c r="C78" s="364" t="n">
        <v>13.3650793650794</v>
      </c>
      <c r="D78" s="364" t="n">
        <v>43.2619047619048</v>
      </c>
      <c r="E78" s="370"/>
      <c r="I78" s="7"/>
      <c r="J78" s="7"/>
      <c r="K78" s="7"/>
      <c r="L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row>
    <row r="79" customFormat="false" ht="15" hidden="false" customHeight="false" outlineLevel="0" collapsed="false">
      <c r="A79" s="355" t="s">
        <v>1215</v>
      </c>
      <c r="B79" s="356" t="n">
        <v>12</v>
      </c>
      <c r="C79" s="364" t="n">
        <v>15.9166666666667</v>
      </c>
      <c r="D79" s="364" t="n">
        <v>19.4166666666667</v>
      </c>
      <c r="E79" s="370"/>
      <c r="I79" s="7"/>
      <c r="J79" s="7"/>
      <c r="K79" s="7"/>
      <c r="L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row>
    <row r="80" customFormat="false" ht="15" hidden="false" customHeight="false" outlineLevel="0" collapsed="false">
      <c r="A80" s="355" t="s">
        <v>1216</v>
      </c>
      <c r="B80" s="356" t="n">
        <v>95</v>
      </c>
      <c r="C80" s="364" t="n">
        <v>14.6842105263158</v>
      </c>
      <c r="D80" s="364" t="n">
        <v>24.8210526315789</v>
      </c>
      <c r="E80" s="370"/>
      <c r="I80" s="7"/>
      <c r="J80" s="7"/>
      <c r="K80" s="7"/>
      <c r="L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row>
    <row r="81" customFormat="false" ht="22.7" hidden="false" customHeight="false" outlineLevel="0" collapsed="false">
      <c r="A81" s="357" t="s">
        <v>1217</v>
      </c>
      <c r="B81" s="356" t="n">
        <v>40</v>
      </c>
      <c r="C81" s="364" t="n">
        <v>7.85</v>
      </c>
      <c r="D81" s="364" t="n">
        <v>44.275</v>
      </c>
      <c r="E81" s="370"/>
      <c r="I81" s="7"/>
      <c r="J81" s="7"/>
      <c r="K81" s="7"/>
      <c r="L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row>
    <row r="82" customFormat="false" ht="15" hidden="false" customHeight="false" outlineLevel="0" collapsed="false">
      <c r="A82" s="355" t="s">
        <v>1218</v>
      </c>
      <c r="B82" s="356" t="n">
        <v>78</v>
      </c>
      <c r="C82" s="364" t="n">
        <v>53.7564102564103</v>
      </c>
      <c r="D82" s="364" t="n">
        <v>94.974358974359</v>
      </c>
      <c r="E82" s="370"/>
      <c r="I82" s="7"/>
      <c r="J82" s="7"/>
      <c r="K82" s="7"/>
      <c r="L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row>
    <row r="83" customFormat="false" ht="15" hidden="false" customHeight="false" outlineLevel="0" collapsed="false">
      <c r="A83" s="358" t="s">
        <v>1199</v>
      </c>
      <c r="B83" s="359" t="n">
        <v>351</v>
      </c>
      <c r="C83" s="369" t="n">
        <v>22.1566951566952</v>
      </c>
      <c r="D83" s="369" t="n">
        <v>49.0626780626781</v>
      </c>
      <c r="E83" s="370"/>
      <c r="I83" s="7"/>
      <c r="J83" s="7"/>
      <c r="K83" s="7"/>
      <c r="L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row>
    <row r="84" customFormat="false" ht="15" hidden="false" customHeight="false" outlineLevel="0" collapsed="false">
      <c r="A84" s="370"/>
      <c r="B84" s="370"/>
      <c r="C84" s="370"/>
      <c r="D84" s="370"/>
      <c r="E84" s="370"/>
      <c r="I84" s="7"/>
      <c r="J84" s="7"/>
      <c r="K84" s="7"/>
      <c r="L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row>
    <row r="85" customFormat="false" ht="15" hidden="false" customHeight="false" outlineLevel="0" collapsed="false">
      <c r="A85" s="370" t="s">
        <v>1232</v>
      </c>
      <c r="B85" s="370"/>
      <c r="C85" s="370"/>
      <c r="D85" s="370"/>
      <c r="E85" s="370"/>
      <c r="I85" s="7"/>
      <c r="J85" s="7"/>
      <c r="K85" s="7"/>
      <c r="L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row>
    <row r="86" customFormat="false" ht="15" hidden="false" customHeight="false" outlineLevel="0" collapsed="false">
      <c r="A86" s="370"/>
      <c r="B86" s="370"/>
      <c r="C86" s="370"/>
      <c r="D86" s="370"/>
      <c r="E86" s="370"/>
      <c r="I86" s="7"/>
      <c r="J86" s="7"/>
      <c r="K86" s="7"/>
      <c r="L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row>
    <row r="87" customFormat="false" ht="15" hidden="false" customHeight="false" outlineLevel="0" collapsed="false">
      <c r="A87" s="370"/>
      <c r="B87" s="370"/>
      <c r="C87" s="370"/>
      <c r="D87" s="370"/>
      <c r="E87" s="370"/>
      <c r="I87" s="7"/>
      <c r="J87" s="7"/>
      <c r="K87" s="7"/>
      <c r="L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row>
    <row r="88" customFormat="false" ht="15" hidden="false" customHeight="false" outlineLevel="0" collapsed="false">
      <c r="A88" s="351" t="s">
        <v>1233</v>
      </c>
      <c r="B88" s="351"/>
      <c r="C88" s="351"/>
      <c r="D88" s="351"/>
      <c r="E88" s="370"/>
      <c r="I88" s="7"/>
      <c r="J88" s="7"/>
      <c r="K88" s="7"/>
      <c r="L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row>
    <row r="89" customFormat="false" ht="22.7" hidden="false" customHeight="false" outlineLevel="0" collapsed="false">
      <c r="A89" s="352" t="s">
        <v>1209</v>
      </c>
      <c r="B89" s="353" t="s">
        <v>1210</v>
      </c>
      <c r="C89" s="353" t="s">
        <v>1211</v>
      </c>
      <c r="D89" s="353" t="s">
        <v>1212</v>
      </c>
      <c r="E89" s="370"/>
      <c r="I89" s="7"/>
      <c r="J89" s="7"/>
      <c r="K89" s="7"/>
      <c r="L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row>
    <row r="90" customFormat="false" ht="15" hidden="false" customHeight="false" outlineLevel="0" collapsed="false">
      <c r="A90" s="355" t="s">
        <v>1214</v>
      </c>
      <c r="B90" s="356" t="n">
        <v>131</v>
      </c>
      <c r="C90" s="364" t="n">
        <v>13.5572519083969</v>
      </c>
      <c r="D90" s="364" t="n">
        <v>39.5419847328244</v>
      </c>
      <c r="E90" s="370"/>
      <c r="I90" s="7"/>
      <c r="J90" s="7"/>
      <c r="K90" s="7"/>
      <c r="L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row>
    <row r="91" customFormat="false" ht="15" hidden="false" customHeight="false" outlineLevel="0" collapsed="false">
      <c r="A91" s="355" t="s">
        <v>1215</v>
      </c>
      <c r="B91" s="356" t="n">
        <v>9</v>
      </c>
      <c r="C91" s="364" t="n">
        <v>19.6666666666667</v>
      </c>
      <c r="D91" s="364" t="n">
        <v>45.5555555555556</v>
      </c>
      <c r="E91" s="370"/>
      <c r="I91" s="7"/>
      <c r="J91" s="7"/>
      <c r="K91" s="7"/>
      <c r="L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row>
    <row r="92" customFormat="false" ht="15" hidden="false" customHeight="false" outlineLevel="0" collapsed="false">
      <c r="A92" s="355" t="s">
        <v>1216</v>
      </c>
      <c r="B92" s="356" t="n">
        <v>231</v>
      </c>
      <c r="C92" s="364" t="n">
        <v>11.1038961038961</v>
      </c>
      <c r="D92" s="364" t="n">
        <v>19.8268398268398</v>
      </c>
      <c r="E92" s="370"/>
      <c r="I92" s="7"/>
      <c r="J92" s="7"/>
      <c r="K92" s="7"/>
      <c r="L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row>
    <row r="93" customFormat="false" ht="22.7" hidden="false" customHeight="false" outlineLevel="0" collapsed="false">
      <c r="A93" s="357" t="s">
        <v>1217</v>
      </c>
      <c r="B93" s="356" t="n">
        <v>46</v>
      </c>
      <c r="C93" s="364" t="n">
        <v>7.19565217391304</v>
      </c>
      <c r="D93" s="364" t="n">
        <v>28.195652173913</v>
      </c>
      <c r="E93" s="370"/>
      <c r="I93" s="7"/>
      <c r="J93" s="7"/>
      <c r="K93" s="7"/>
      <c r="L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row>
    <row r="94" customFormat="false" ht="15" hidden="false" customHeight="false" outlineLevel="0" collapsed="false">
      <c r="A94" s="355" t="s">
        <v>1218</v>
      </c>
      <c r="B94" s="356" t="n">
        <v>80</v>
      </c>
      <c r="C94" s="364" t="n">
        <v>65.0375</v>
      </c>
      <c r="D94" s="364" t="n">
        <v>105.7625</v>
      </c>
      <c r="E94" s="370"/>
      <c r="I94" s="7"/>
      <c r="J94" s="7"/>
      <c r="K94" s="7"/>
      <c r="L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row>
    <row r="95" customFormat="false" ht="15" hidden="false" customHeight="false" outlineLevel="0" collapsed="false">
      <c r="A95" s="358" t="s">
        <v>1199</v>
      </c>
      <c r="B95" s="359" t="n">
        <v>497</v>
      </c>
      <c r="C95" s="369" t="n">
        <v>20.2253521126761</v>
      </c>
      <c r="D95" s="369" t="n">
        <v>40.0965794768612</v>
      </c>
      <c r="E95" s="370"/>
      <c r="I95" s="7"/>
      <c r="J95" s="7"/>
      <c r="K95" s="7"/>
      <c r="L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row>
    <row r="96" customFormat="false" ht="15" hidden="false" customHeight="false" outlineLevel="0" collapsed="false">
      <c r="A96" s="370"/>
      <c r="B96" s="370"/>
      <c r="C96" s="370"/>
      <c r="D96" s="370"/>
      <c r="E96" s="370"/>
      <c r="I96" s="7"/>
      <c r="J96" s="7"/>
      <c r="K96" s="7"/>
      <c r="L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row>
    <row r="97" customFormat="false" ht="15" hidden="false" customHeight="false" outlineLevel="0" collapsed="false">
      <c r="A97" s="370" t="s">
        <v>1234</v>
      </c>
      <c r="B97" s="370"/>
      <c r="C97" s="370"/>
      <c r="D97" s="370"/>
      <c r="E97" s="370"/>
      <c r="I97" s="7"/>
      <c r="J97" s="7"/>
      <c r="K97" s="7"/>
      <c r="L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row>
    <row r="98" customFormat="false" ht="15" hidden="false" customHeight="false" outlineLevel="0" collapsed="false">
      <c r="A98" s="370"/>
      <c r="B98" s="370"/>
      <c r="C98" s="370"/>
      <c r="D98" s="370"/>
      <c r="E98" s="370"/>
      <c r="I98" s="7"/>
      <c r="J98" s="7"/>
      <c r="K98" s="7"/>
      <c r="L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row>
    <row r="99" customFormat="false" ht="15" hidden="false" customHeight="false" outlineLevel="0" collapsed="false">
      <c r="A99" s="370"/>
      <c r="B99" s="370"/>
      <c r="C99" s="370"/>
      <c r="D99" s="370"/>
      <c r="E99" s="370"/>
      <c r="I99" s="7"/>
      <c r="J99" s="7"/>
      <c r="K99" s="7"/>
      <c r="L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row>
    <row r="100" customFormat="false" ht="15" hidden="false" customHeight="false" outlineLevel="0" collapsed="false">
      <c r="A100" s="351" t="s">
        <v>1235</v>
      </c>
      <c r="B100" s="351"/>
      <c r="C100" s="351"/>
      <c r="D100" s="351"/>
      <c r="E100" s="370"/>
      <c r="I100" s="7"/>
      <c r="J100" s="7"/>
      <c r="K100" s="7"/>
      <c r="L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row>
    <row r="101" customFormat="false" ht="22.7" hidden="false" customHeight="false" outlineLevel="0" collapsed="false">
      <c r="A101" s="352" t="s">
        <v>1209</v>
      </c>
      <c r="B101" s="353" t="s">
        <v>1210</v>
      </c>
      <c r="C101" s="353" t="s">
        <v>1211</v>
      </c>
      <c r="D101" s="353" t="s">
        <v>1212</v>
      </c>
      <c r="E101" s="370"/>
      <c r="I101" s="7"/>
      <c r="J101" s="7"/>
      <c r="K101" s="7"/>
      <c r="L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row>
    <row r="102" customFormat="false" ht="15" hidden="false" customHeight="false" outlineLevel="0" collapsed="false">
      <c r="A102" s="355" t="s">
        <v>1214</v>
      </c>
      <c r="B102" s="356" t="n">
        <v>140</v>
      </c>
      <c r="C102" s="364" t="n">
        <v>30.0905403439154</v>
      </c>
      <c r="D102" s="364" t="n">
        <v>52.0177087466931</v>
      </c>
      <c r="E102" s="370"/>
      <c r="I102" s="7"/>
      <c r="J102" s="7"/>
      <c r="K102" s="7"/>
      <c r="L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row>
    <row r="103" customFormat="false" ht="15" hidden="false" customHeight="false" outlineLevel="0" collapsed="false">
      <c r="A103" s="355" t="s">
        <v>1215</v>
      </c>
      <c r="B103" s="356" t="n">
        <v>13</v>
      </c>
      <c r="C103" s="364" t="n">
        <v>84.1774982193732</v>
      </c>
      <c r="D103" s="364" t="n">
        <v>136.591580306268</v>
      </c>
      <c r="E103" s="370"/>
      <c r="I103" s="7"/>
      <c r="J103" s="7"/>
      <c r="K103" s="7"/>
      <c r="L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row>
    <row r="104" customFormat="false" ht="15" hidden="false" customHeight="false" outlineLevel="0" collapsed="false">
      <c r="A104" s="355" t="s">
        <v>1236</v>
      </c>
      <c r="B104" s="356" t="n">
        <v>96</v>
      </c>
      <c r="C104" s="364" t="n">
        <v>13.5758561197917</v>
      </c>
      <c r="D104" s="364" t="n">
        <v>19.4280749662423</v>
      </c>
      <c r="E104" s="370"/>
      <c r="I104" s="7"/>
      <c r="J104" s="7"/>
      <c r="K104" s="7"/>
      <c r="L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row>
    <row r="105" customFormat="false" ht="22.7" hidden="false" customHeight="false" outlineLevel="0" collapsed="false">
      <c r="A105" s="357" t="s">
        <v>1217</v>
      </c>
      <c r="B105" s="356" t="n">
        <v>51</v>
      </c>
      <c r="C105" s="364" t="n">
        <v>20.0528694625999</v>
      </c>
      <c r="D105" s="364" t="n">
        <v>34.3528043300654</v>
      </c>
      <c r="E105" s="370"/>
      <c r="I105" s="7"/>
      <c r="J105" s="7"/>
      <c r="K105" s="7"/>
      <c r="L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row>
    <row r="106" customFormat="false" ht="15" hidden="false" customHeight="false" outlineLevel="0" collapsed="false">
      <c r="A106" s="355" t="s">
        <v>1218</v>
      </c>
      <c r="B106" s="356" t="n">
        <v>91</v>
      </c>
      <c r="C106" s="364" t="n">
        <v>117.879158017908</v>
      </c>
      <c r="D106" s="364" t="n">
        <v>145.735068172568</v>
      </c>
      <c r="E106" s="370"/>
      <c r="I106" s="7"/>
      <c r="J106" s="7"/>
      <c r="K106" s="7"/>
      <c r="L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row>
    <row r="107" customFormat="false" ht="15" hidden="false" customHeight="false" outlineLevel="0" collapsed="false">
      <c r="A107" s="358" t="s">
        <v>1199</v>
      </c>
      <c r="B107" s="359" t="n">
        <v>391</v>
      </c>
      <c r="C107" s="369" t="n">
        <v>46.9564323138676</v>
      </c>
      <c r="D107" s="369" t="n">
        <v>66.3354199228</v>
      </c>
      <c r="E107" s="370"/>
      <c r="I107" s="7"/>
      <c r="J107" s="7"/>
      <c r="K107" s="7"/>
      <c r="L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row>
    <row r="108" customFormat="false" ht="15" hidden="false" customHeight="false" outlineLevel="0" collapsed="false">
      <c r="A108" s="370"/>
      <c r="B108" s="370"/>
      <c r="C108" s="370"/>
      <c r="D108" s="370"/>
      <c r="E108" s="370"/>
      <c r="I108" s="7"/>
      <c r="J108" s="7"/>
      <c r="K108" s="7"/>
      <c r="L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row>
    <row r="109" customFormat="false" ht="15" hidden="false" customHeight="false" outlineLevel="0" collapsed="false">
      <c r="A109" s="370" t="s">
        <v>1237</v>
      </c>
      <c r="B109" s="370"/>
      <c r="C109" s="370"/>
      <c r="D109" s="370"/>
      <c r="E109" s="370"/>
      <c r="I109" s="7"/>
      <c r="J109" s="7"/>
      <c r="K109" s="7"/>
      <c r="L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row>
    <row r="110" customFormat="false" ht="15" hidden="false" customHeight="false" outlineLevel="0" collapsed="false">
      <c r="A110" s="370"/>
      <c r="B110" s="370"/>
      <c r="C110" s="370"/>
      <c r="D110" s="370"/>
      <c r="E110" s="370"/>
      <c r="I110" s="7"/>
      <c r="J110" s="7"/>
      <c r="K110" s="7"/>
      <c r="L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row>
    <row r="111" customFormat="false" ht="15" hidden="false" customHeight="false" outlineLevel="0" collapsed="false">
      <c r="A111" s="370"/>
      <c r="B111" s="370"/>
      <c r="C111" s="370"/>
      <c r="D111" s="370"/>
      <c r="E111" s="370"/>
      <c r="I111" s="7"/>
      <c r="J111" s="7"/>
      <c r="K111" s="7"/>
      <c r="L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row>
    <row r="112" customFormat="false" ht="15" hidden="false" customHeight="false" outlineLevel="0" collapsed="false">
      <c r="A112" s="351" t="s">
        <v>1238</v>
      </c>
      <c r="B112" s="351"/>
      <c r="C112" s="351"/>
      <c r="D112" s="351"/>
      <c r="E112" s="370"/>
      <c r="I112" s="7"/>
      <c r="J112" s="7"/>
      <c r="K112" s="7"/>
      <c r="L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row>
    <row r="113" customFormat="false" ht="22.7" hidden="false" customHeight="false" outlineLevel="0" collapsed="false">
      <c r="A113" s="352" t="s">
        <v>1209</v>
      </c>
      <c r="B113" s="353" t="s">
        <v>1210</v>
      </c>
      <c r="C113" s="353" t="s">
        <v>1211</v>
      </c>
      <c r="D113" s="353" t="s">
        <v>1212</v>
      </c>
      <c r="E113" s="370"/>
      <c r="I113" s="7"/>
      <c r="J113" s="7"/>
      <c r="K113" s="7"/>
      <c r="L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row>
    <row r="114" customFormat="false" ht="15" hidden="false" customHeight="false" outlineLevel="0" collapsed="false">
      <c r="A114" s="355" t="s">
        <v>1214</v>
      </c>
      <c r="B114" s="356" t="n">
        <v>167</v>
      </c>
      <c r="C114" s="364" t="n">
        <v>30.4967914171657</v>
      </c>
      <c r="D114" s="364" t="n">
        <v>43.2800745730761</v>
      </c>
      <c r="E114" s="370"/>
      <c r="I114" s="7"/>
      <c r="J114" s="7"/>
      <c r="K114" s="7"/>
      <c r="L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row>
    <row r="115" customFormat="false" ht="15" hidden="false" customHeight="false" outlineLevel="0" collapsed="false">
      <c r="A115" s="355" t="s">
        <v>1215</v>
      </c>
      <c r="B115" s="356" t="n">
        <v>28</v>
      </c>
      <c r="C115" s="364" t="n">
        <v>53.0399983465608</v>
      </c>
      <c r="D115" s="364" t="n">
        <v>79.3226364087302</v>
      </c>
      <c r="E115" s="370"/>
      <c r="I115" s="7"/>
      <c r="J115" s="7"/>
      <c r="K115" s="7"/>
      <c r="L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row>
    <row r="116" customFormat="false" ht="15" hidden="false" customHeight="false" outlineLevel="0" collapsed="false">
      <c r="A116" s="355" t="s">
        <v>1236</v>
      </c>
      <c r="B116" s="356" t="n">
        <v>76</v>
      </c>
      <c r="C116" s="364" t="n">
        <v>17.0205043859649</v>
      </c>
      <c r="D116" s="364" t="n">
        <v>22.3641558540448</v>
      </c>
      <c r="E116" s="370"/>
      <c r="I116" s="7"/>
      <c r="J116" s="7"/>
      <c r="K116" s="7"/>
      <c r="L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row>
    <row r="117" customFormat="false" ht="22.7" hidden="false" customHeight="false" outlineLevel="0" collapsed="false">
      <c r="A117" s="357" t="s">
        <v>1217</v>
      </c>
      <c r="B117" s="356" t="n">
        <v>63</v>
      </c>
      <c r="C117" s="364" t="n">
        <v>24.7047279174015</v>
      </c>
      <c r="D117" s="364" t="n">
        <v>37.6242533803645</v>
      </c>
      <c r="E117" s="370"/>
      <c r="I117" s="7"/>
      <c r="J117" s="7"/>
      <c r="K117" s="7"/>
      <c r="L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row>
    <row r="118" customFormat="false" ht="15" hidden="false" customHeight="false" outlineLevel="0" collapsed="false">
      <c r="A118" s="355" t="s">
        <v>1218</v>
      </c>
      <c r="B118" s="356" t="n">
        <v>112</v>
      </c>
      <c r="C118" s="364" t="n">
        <v>86.8695466476521</v>
      </c>
      <c r="D118" s="364" t="n">
        <v>97.6253100198413</v>
      </c>
      <c r="E118" s="370"/>
      <c r="I118" s="7"/>
      <c r="J118" s="7"/>
      <c r="K118" s="7"/>
      <c r="L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row>
    <row r="119" customFormat="false" ht="15" hidden="false" customHeight="false" outlineLevel="0" collapsed="false">
      <c r="A119" s="358" t="s">
        <v>1199</v>
      </c>
      <c r="B119" s="359" t="n">
        <v>446</v>
      </c>
      <c r="C119" s="369" t="n">
        <v>42.9538778857333</v>
      </c>
      <c r="D119" s="369" t="n">
        <v>54.8270062852932</v>
      </c>
      <c r="E119" s="370"/>
      <c r="I119" s="7"/>
      <c r="J119" s="7"/>
      <c r="K119" s="7"/>
      <c r="L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row>
    <row r="120" customFormat="false" ht="15" hidden="false" customHeight="false" outlineLevel="0" collapsed="false">
      <c r="A120" s="370"/>
      <c r="B120" s="370"/>
      <c r="C120" s="370"/>
      <c r="D120" s="370"/>
      <c r="E120" s="370"/>
      <c r="I120" s="7"/>
      <c r="J120" s="7"/>
      <c r="K120" s="7"/>
      <c r="L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row>
    <row r="121" customFormat="false" ht="15" hidden="false" customHeight="false" outlineLevel="0" collapsed="false">
      <c r="A121" s="370" t="s">
        <v>1239</v>
      </c>
      <c r="B121" s="370"/>
      <c r="C121" s="370"/>
      <c r="D121" s="370"/>
      <c r="E121" s="370"/>
      <c r="I121" s="7"/>
      <c r="J121" s="7"/>
      <c r="K121" s="7"/>
      <c r="L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row>
    <row r="122" customFormat="false" ht="15" hidden="false" customHeight="false" outlineLevel="0" collapsed="false">
      <c r="A122" s="370"/>
      <c r="B122" s="370"/>
      <c r="D122" s="370"/>
      <c r="E122" s="370"/>
      <c r="I122" s="7"/>
      <c r="J122" s="7"/>
      <c r="K122" s="7"/>
      <c r="L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row>
    <row r="123" customFormat="false" ht="15" hidden="false" customHeight="false" outlineLevel="0" collapsed="false">
      <c r="A123" s="370"/>
      <c r="B123" s="370"/>
      <c r="C123" s="370"/>
      <c r="D123" s="370"/>
      <c r="E123" s="370"/>
      <c r="I123" s="7"/>
      <c r="J123" s="7"/>
      <c r="K123" s="7"/>
      <c r="L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row>
    <row r="124" customFormat="false" ht="15" hidden="false" customHeight="false" outlineLevel="0" collapsed="false">
      <c r="A124" s="351" t="s">
        <v>1240</v>
      </c>
      <c r="B124" s="351"/>
      <c r="C124" s="351"/>
      <c r="D124" s="351"/>
      <c r="E124" s="370"/>
      <c r="I124" s="7"/>
      <c r="J124" s="7"/>
      <c r="K124" s="7"/>
      <c r="L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row>
    <row r="125" customFormat="false" ht="22.7" hidden="false" customHeight="false" outlineLevel="0" collapsed="false">
      <c r="A125" s="352" t="s">
        <v>1209</v>
      </c>
      <c r="B125" s="353" t="s">
        <v>1210</v>
      </c>
      <c r="C125" s="353" t="s">
        <v>1211</v>
      </c>
      <c r="D125" s="353" t="s">
        <v>1212</v>
      </c>
      <c r="E125" s="370"/>
      <c r="I125" s="7"/>
      <c r="J125" s="7"/>
      <c r="K125" s="7"/>
      <c r="L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row>
    <row r="126" customFormat="false" ht="15" hidden="false" customHeight="false" outlineLevel="0" collapsed="false">
      <c r="A126" s="355" t="s">
        <v>1214</v>
      </c>
      <c r="B126" s="356" t="n">
        <v>227</v>
      </c>
      <c r="C126" s="364" t="n">
        <v>26.8091701847773</v>
      </c>
      <c r="D126" s="364" t="n">
        <v>30.2770230444997</v>
      </c>
      <c r="E126" s="370"/>
      <c r="I126" s="7"/>
      <c r="J126" s="7"/>
      <c r="K126" s="7"/>
      <c r="L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row>
    <row r="127" customFormat="false" ht="15" hidden="false" customHeight="false" outlineLevel="0" collapsed="false">
      <c r="A127" s="355" t="s">
        <v>1215</v>
      </c>
      <c r="B127" s="356" t="n">
        <v>30</v>
      </c>
      <c r="C127" s="364" t="n">
        <v>54.698950617284</v>
      </c>
      <c r="D127" s="364" t="n">
        <v>56.5851213282248</v>
      </c>
      <c r="E127" s="370"/>
      <c r="I127" s="7"/>
      <c r="J127" s="7"/>
      <c r="K127" s="7"/>
      <c r="L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row>
    <row r="128" customFormat="false" ht="15" hidden="false" customHeight="false" outlineLevel="0" collapsed="false">
      <c r="A128" s="355" t="s">
        <v>1236</v>
      </c>
      <c r="B128" s="356" t="n">
        <v>104</v>
      </c>
      <c r="C128" s="364" t="n">
        <v>17.9587867254274</v>
      </c>
      <c r="D128" s="364" t="n">
        <v>18.6771381944444</v>
      </c>
      <c r="E128" s="370"/>
      <c r="I128" s="7"/>
      <c r="J128" s="7"/>
      <c r="K128" s="7"/>
      <c r="L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row>
    <row r="129" customFormat="false" ht="22.7" hidden="false" customHeight="false" outlineLevel="0" collapsed="false">
      <c r="A129" s="357" t="s">
        <v>1217</v>
      </c>
      <c r="B129" s="356" t="n">
        <v>71</v>
      </c>
      <c r="C129" s="364" t="n">
        <v>26.9963344418362</v>
      </c>
      <c r="D129" s="364" t="n">
        <v>28.6080559010503</v>
      </c>
      <c r="E129" s="370"/>
      <c r="I129" s="7"/>
      <c r="J129" s="7"/>
      <c r="K129" s="7"/>
      <c r="L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row>
    <row r="130" customFormat="false" ht="15" hidden="false" customHeight="false" outlineLevel="0" collapsed="false">
      <c r="A130" s="355" t="s">
        <v>1218</v>
      </c>
      <c r="B130" s="356" t="n">
        <v>113</v>
      </c>
      <c r="C130" s="364" t="n">
        <v>78.68532192314</v>
      </c>
      <c r="D130" s="364" t="n">
        <v>88.9144137731482</v>
      </c>
      <c r="E130" s="370"/>
      <c r="I130" s="7"/>
      <c r="J130" s="7"/>
      <c r="K130" s="7"/>
      <c r="L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row>
    <row r="131" customFormat="false" ht="15" hidden="false" customHeight="false" outlineLevel="0" collapsed="false">
      <c r="A131" s="358" t="s">
        <v>1199</v>
      </c>
      <c r="B131" s="359" t="n">
        <v>545</v>
      </c>
      <c r="C131" s="369" t="n">
        <v>37.4358625552158</v>
      </c>
      <c r="D131" s="369" t="n">
        <v>43.5022283424149</v>
      </c>
      <c r="E131" s="370"/>
      <c r="I131" s="7"/>
      <c r="J131" s="7"/>
      <c r="K131" s="7"/>
      <c r="L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row>
    <row r="132" customFormat="false" ht="15" hidden="false" customHeight="false" outlineLevel="0" collapsed="false">
      <c r="A132" s="370"/>
      <c r="B132" s="370"/>
      <c r="C132" s="370"/>
      <c r="D132" s="370"/>
      <c r="E132" s="370"/>
      <c r="I132" s="7"/>
      <c r="J132" s="7"/>
      <c r="K132" s="7"/>
      <c r="L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row>
    <row r="133" customFormat="false" ht="15" hidden="false" customHeight="false" outlineLevel="0" collapsed="false">
      <c r="A133" s="370" t="s">
        <v>1241</v>
      </c>
      <c r="B133" s="370"/>
      <c r="C133" s="370"/>
      <c r="D133" s="370"/>
      <c r="E133" s="370"/>
      <c r="I133" s="7"/>
      <c r="J133" s="7"/>
      <c r="K133" s="7"/>
      <c r="L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row>
    <row r="134" customFormat="false" ht="15" hidden="false" customHeight="false" outlineLevel="0" collapsed="false">
      <c r="A134" s="370"/>
      <c r="B134" s="370"/>
      <c r="C134" s="370"/>
      <c r="D134" s="370"/>
      <c r="E134" s="370"/>
      <c r="I134" s="7"/>
      <c r="J134" s="7"/>
      <c r="K134" s="7"/>
      <c r="L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row>
    <row r="136" customFormat="false" ht="15" hidden="false" customHeight="false" outlineLevel="0" collapsed="false">
      <c r="A136" s="351" t="s">
        <v>1242</v>
      </c>
      <c r="B136" s="351"/>
      <c r="C136" s="351"/>
      <c r="D136" s="351"/>
      <c r="E136" s="370"/>
      <c r="I136" s="7"/>
      <c r="J136" s="7"/>
      <c r="K136" s="7"/>
      <c r="L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row>
    <row r="137" customFormat="false" ht="22.7" hidden="false" customHeight="false" outlineLevel="0" collapsed="false">
      <c r="A137" s="352" t="s">
        <v>1209</v>
      </c>
      <c r="B137" s="353" t="s">
        <v>1210</v>
      </c>
      <c r="C137" s="353" t="s">
        <v>1211</v>
      </c>
      <c r="D137" s="353" t="s">
        <v>1212</v>
      </c>
      <c r="E137" s="370"/>
      <c r="I137" s="7"/>
      <c r="J137" s="7"/>
      <c r="K137" s="7"/>
      <c r="L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row>
    <row r="138" customFormat="false" ht="15" hidden="false" customHeight="false" outlineLevel="0" collapsed="false">
      <c r="A138" s="355" t="s">
        <v>1214</v>
      </c>
      <c r="B138" s="356" t="n">
        <v>217</v>
      </c>
      <c r="C138" s="364" t="n">
        <v>29.8968373442567</v>
      </c>
      <c r="D138" s="364" t="n">
        <v>37.2851362281822</v>
      </c>
      <c r="E138" s="370"/>
      <c r="I138" s="7"/>
      <c r="J138" s="7"/>
      <c r="K138" s="7"/>
      <c r="L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row>
    <row r="139" customFormat="false" ht="15" hidden="false" customHeight="false" outlineLevel="0" collapsed="false">
      <c r="A139" s="355" t="s">
        <v>1215</v>
      </c>
      <c r="B139" s="356" t="n">
        <v>32</v>
      </c>
      <c r="C139" s="364" t="n">
        <v>55.7598719618056</v>
      </c>
      <c r="D139" s="364" t="n">
        <v>71.3726361111111</v>
      </c>
      <c r="E139" s="370"/>
      <c r="I139" s="7"/>
      <c r="J139" s="7"/>
      <c r="K139" s="7"/>
      <c r="L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row>
    <row r="140" customFormat="false" ht="15" hidden="false" customHeight="false" outlineLevel="0" collapsed="false">
      <c r="A140" s="355" t="s">
        <v>1236</v>
      </c>
      <c r="B140" s="356" t="n">
        <v>61</v>
      </c>
      <c r="C140" s="364" t="n">
        <v>17.0792013888889</v>
      </c>
      <c r="D140" s="364" t="n">
        <v>19.6571940513627</v>
      </c>
      <c r="E140" s="370"/>
      <c r="I140" s="7"/>
      <c r="J140" s="7"/>
      <c r="K140" s="7"/>
      <c r="L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row>
    <row r="141" customFormat="false" ht="22.7" hidden="false" customHeight="false" outlineLevel="0" collapsed="false">
      <c r="A141" s="357" t="s">
        <v>1217</v>
      </c>
      <c r="B141" s="356" t="n">
        <v>69</v>
      </c>
      <c r="C141" s="364" t="n">
        <v>38.8288098832528</v>
      </c>
      <c r="D141" s="364" t="n">
        <v>44.6531313657407</v>
      </c>
      <c r="E141" s="370"/>
      <c r="I141" s="7"/>
      <c r="J141" s="7"/>
      <c r="K141" s="7"/>
      <c r="L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row>
    <row r="142" customFormat="false" ht="15" hidden="false" customHeight="false" outlineLevel="0" collapsed="false">
      <c r="A142" s="355" t="s">
        <v>1218</v>
      </c>
      <c r="B142" s="356" t="n">
        <v>96</v>
      </c>
      <c r="C142" s="364" t="n">
        <v>84.0029547646605</v>
      </c>
      <c r="D142" s="364" t="n">
        <v>90.6099287349147</v>
      </c>
      <c r="E142" s="370"/>
      <c r="I142" s="7"/>
      <c r="J142" s="7"/>
      <c r="K142" s="7"/>
      <c r="L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row>
    <row r="143" customFormat="false" ht="15" hidden="false" customHeight="false" outlineLevel="0" collapsed="false">
      <c r="A143" s="358" t="s">
        <v>1199</v>
      </c>
      <c r="B143" s="359" t="n">
        <v>475</v>
      </c>
      <c r="C143" s="369" t="n">
        <v>42.2257524853801</v>
      </c>
      <c r="D143" s="369" t="n">
        <v>50.0180359864229</v>
      </c>
      <c r="E143" s="370"/>
      <c r="I143" s="7"/>
      <c r="J143" s="7"/>
      <c r="K143" s="7"/>
      <c r="L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row>
    <row r="144" customFormat="false" ht="15" hidden="false" customHeight="false" outlineLevel="0" collapsed="false">
      <c r="A144" s="370"/>
      <c r="B144" s="370"/>
      <c r="C144" s="370"/>
      <c r="D144" s="370"/>
      <c r="E144" s="370"/>
      <c r="I144" s="7"/>
      <c r="J144" s="7"/>
      <c r="K144" s="7"/>
      <c r="L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row>
    <row r="145" customFormat="false" ht="15" hidden="false" customHeight="false" outlineLevel="0" collapsed="false">
      <c r="A145" s="370" t="s">
        <v>1243</v>
      </c>
      <c r="B145" s="370"/>
      <c r="C145" s="370"/>
      <c r="D145" s="370"/>
      <c r="E145" s="370"/>
      <c r="I145" s="7"/>
      <c r="J145" s="7"/>
      <c r="K145" s="7"/>
      <c r="L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row>
    <row r="146" customFormat="false" ht="15" hidden="false" customHeight="false" outlineLevel="0" collapsed="false">
      <c r="A146" s="370"/>
      <c r="B146" s="370"/>
      <c r="C146" s="370"/>
      <c r="D146" s="370"/>
      <c r="E146" s="370"/>
      <c r="I146" s="7"/>
      <c r="J146" s="7"/>
      <c r="K146" s="7"/>
      <c r="L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row>
    <row r="147" customFormat="false" ht="15" hidden="false" customHeight="false" outlineLevel="0" collapsed="false">
      <c r="A147" s="370"/>
      <c r="B147" s="370"/>
      <c r="C147" s="370"/>
      <c r="D147" s="370"/>
      <c r="E147" s="370"/>
      <c r="I147" s="7"/>
      <c r="J147" s="7"/>
      <c r="K147" s="7"/>
      <c r="L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row>
    <row r="148" customFormat="false" ht="15" hidden="false" customHeight="false" outlineLevel="0" collapsed="false">
      <c r="A148" s="351" t="s">
        <v>1244</v>
      </c>
      <c r="B148" s="351"/>
      <c r="C148" s="351"/>
      <c r="D148" s="351"/>
      <c r="E148" s="370"/>
      <c r="I148" s="7"/>
      <c r="J148" s="7"/>
      <c r="K148" s="7"/>
      <c r="L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row>
    <row r="149" customFormat="false" ht="22.7" hidden="false" customHeight="false" outlineLevel="0" collapsed="false">
      <c r="A149" s="352" t="s">
        <v>1209</v>
      </c>
      <c r="B149" s="353" t="s">
        <v>1210</v>
      </c>
      <c r="C149" s="353" t="s">
        <v>1211</v>
      </c>
      <c r="D149" s="353" t="s">
        <v>1212</v>
      </c>
      <c r="E149" s="370"/>
      <c r="I149" s="7"/>
      <c r="J149" s="7"/>
      <c r="K149" s="7"/>
      <c r="L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row>
    <row r="150" customFormat="false" ht="15" hidden="false" customHeight="false" outlineLevel="0" collapsed="false">
      <c r="A150" s="355" t="s">
        <v>1214</v>
      </c>
      <c r="B150" s="356" t="n">
        <v>170</v>
      </c>
      <c r="C150" s="364" t="n">
        <v>33.0820364923747</v>
      </c>
      <c r="D150" s="364" t="n">
        <v>41.0507022168154</v>
      </c>
      <c r="E150" s="370"/>
      <c r="I150" s="7"/>
      <c r="J150" s="7"/>
      <c r="K150" s="7"/>
      <c r="L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row>
    <row r="151" customFormat="false" ht="15" hidden="false" customHeight="false" outlineLevel="0" collapsed="false">
      <c r="A151" s="355" t="s">
        <v>1215</v>
      </c>
      <c r="B151" s="356" t="n">
        <v>40</v>
      </c>
      <c r="C151" s="364" t="n">
        <v>55.9153370949074</v>
      </c>
      <c r="D151" s="364" t="n">
        <v>60.4490130755756</v>
      </c>
      <c r="E151" s="370"/>
      <c r="I151" s="7"/>
      <c r="J151" s="7"/>
      <c r="K151" s="7"/>
      <c r="L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row>
    <row r="152" customFormat="false" ht="15" hidden="false" customHeight="false" outlineLevel="0" collapsed="false">
      <c r="A152" s="355" t="s">
        <v>1236</v>
      </c>
      <c r="B152" s="356" t="n">
        <v>90</v>
      </c>
      <c r="C152" s="364" t="n">
        <v>8.46587461419753</v>
      </c>
      <c r="D152" s="364" t="n">
        <v>9.17986403949129</v>
      </c>
      <c r="E152" s="370"/>
      <c r="I152" s="7"/>
      <c r="J152" s="7"/>
      <c r="K152" s="7"/>
      <c r="L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row>
    <row r="153" customFormat="false" ht="22.7" hidden="false" customHeight="false" outlineLevel="0" collapsed="false">
      <c r="A153" s="357" t="s">
        <v>1217</v>
      </c>
      <c r="B153" s="356" t="n">
        <v>85</v>
      </c>
      <c r="C153" s="364" t="n">
        <v>34.1697004357298</v>
      </c>
      <c r="D153" s="364" t="n">
        <v>39.2489802302302</v>
      </c>
      <c r="E153" s="370"/>
      <c r="I153" s="7"/>
      <c r="J153" s="7"/>
      <c r="K153" s="7"/>
      <c r="L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row>
    <row r="154" customFormat="false" ht="15" hidden="false" customHeight="false" outlineLevel="0" collapsed="false">
      <c r="A154" s="355" t="s">
        <v>1218</v>
      </c>
      <c r="B154" s="356" t="n">
        <v>105</v>
      </c>
      <c r="C154" s="364" t="n">
        <v>68.0993992504409</v>
      </c>
      <c r="D154" s="364" t="n">
        <v>76.0684778861308</v>
      </c>
      <c r="E154" s="370"/>
      <c r="I154" s="7"/>
      <c r="J154" s="7"/>
      <c r="K154" s="7"/>
      <c r="L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row>
    <row r="155" customFormat="false" ht="15" hidden="false" customHeight="false" outlineLevel="0" collapsed="false">
      <c r="A155" s="358" t="s">
        <v>1199</v>
      </c>
      <c r="B155" s="359" t="n">
        <v>490</v>
      </c>
      <c r="C155" s="369" t="n">
        <v>38.1170405328799</v>
      </c>
      <c r="D155" s="369" t="n">
        <v>43.9467055555556</v>
      </c>
      <c r="E155" s="370"/>
      <c r="I155" s="7"/>
      <c r="J155" s="7"/>
      <c r="K155" s="7"/>
      <c r="L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row>
    <row r="156" customFormat="false" ht="15" hidden="false" customHeight="false" outlineLevel="0" collapsed="false">
      <c r="A156" s="370"/>
      <c r="B156" s="370"/>
      <c r="C156" s="370"/>
      <c r="D156" s="370"/>
      <c r="E156" s="370"/>
      <c r="I156" s="7"/>
      <c r="J156" s="7"/>
      <c r="K156" s="7"/>
      <c r="L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row>
    <row r="157" customFormat="false" ht="15" hidden="false" customHeight="false" outlineLevel="0" collapsed="false">
      <c r="A157" s="370" t="s">
        <v>1245</v>
      </c>
      <c r="B157" s="370"/>
      <c r="C157" s="370"/>
      <c r="D157" s="370"/>
      <c r="E157" s="370"/>
      <c r="I157" s="7"/>
      <c r="J157" s="7"/>
      <c r="K157" s="7"/>
      <c r="L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row>
    <row r="158" customFormat="false" ht="15" hidden="false" customHeight="false" outlineLevel="0" collapsed="false">
      <c r="A158" s="370"/>
      <c r="B158" s="370"/>
      <c r="C158" s="370"/>
      <c r="D158" s="370"/>
      <c r="E158" s="370"/>
      <c r="I158" s="7"/>
      <c r="J158" s="7"/>
      <c r="K158" s="7"/>
      <c r="L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row>
    <row r="159" customFormat="false" ht="15" hidden="false" customHeight="false" outlineLevel="0" collapsed="false">
      <c r="A159" s="370"/>
      <c r="B159" s="370"/>
      <c r="C159" s="370"/>
      <c r="D159" s="370"/>
      <c r="E159" s="370"/>
      <c r="I159" s="7"/>
      <c r="J159" s="7"/>
      <c r="K159" s="7"/>
      <c r="L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row>
    <row r="160" customFormat="false" ht="15" hidden="false" customHeight="false" outlineLevel="0" collapsed="false">
      <c r="A160" s="351" t="s">
        <v>1246</v>
      </c>
      <c r="B160" s="351"/>
      <c r="C160" s="351"/>
      <c r="D160" s="351"/>
      <c r="E160" s="370"/>
      <c r="I160" s="7"/>
      <c r="J160" s="7"/>
      <c r="K160" s="7"/>
      <c r="L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row>
    <row r="161" customFormat="false" ht="22.7" hidden="false" customHeight="false" outlineLevel="0" collapsed="false">
      <c r="A161" s="352" t="s">
        <v>1209</v>
      </c>
      <c r="B161" s="353" t="s">
        <v>1210</v>
      </c>
      <c r="C161" s="353" t="s">
        <v>1211</v>
      </c>
      <c r="D161" s="353" t="s">
        <v>1212</v>
      </c>
      <c r="E161" s="370"/>
      <c r="I161" s="7"/>
      <c r="J161" s="7"/>
      <c r="K161" s="7"/>
      <c r="L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row>
    <row r="162" customFormat="false" ht="15" hidden="false" customHeight="false" outlineLevel="0" collapsed="false">
      <c r="A162" s="355" t="s">
        <v>1214</v>
      </c>
      <c r="B162" s="356" t="n">
        <v>162</v>
      </c>
      <c r="C162" s="364" t="n">
        <v>35.07</v>
      </c>
      <c r="D162" s="364" t="n">
        <v>50.28</v>
      </c>
      <c r="E162" s="370"/>
      <c r="I162" s="7"/>
      <c r="J162" s="7"/>
      <c r="K162" s="7"/>
      <c r="L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row>
    <row r="163" customFormat="false" ht="15" hidden="false" customHeight="false" outlineLevel="0" collapsed="false">
      <c r="A163" s="355" t="s">
        <v>1215</v>
      </c>
      <c r="B163" s="356" t="n">
        <v>45</v>
      </c>
      <c r="C163" s="364" t="n">
        <v>86.56</v>
      </c>
      <c r="D163" s="364" t="n">
        <v>114.57</v>
      </c>
      <c r="E163" s="370"/>
      <c r="I163" s="7"/>
      <c r="J163" s="7"/>
      <c r="K163" s="7"/>
      <c r="L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row>
    <row r="164" customFormat="false" ht="15" hidden="false" customHeight="false" outlineLevel="0" collapsed="false">
      <c r="A164" s="355" t="s">
        <v>1236</v>
      </c>
      <c r="B164" s="356" t="n">
        <v>131</v>
      </c>
      <c r="C164" s="364" t="n">
        <v>11.53</v>
      </c>
      <c r="D164" s="364" t="n">
        <v>14.39</v>
      </c>
      <c r="E164" s="370"/>
      <c r="I164" s="7"/>
      <c r="J164" s="7"/>
      <c r="K164" s="7"/>
      <c r="L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row>
    <row r="165" customFormat="false" ht="22.7" hidden="false" customHeight="false" outlineLevel="0" collapsed="false">
      <c r="A165" s="357" t="s">
        <v>1217</v>
      </c>
      <c r="B165" s="356" t="n">
        <v>106</v>
      </c>
      <c r="C165" s="364" t="n">
        <v>19.5</v>
      </c>
      <c r="D165" s="364" t="n">
        <v>24.61</v>
      </c>
      <c r="E165" s="370"/>
      <c r="I165" s="7"/>
      <c r="J165" s="7"/>
      <c r="K165" s="7"/>
      <c r="L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row>
    <row r="166" customFormat="false" ht="15" hidden="false" customHeight="false" outlineLevel="0" collapsed="false">
      <c r="A166" s="355" t="s">
        <v>1218</v>
      </c>
      <c r="B166" s="356" t="n">
        <v>122</v>
      </c>
      <c r="C166" s="364" t="n">
        <v>94.72</v>
      </c>
      <c r="D166" s="364" t="n">
        <v>120.38</v>
      </c>
      <c r="E166" s="370"/>
      <c r="I166" s="7"/>
      <c r="J166" s="7"/>
      <c r="K166" s="7"/>
      <c r="L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row>
    <row r="167" customFormat="false" ht="15" hidden="false" customHeight="false" outlineLevel="0" collapsed="false">
      <c r="A167" s="358" t="s">
        <v>1199</v>
      </c>
      <c r="B167" s="359" t="n">
        <v>566</v>
      </c>
      <c r="C167" s="369" t="n">
        <v>49.48</v>
      </c>
      <c r="D167" s="369" t="n">
        <v>64.85</v>
      </c>
      <c r="E167" s="370"/>
      <c r="I167" s="7"/>
      <c r="J167" s="7"/>
      <c r="K167" s="7"/>
      <c r="L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row>
    <row r="168" customFormat="false" ht="15" hidden="false" customHeight="false" outlineLevel="0" collapsed="false">
      <c r="A168" s="370"/>
      <c r="B168" s="370"/>
      <c r="C168" s="370"/>
      <c r="D168" s="370"/>
      <c r="E168" s="370"/>
      <c r="I168" s="7"/>
      <c r="J168" s="7"/>
      <c r="K168" s="7"/>
      <c r="L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row>
    <row r="169" customFormat="false" ht="15" hidden="false" customHeight="false" outlineLevel="0" collapsed="false">
      <c r="A169" s="370" t="s">
        <v>1247</v>
      </c>
      <c r="B169" s="370"/>
      <c r="C169" s="370"/>
      <c r="D169" s="370"/>
      <c r="E169" s="370"/>
      <c r="I169" s="7"/>
      <c r="J169" s="7"/>
      <c r="K169" s="7"/>
      <c r="L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row>
    <row r="170" customFormat="false" ht="15" hidden="false" customHeight="false" outlineLevel="0" collapsed="false">
      <c r="A170" s="370"/>
      <c r="B170" s="370"/>
      <c r="C170" s="370"/>
      <c r="D170" s="370"/>
      <c r="E170" s="370"/>
      <c r="I170" s="7"/>
      <c r="J170" s="7"/>
      <c r="K170" s="7"/>
      <c r="L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row>
    <row r="171" customFormat="false" ht="15" hidden="false" customHeight="false" outlineLevel="0" collapsed="false">
      <c r="A171" s="370"/>
    </row>
    <row r="172" customFormat="false" ht="15" hidden="false" customHeight="false" outlineLevel="0" collapsed="false">
      <c r="A172" s="371" t="s">
        <v>1248</v>
      </c>
      <c r="B172" s="371"/>
      <c r="C172" s="371"/>
      <c r="D172" s="371"/>
    </row>
    <row r="173" customFormat="false" ht="22.7" hidden="false" customHeight="false" outlineLevel="0" collapsed="false">
      <c r="A173" s="372" t="s">
        <v>1209</v>
      </c>
      <c r="B173" s="373" t="s">
        <v>1210</v>
      </c>
      <c r="C173" s="373" t="s">
        <v>1211</v>
      </c>
      <c r="D173" s="373" t="s">
        <v>1212</v>
      </c>
    </row>
    <row r="174" customFormat="false" ht="15" hidden="false" customHeight="false" outlineLevel="0" collapsed="false">
      <c r="A174" s="374" t="s">
        <v>1214</v>
      </c>
      <c r="B174" s="375" t="n">
        <v>208</v>
      </c>
      <c r="C174" s="376" t="n">
        <v>35.0996038105413</v>
      </c>
      <c r="D174" s="376" t="n">
        <v>45.0661579789666</v>
      </c>
    </row>
    <row r="175" customFormat="false" ht="15" hidden="false" customHeight="false" outlineLevel="0" collapsed="false">
      <c r="A175" s="374" t="s">
        <v>1215</v>
      </c>
      <c r="B175" s="375" t="n">
        <v>33</v>
      </c>
      <c r="C175" s="376" t="n">
        <v>87.8829773428732</v>
      </c>
      <c r="D175" s="376" t="n">
        <v>107.412527863512</v>
      </c>
    </row>
    <row r="176" customFormat="false" ht="15" hidden="false" customHeight="false" outlineLevel="0" collapsed="false">
      <c r="A176" s="374" t="s">
        <v>1236</v>
      </c>
      <c r="B176" s="375" t="n">
        <v>72</v>
      </c>
      <c r="C176" s="376" t="n">
        <v>18.8543351337449</v>
      </c>
      <c r="D176" s="376" t="n">
        <v>24.6820387205387</v>
      </c>
    </row>
    <row r="177" customFormat="false" ht="22.7" hidden="false" customHeight="false" outlineLevel="0" collapsed="false">
      <c r="A177" s="377" t="s">
        <v>1217</v>
      </c>
      <c r="B177" s="375" t="n">
        <v>111</v>
      </c>
      <c r="C177" s="376" t="n">
        <v>30.5048091841842</v>
      </c>
      <c r="D177" s="376" t="n">
        <v>34.2023618125701</v>
      </c>
    </row>
    <row r="178" customFormat="false" ht="15" hidden="false" customHeight="false" outlineLevel="0" collapsed="false">
      <c r="A178" s="374" t="s">
        <v>1218</v>
      </c>
      <c r="B178" s="375" t="n">
        <v>161</v>
      </c>
      <c r="C178" s="376" t="n">
        <v>88.6313745111571</v>
      </c>
      <c r="D178" s="376" t="n">
        <v>113.251200764256</v>
      </c>
    </row>
    <row r="179" customFormat="false" ht="15" hidden="false" customHeight="false" outlineLevel="0" collapsed="false">
      <c r="A179" s="378" t="s">
        <v>1199</v>
      </c>
      <c r="B179" s="379" t="n">
        <v>585</v>
      </c>
      <c r="C179" s="380" t="n">
        <v>52.1946199965001</v>
      </c>
      <c r="D179" s="380" t="n">
        <v>64.9228574279687</v>
      </c>
    </row>
    <row r="181" customFormat="false" ht="15" hidden="false" customHeight="false" outlineLevel="0" collapsed="false">
      <c r="A181" s="381" t="s">
        <v>1249</v>
      </c>
      <c r="B181" s="382"/>
      <c r="C181" s="382"/>
      <c r="D181" s="382"/>
    </row>
    <row r="184" customFormat="false" ht="15" hidden="false" customHeight="false" outlineLevel="0" collapsed="false">
      <c r="A184" s="371" t="s">
        <v>1250</v>
      </c>
      <c r="B184" s="371"/>
      <c r="C184" s="371"/>
      <c r="D184" s="371"/>
    </row>
    <row r="185" customFormat="false" ht="22.7" hidden="false" customHeight="false" outlineLevel="0" collapsed="false">
      <c r="A185" s="372" t="s">
        <v>1209</v>
      </c>
      <c r="B185" s="373" t="s">
        <v>1210</v>
      </c>
      <c r="C185" s="373" t="s">
        <v>1211</v>
      </c>
      <c r="D185" s="373" t="s">
        <v>1212</v>
      </c>
    </row>
    <row r="186" customFormat="false" ht="15" hidden="false" customHeight="false" outlineLevel="0" collapsed="false">
      <c r="A186" s="374" t="s">
        <v>1214</v>
      </c>
      <c r="B186" s="375" t="n">
        <v>152</v>
      </c>
      <c r="C186" s="376" t="n">
        <v>39.7166447368421</v>
      </c>
      <c r="D186" s="376" t="n">
        <v>49.4830419892228</v>
      </c>
    </row>
    <row r="187" customFormat="false" ht="15" hidden="false" customHeight="false" outlineLevel="0" collapsed="false">
      <c r="A187" s="374" t="s">
        <v>1215</v>
      </c>
      <c r="B187" s="375" t="n">
        <v>26</v>
      </c>
      <c r="C187" s="376" t="n">
        <v>107.01135772792</v>
      </c>
      <c r="D187" s="376" t="n">
        <v>132.490252425044</v>
      </c>
    </row>
    <row r="188" customFormat="false" ht="15" hidden="false" customHeight="false" outlineLevel="0" collapsed="false">
      <c r="A188" s="374" t="s">
        <v>1236</v>
      </c>
      <c r="B188" s="375" t="n">
        <v>61</v>
      </c>
      <c r="C188" s="376" t="n">
        <v>23.1940626897389</v>
      </c>
      <c r="D188" s="376" t="n">
        <v>29.4757880015432</v>
      </c>
    </row>
    <row r="189" customFormat="false" ht="22.7" hidden="false" customHeight="false" outlineLevel="0" collapsed="false">
      <c r="A189" s="377" t="s">
        <v>1217</v>
      </c>
      <c r="B189" s="375" t="n">
        <v>97</v>
      </c>
      <c r="C189" s="376" t="n">
        <v>29.0049897384498</v>
      </c>
      <c r="D189" s="376" t="n">
        <v>34.7343704275263</v>
      </c>
    </row>
    <row r="190" customFormat="false" ht="15" hidden="false" customHeight="false" outlineLevel="0" collapsed="false">
      <c r="A190" s="374" t="s">
        <v>1218</v>
      </c>
      <c r="B190" s="375" t="n">
        <v>131</v>
      </c>
      <c r="C190" s="376" t="n">
        <v>116.813011556404</v>
      </c>
      <c r="D190" s="376" t="n">
        <v>141.689856610082</v>
      </c>
    </row>
    <row r="191" customFormat="false" ht="15" hidden="false" customHeight="false" outlineLevel="0" collapsed="false">
      <c r="A191" s="378" t="s">
        <v>1199</v>
      </c>
      <c r="B191" s="379" t="n">
        <v>467</v>
      </c>
      <c r="C191" s="380" t="n">
        <v>63.15</v>
      </c>
      <c r="D191" s="380" t="n">
        <v>77.57</v>
      </c>
    </row>
    <row r="193" customFormat="false" ht="15" hidden="false" customHeight="false" outlineLevel="0" collapsed="false">
      <c r="A193" s="381" t="s">
        <v>1251</v>
      </c>
      <c r="B193" s="382"/>
      <c r="C193" s="382"/>
      <c r="D193" s="382"/>
    </row>
    <row r="196" customFormat="false" ht="15" hidden="false" customHeight="false" outlineLevel="0" collapsed="false">
      <c r="A196" s="383" t="s">
        <v>1252</v>
      </c>
      <c r="B196" s="383"/>
      <c r="C196" s="383"/>
      <c r="D196" s="383"/>
      <c r="E196" s="383"/>
      <c r="F196" s="383"/>
      <c r="G196" s="383"/>
      <c r="H196" s="383"/>
      <c r="I196" s="7"/>
      <c r="J196" s="7"/>
      <c r="K196" s="7"/>
      <c r="L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row>
    <row r="197" customFormat="false" ht="15" hidden="false" customHeight="true" outlineLevel="0" collapsed="false">
      <c r="A197" s="384" t="s">
        <v>1253</v>
      </c>
      <c r="B197" s="384"/>
      <c r="C197" s="384"/>
      <c r="D197" s="384"/>
      <c r="E197" s="384"/>
      <c r="F197" s="384"/>
      <c r="G197" s="384"/>
      <c r="H197" s="384"/>
      <c r="I197" s="7"/>
      <c r="J197" s="7"/>
      <c r="K197" s="7"/>
      <c r="L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row>
    <row r="198" customFormat="false" ht="15" hidden="false" customHeight="false" outlineLevel="0" collapsed="false">
      <c r="I198" s="7"/>
      <c r="J198" s="7"/>
      <c r="K198" s="7"/>
      <c r="L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row>
    <row r="199" customFormat="false" ht="15" hidden="false" customHeight="false" outlineLevel="0" collapsed="false">
      <c r="A199" s="383" t="s">
        <v>1254</v>
      </c>
      <c r="B199" s="383"/>
      <c r="C199" s="383"/>
      <c r="D199" s="383"/>
      <c r="E199" s="383"/>
      <c r="F199" s="383"/>
      <c r="G199" s="383"/>
      <c r="H199" s="383"/>
      <c r="I199" s="7"/>
      <c r="J199" s="7"/>
      <c r="K199" s="7"/>
      <c r="L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row>
    <row r="200" customFormat="false" ht="195.45" hidden="false" customHeight="true" outlineLevel="0" collapsed="false">
      <c r="A200" s="385" t="s">
        <v>1255</v>
      </c>
      <c r="B200" s="385"/>
      <c r="C200" s="385"/>
      <c r="D200" s="385"/>
      <c r="E200" s="385"/>
      <c r="F200" s="385"/>
      <c r="G200" s="385"/>
      <c r="H200" s="385"/>
      <c r="I200" s="7"/>
      <c r="J200" s="7"/>
      <c r="K200" s="7"/>
      <c r="L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row>
    <row r="201" customFormat="false" ht="15" hidden="false" customHeight="false" outlineLevel="0" collapsed="false">
      <c r="A201" s="367"/>
      <c r="B201" s="367"/>
      <c r="C201" s="367"/>
      <c r="D201" s="367"/>
      <c r="E201" s="367"/>
      <c r="F201" s="367"/>
      <c r="G201" s="367"/>
      <c r="H201" s="367"/>
      <c r="I201" s="7"/>
      <c r="J201" s="7"/>
      <c r="K201" s="7"/>
      <c r="L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customFormat="false" ht="15" hidden="false" customHeight="false" outlineLevel="0" collapsed="false">
      <c r="A202" s="367"/>
      <c r="B202" s="367"/>
      <c r="C202" s="367"/>
      <c r="D202" s="367"/>
      <c r="E202" s="367"/>
      <c r="F202" s="367"/>
      <c r="G202" s="367"/>
      <c r="H202" s="367"/>
      <c r="I202" s="7"/>
      <c r="J202" s="7"/>
      <c r="K202" s="7"/>
      <c r="L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customFormat="false" ht="15" hidden="false" customHeight="false" outlineLevel="0" collapsed="false">
      <c r="A203" s="367"/>
      <c r="B203" s="367"/>
      <c r="C203" s="367"/>
      <c r="D203" s="367"/>
      <c r="E203" s="367"/>
      <c r="F203" s="367"/>
      <c r="G203" s="367"/>
      <c r="H203" s="367"/>
      <c r="I203" s="7"/>
      <c r="J203" s="7"/>
      <c r="K203" s="7"/>
      <c r="L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row>
    <row r="204" customFormat="false" ht="15" hidden="false" customHeight="false" outlineLevel="0" collapsed="false">
      <c r="A204" s="386"/>
      <c r="B204" s="386"/>
      <c r="C204" s="386"/>
      <c r="D204" s="386"/>
      <c r="E204" s="367"/>
      <c r="F204" s="367"/>
      <c r="G204" s="367"/>
      <c r="H204" s="367"/>
      <c r="I204" s="7"/>
      <c r="J204" s="7"/>
      <c r="K204" s="7"/>
      <c r="L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row>
    <row r="205" customFormat="false" ht="15" hidden="false" customHeight="false" outlineLevel="0" collapsed="false">
      <c r="A205" s="386"/>
      <c r="B205" s="386"/>
      <c r="C205" s="386"/>
      <c r="D205" s="386"/>
      <c r="E205" s="367"/>
      <c r="F205" s="367"/>
      <c r="G205" s="367"/>
      <c r="H205" s="367"/>
      <c r="I205" s="7"/>
      <c r="J205" s="7"/>
      <c r="K205" s="7"/>
      <c r="L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row>
    <row r="206" customFormat="false" ht="15" hidden="false" customHeight="false" outlineLevel="0" collapsed="false">
      <c r="A206" s="386"/>
      <c r="B206" s="386"/>
      <c r="C206" s="386"/>
      <c r="D206" s="386"/>
      <c r="E206" s="367"/>
      <c r="F206" s="367"/>
      <c r="G206" s="367"/>
      <c r="H206" s="367"/>
      <c r="I206" s="7"/>
      <c r="J206" s="7"/>
      <c r="K206" s="7"/>
      <c r="L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row>
    <row r="207" customFormat="false" ht="15" hidden="false" customHeight="false" outlineLevel="0" collapsed="false">
      <c r="A207" s="386"/>
      <c r="B207" s="386"/>
      <c r="C207" s="386"/>
      <c r="D207" s="386"/>
      <c r="E207" s="367"/>
      <c r="F207" s="367"/>
      <c r="G207" s="367"/>
      <c r="H207" s="367"/>
      <c r="I207" s="7"/>
      <c r="J207" s="7"/>
      <c r="K207" s="7"/>
      <c r="L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row>
    <row r="208" customFormat="false" ht="15" hidden="false" customHeight="false" outlineLevel="0" collapsed="false">
      <c r="A208" s="386"/>
      <c r="B208" s="386"/>
      <c r="C208" s="386"/>
      <c r="D208" s="386"/>
      <c r="E208" s="367"/>
      <c r="F208" s="367"/>
      <c r="G208" s="367"/>
      <c r="H208" s="367"/>
      <c r="I208" s="7"/>
      <c r="J208" s="7"/>
      <c r="K208" s="7"/>
      <c r="L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row>
    <row r="209" customFormat="false" ht="15" hidden="false" customHeight="false" outlineLevel="0" collapsed="false">
      <c r="A209" s="386"/>
      <c r="B209" s="386"/>
      <c r="C209" s="386"/>
      <c r="D209" s="386"/>
      <c r="E209" s="367"/>
      <c r="F209" s="367"/>
      <c r="G209" s="367"/>
      <c r="H209" s="367"/>
      <c r="I209" s="7"/>
      <c r="J209" s="7"/>
      <c r="K209" s="7"/>
      <c r="L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row>
    <row r="210" customFormat="false" ht="15" hidden="false" customHeight="false" outlineLevel="0" collapsed="false">
      <c r="A210" s="386"/>
      <c r="B210" s="386"/>
      <c r="C210" s="386"/>
      <c r="D210" s="386"/>
      <c r="E210" s="367"/>
      <c r="F210" s="367"/>
      <c r="G210" s="367"/>
      <c r="H210" s="367"/>
      <c r="I210" s="7"/>
      <c r="J210" s="7"/>
      <c r="K210" s="7"/>
      <c r="L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row>
    <row r="211" customFormat="false" ht="15" hidden="false" customHeight="false" outlineLevel="0" collapsed="false">
      <c r="A211" s="386"/>
      <c r="B211" s="386"/>
      <c r="C211" s="386"/>
      <c r="D211" s="386"/>
      <c r="E211" s="367"/>
      <c r="F211" s="367"/>
      <c r="G211" s="367"/>
      <c r="H211" s="367"/>
      <c r="I211" s="7"/>
      <c r="J211" s="7"/>
      <c r="K211" s="7"/>
      <c r="L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row>
    <row r="212" customFormat="false" ht="15" hidden="false" customHeight="false" outlineLevel="0" collapsed="false">
      <c r="A212" s="386"/>
      <c r="B212" s="386"/>
      <c r="C212" s="386"/>
      <c r="D212" s="386"/>
      <c r="E212" s="367"/>
      <c r="F212" s="367"/>
      <c r="G212" s="367"/>
      <c r="H212" s="367"/>
      <c r="I212" s="7"/>
      <c r="J212" s="7"/>
      <c r="K212" s="7"/>
      <c r="L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row>
    <row r="213" customFormat="false" ht="15" hidden="false" customHeight="false" outlineLevel="0" collapsed="false">
      <c r="A213" s="386"/>
      <c r="B213" s="386"/>
      <c r="C213" s="386"/>
      <c r="D213" s="386"/>
      <c r="E213" s="367"/>
      <c r="F213" s="367"/>
      <c r="G213" s="367"/>
      <c r="H213" s="367"/>
      <c r="I213" s="7"/>
      <c r="J213" s="7"/>
      <c r="K213" s="7"/>
      <c r="L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row>
    <row r="214" customFormat="false" ht="15" hidden="false" customHeight="false" outlineLevel="0" collapsed="false">
      <c r="A214" s="386"/>
      <c r="B214" s="386"/>
      <c r="C214" s="386"/>
      <c r="D214" s="386"/>
      <c r="E214" s="367"/>
      <c r="F214" s="367"/>
      <c r="G214" s="367"/>
      <c r="H214" s="367"/>
      <c r="I214" s="7"/>
      <c r="J214" s="7"/>
      <c r="K214" s="7"/>
      <c r="L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row>
    <row r="215" customFormat="false" ht="15" hidden="false" customHeight="false" outlineLevel="0" collapsed="false">
      <c r="A215" s="386"/>
      <c r="B215" s="386"/>
      <c r="C215" s="386"/>
      <c r="D215" s="386"/>
      <c r="E215" s="367"/>
      <c r="F215" s="367"/>
      <c r="G215" s="367"/>
      <c r="H215" s="367"/>
      <c r="I215" s="7"/>
      <c r="J215" s="7"/>
      <c r="K215" s="7"/>
      <c r="L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row>
    <row r="216" customFormat="false" ht="15" hidden="false" customHeight="false" outlineLevel="0" collapsed="false">
      <c r="A216" s="386"/>
      <c r="B216" s="386"/>
      <c r="C216" s="386"/>
      <c r="D216" s="386"/>
      <c r="E216" s="367"/>
      <c r="F216" s="367"/>
      <c r="G216" s="367"/>
      <c r="H216" s="367"/>
      <c r="I216" s="7"/>
      <c r="J216" s="7"/>
      <c r="K216" s="7"/>
      <c r="L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row>
    <row r="217" customFormat="false" ht="15" hidden="false" customHeight="false" outlineLevel="0" collapsed="false">
      <c r="A217" s="386"/>
      <c r="B217" s="386"/>
      <c r="C217" s="386"/>
      <c r="D217" s="386"/>
      <c r="E217" s="367"/>
      <c r="F217" s="367"/>
      <c r="G217" s="367"/>
      <c r="H217" s="367"/>
      <c r="I217" s="7"/>
      <c r="J217" s="7"/>
      <c r="K217" s="7"/>
      <c r="L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row>
    <row r="218" customFormat="false" ht="15" hidden="false" customHeight="false" outlineLevel="0" collapsed="false">
      <c r="A218" s="386"/>
      <c r="B218" s="386"/>
      <c r="C218" s="386"/>
      <c r="D218" s="386"/>
      <c r="E218" s="367"/>
      <c r="F218" s="367"/>
      <c r="G218" s="367"/>
      <c r="H218" s="367"/>
      <c r="I218" s="7"/>
      <c r="J218" s="7"/>
      <c r="K218" s="7"/>
      <c r="L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row>
    <row r="219" customFormat="false" ht="15" hidden="false" customHeight="false" outlineLevel="0" collapsed="false">
      <c r="A219" s="386"/>
      <c r="B219" s="386"/>
      <c r="C219" s="386"/>
      <c r="D219" s="386"/>
      <c r="E219" s="367"/>
      <c r="F219" s="367"/>
      <c r="G219" s="367"/>
      <c r="H219" s="367"/>
      <c r="I219" s="7"/>
      <c r="J219" s="7"/>
      <c r="K219" s="7"/>
      <c r="L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row>
    <row r="220" customFormat="false" ht="15" hidden="false" customHeight="false" outlineLevel="0" collapsed="false">
      <c r="A220" s="386"/>
      <c r="B220" s="386"/>
      <c r="C220" s="386"/>
      <c r="D220" s="386"/>
      <c r="E220" s="367"/>
      <c r="F220" s="367"/>
      <c r="G220" s="367"/>
      <c r="H220" s="367"/>
      <c r="I220" s="7"/>
      <c r="J220" s="7"/>
      <c r="K220" s="7"/>
      <c r="L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row>
    <row r="221" customFormat="false" ht="15" hidden="false" customHeight="false" outlineLevel="0" collapsed="false">
      <c r="A221" s="386"/>
      <c r="B221" s="386"/>
      <c r="C221" s="386"/>
      <c r="D221" s="386"/>
      <c r="E221" s="367"/>
      <c r="F221" s="367"/>
      <c r="G221" s="367"/>
      <c r="H221" s="367"/>
      <c r="I221" s="7"/>
      <c r="J221" s="7"/>
      <c r="K221" s="7"/>
      <c r="L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row>
    <row r="222" customFormat="false" ht="15" hidden="false" customHeight="false" outlineLevel="0" collapsed="false">
      <c r="A222" s="386"/>
      <c r="B222" s="386"/>
      <c r="C222" s="386"/>
      <c r="D222" s="386"/>
      <c r="E222" s="367"/>
      <c r="F222" s="367"/>
      <c r="G222" s="367"/>
      <c r="H222" s="367"/>
      <c r="I222" s="7"/>
      <c r="J222" s="7"/>
      <c r="K222" s="7"/>
      <c r="L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row>
    <row r="223" customFormat="false" ht="15" hidden="false" customHeight="false" outlineLevel="0" collapsed="false">
      <c r="A223" s="386"/>
      <c r="B223" s="386"/>
      <c r="C223" s="386"/>
      <c r="D223" s="386"/>
      <c r="E223" s="367"/>
      <c r="F223" s="367"/>
      <c r="G223" s="367"/>
      <c r="H223" s="367"/>
      <c r="I223" s="7"/>
      <c r="J223" s="7"/>
      <c r="K223" s="7"/>
      <c r="L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row>
    <row r="224" customFormat="false" ht="15" hidden="false" customHeight="false" outlineLevel="0" collapsed="false">
      <c r="A224" s="386"/>
      <c r="B224" s="386"/>
      <c r="C224" s="386"/>
      <c r="D224" s="386"/>
      <c r="E224" s="367"/>
      <c r="F224" s="367"/>
      <c r="G224" s="367"/>
      <c r="H224" s="367"/>
      <c r="I224" s="7"/>
      <c r="J224" s="7"/>
      <c r="K224" s="7"/>
      <c r="L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row>
    <row r="225" customFormat="false" ht="15" hidden="false" customHeight="false" outlineLevel="0" collapsed="false">
      <c r="A225" s="386"/>
      <c r="B225" s="386"/>
      <c r="C225" s="386"/>
      <c r="D225" s="386"/>
      <c r="E225" s="367"/>
      <c r="F225" s="367"/>
      <c r="G225" s="367"/>
      <c r="H225" s="367"/>
      <c r="I225" s="7"/>
      <c r="J225" s="7"/>
      <c r="K225" s="7"/>
      <c r="L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row>
    <row r="226" customFormat="false" ht="15" hidden="false" customHeight="false" outlineLevel="0" collapsed="false">
      <c r="A226" s="386"/>
      <c r="B226" s="386"/>
      <c r="C226" s="386"/>
      <c r="D226" s="386"/>
      <c r="E226" s="367"/>
      <c r="F226" s="367"/>
      <c r="G226" s="367"/>
      <c r="H226" s="367"/>
      <c r="I226" s="7"/>
      <c r="J226" s="7"/>
      <c r="K226" s="7"/>
      <c r="L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row>
    <row r="227" customFormat="false" ht="15" hidden="false" customHeight="false" outlineLevel="0" collapsed="false">
      <c r="A227" s="386"/>
      <c r="B227" s="386"/>
      <c r="C227" s="386"/>
      <c r="D227" s="386"/>
      <c r="E227" s="367"/>
      <c r="F227" s="367"/>
      <c r="G227" s="367"/>
      <c r="H227" s="367"/>
      <c r="I227" s="7"/>
      <c r="J227" s="7"/>
      <c r="K227" s="7"/>
      <c r="L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row>
    <row r="228" customFormat="false" ht="15" hidden="false" customHeight="false" outlineLevel="0" collapsed="false">
      <c r="A228" s="386"/>
      <c r="B228" s="386"/>
      <c r="C228" s="386"/>
      <c r="D228" s="386"/>
      <c r="E228" s="367"/>
      <c r="F228" s="367"/>
      <c r="G228" s="367"/>
      <c r="H228" s="367"/>
      <c r="I228" s="7"/>
      <c r="J228" s="7"/>
      <c r="K228" s="7"/>
      <c r="L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row>
    <row r="229" customFormat="false" ht="15" hidden="false" customHeight="false" outlineLevel="0" collapsed="false">
      <c r="A229" s="386"/>
      <c r="B229" s="386"/>
      <c r="C229" s="386"/>
      <c r="D229" s="386"/>
      <c r="E229" s="367"/>
      <c r="F229" s="367"/>
      <c r="G229" s="367"/>
      <c r="H229" s="367"/>
      <c r="I229" s="7"/>
      <c r="J229" s="7"/>
      <c r="K229" s="7"/>
      <c r="L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row>
    <row r="230" customFormat="false" ht="15" hidden="false" customHeight="false" outlineLevel="0" collapsed="false">
      <c r="A230" s="386"/>
      <c r="B230" s="386"/>
      <c r="C230" s="386"/>
      <c r="D230" s="386"/>
      <c r="E230" s="367"/>
      <c r="F230" s="367"/>
      <c r="G230" s="367"/>
      <c r="H230" s="367"/>
      <c r="I230" s="7"/>
      <c r="J230" s="7"/>
      <c r="K230" s="7"/>
      <c r="L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row>
    <row r="231" customFormat="false" ht="15" hidden="false" customHeight="false" outlineLevel="0" collapsed="false">
      <c r="A231" s="386"/>
      <c r="B231" s="386"/>
      <c r="C231" s="386"/>
      <c r="D231" s="386"/>
      <c r="E231" s="367"/>
      <c r="F231" s="367"/>
      <c r="G231" s="367"/>
      <c r="H231" s="367"/>
      <c r="I231" s="7"/>
      <c r="J231" s="7"/>
      <c r="K231" s="7"/>
      <c r="L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row>
    <row r="232" customFormat="false" ht="15" hidden="false" customHeight="false" outlineLevel="0" collapsed="false">
      <c r="A232" s="386"/>
      <c r="B232" s="386"/>
      <c r="C232" s="386"/>
      <c r="D232" s="386"/>
      <c r="E232" s="367"/>
      <c r="F232" s="367"/>
      <c r="G232" s="367"/>
      <c r="H232" s="367"/>
      <c r="I232" s="7"/>
      <c r="J232" s="7"/>
      <c r="K232" s="7"/>
      <c r="L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row>
    <row r="233" customFormat="false" ht="15" hidden="false" customHeight="false" outlineLevel="0" collapsed="false">
      <c r="A233" s="386"/>
      <c r="B233" s="386"/>
      <c r="C233" s="386"/>
      <c r="D233" s="386"/>
      <c r="E233" s="367"/>
      <c r="F233" s="367"/>
      <c r="G233" s="367"/>
      <c r="H233" s="367"/>
      <c r="I233" s="7"/>
      <c r="J233" s="7"/>
      <c r="K233" s="7"/>
      <c r="L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row>
    <row r="234" customFormat="false" ht="15" hidden="false" customHeight="false" outlineLevel="0" collapsed="false">
      <c r="A234" s="386"/>
      <c r="B234" s="386"/>
      <c r="C234" s="386"/>
      <c r="D234" s="386"/>
      <c r="E234" s="367"/>
      <c r="F234" s="367"/>
      <c r="G234" s="367"/>
      <c r="H234" s="367"/>
      <c r="I234" s="7"/>
      <c r="J234" s="7"/>
      <c r="K234" s="7"/>
      <c r="L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row>
    <row r="235" customFormat="false" ht="15" hidden="false" customHeight="false" outlineLevel="0" collapsed="false">
      <c r="A235" s="386"/>
      <c r="B235" s="386"/>
      <c r="C235" s="386"/>
      <c r="D235" s="386"/>
      <c r="E235" s="367"/>
      <c r="F235" s="367"/>
      <c r="G235" s="367"/>
      <c r="H235" s="367"/>
      <c r="I235" s="7"/>
      <c r="J235" s="7"/>
      <c r="K235" s="7"/>
      <c r="L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row>
    <row r="236" customFormat="false" ht="15" hidden="false" customHeight="false" outlineLevel="0" collapsed="false">
      <c r="A236" s="386"/>
      <c r="B236" s="386"/>
      <c r="C236" s="386"/>
      <c r="D236" s="386"/>
      <c r="E236" s="367"/>
      <c r="F236" s="367"/>
      <c r="G236" s="367"/>
      <c r="H236" s="367"/>
      <c r="I236" s="7"/>
      <c r="J236" s="7"/>
      <c r="K236" s="7"/>
      <c r="L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row>
    <row r="237" customFormat="false" ht="15" hidden="false" customHeight="false" outlineLevel="0" collapsed="false">
      <c r="A237" s="386"/>
      <c r="B237" s="386"/>
      <c r="C237" s="386"/>
      <c r="D237" s="386"/>
      <c r="E237" s="367"/>
      <c r="F237" s="367"/>
      <c r="G237" s="367"/>
      <c r="H237" s="367"/>
      <c r="I237" s="7"/>
      <c r="J237" s="7"/>
      <c r="K237" s="7"/>
      <c r="L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row>
    <row r="238" customFormat="false" ht="15" hidden="false" customHeight="false" outlineLevel="0" collapsed="false">
      <c r="A238" s="386"/>
      <c r="B238" s="386"/>
      <c r="C238" s="386"/>
      <c r="D238" s="386"/>
      <c r="E238" s="367"/>
      <c r="F238" s="367"/>
      <c r="G238" s="367"/>
      <c r="H238" s="367"/>
      <c r="I238" s="7"/>
      <c r="J238" s="7"/>
      <c r="K238" s="7"/>
      <c r="L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row>
    <row r="239" customFormat="false" ht="15" hidden="false" customHeight="false" outlineLevel="0" collapsed="false">
      <c r="A239" s="386"/>
      <c r="B239" s="386"/>
      <c r="C239" s="386"/>
      <c r="D239" s="386"/>
      <c r="E239" s="367"/>
      <c r="F239" s="367"/>
      <c r="G239" s="367"/>
      <c r="H239" s="367"/>
      <c r="I239" s="7"/>
      <c r="J239" s="7"/>
      <c r="K239" s="7"/>
      <c r="L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row>
    <row r="240" customFormat="false" ht="15" hidden="false" customHeight="false" outlineLevel="0" collapsed="false">
      <c r="A240" s="386"/>
      <c r="B240" s="386"/>
      <c r="C240" s="386"/>
      <c r="D240" s="386"/>
      <c r="E240" s="367"/>
      <c r="F240" s="367"/>
      <c r="G240" s="367"/>
      <c r="H240" s="367"/>
      <c r="I240" s="7"/>
      <c r="J240" s="7"/>
      <c r="K240" s="7"/>
      <c r="L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row>
    <row r="241" customFormat="false" ht="15" hidden="false" customHeight="false" outlineLevel="0" collapsed="false">
      <c r="A241" s="386"/>
      <c r="B241" s="386"/>
      <c r="C241" s="386"/>
      <c r="D241" s="386"/>
      <c r="E241" s="367"/>
      <c r="F241" s="367"/>
      <c r="G241" s="367"/>
      <c r="H241" s="367"/>
      <c r="I241" s="7"/>
      <c r="J241" s="7"/>
      <c r="K241" s="7"/>
      <c r="L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row>
    <row r="242" customFormat="false" ht="15" hidden="false" customHeight="false" outlineLevel="0" collapsed="false">
      <c r="A242" s="386"/>
      <c r="B242" s="386"/>
      <c r="C242" s="386"/>
      <c r="D242" s="386"/>
      <c r="E242" s="367"/>
      <c r="F242" s="367"/>
      <c r="G242" s="367"/>
      <c r="H242" s="367"/>
      <c r="I242" s="7"/>
      <c r="J242" s="7"/>
      <c r="K242" s="7"/>
      <c r="L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row>
    <row r="243" customFormat="false" ht="15" hidden="false" customHeight="false" outlineLevel="0" collapsed="false">
      <c r="A243" s="386"/>
      <c r="B243" s="386"/>
      <c r="C243" s="386"/>
      <c r="D243" s="386"/>
      <c r="E243" s="367"/>
      <c r="F243" s="367"/>
      <c r="G243" s="367"/>
      <c r="H243" s="367"/>
      <c r="I243" s="7"/>
      <c r="J243" s="7"/>
      <c r="K243" s="7"/>
      <c r="L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row>
    <row r="244" customFormat="false" ht="15" hidden="false" customHeight="false" outlineLevel="0" collapsed="false">
      <c r="A244" s="386"/>
      <c r="B244" s="386"/>
      <c r="C244" s="386"/>
      <c r="D244" s="386"/>
      <c r="E244" s="367"/>
      <c r="F244" s="367"/>
      <c r="G244" s="367"/>
      <c r="H244" s="367"/>
      <c r="I244" s="7"/>
      <c r="J244" s="7"/>
      <c r="K244" s="7"/>
      <c r="L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row>
    <row r="245" customFormat="false" ht="15" hidden="false" customHeight="false" outlineLevel="0" collapsed="false">
      <c r="A245" s="386"/>
      <c r="B245" s="386"/>
      <c r="C245" s="386"/>
      <c r="D245" s="386"/>
      <c r="E245" s="367"/>
      <c r="F245" s="367"/>
      <c r="G245" s="367"/>
      <c r="H245" s="367"/>
      <c r="I245" s="7"/>
      <c r="J245" s="7"/>
      <c r="K245" s="7"/>
      <c r="L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row>
    <row r="246" customFormat="false" ht="15" hidden="false" customHeight="false" outlineLevel="0" collapsed="false">
      <c r="A246" s="386"/>
      <c r="B246" s="386"/>
      <c r="C246" s="386"/>
      <c r="D246" s="386"/>
      <c r="E246" s="367"/>
      <c r="F246" s="367"/>
      <c r="G246" s="367"/>
      <c r="H246" s="367"/>
      <c r="I246" s="7"/>
      <c r="J246" s="7"/>
      <c r="K246" s="7"/>
      <c r="L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row>
    <row r="247" customFormat="false" ht="15" hidden="false" customHeight="false" outlineLevel="0" collapsed="false">
      <c r="A247" s="386"/>
      <c r="B247" s="386"/>
      <c r="C247" s="386"/>
      <c r="D247" s="386"/>
      <c r="E247" s="367"/>
      <c r="F247" s="367"/>
      <c r="G247" s="367"/>
      <c r="H247" s="367"/>
      <c r="I247" s="7"/>
      <c r="J247" s="7"/>
      <c r="K247" s="7"/>
      <c r="L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row>
    <row r="248" customFormat="false" ht="15" hidden="false" customHeight="false" outlineLevel="0" collapsed="false">
      <c r="A248" s="386"/>
      <c r="B248" s="386"/>
      <c r="C248" s="386"/>
      <c r="D248" s="386"/>
      <c r="E248" s="367"/>
      <c r="F248" s="367"/>
      <c r="G248" s="367"/>
      <c r="H248" s="367"/>
      <c r="I248" s="7"/>
      <c r="J248" s="7"/>
      <c r="K248" s="7"/>
      <c r="L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row>
    <row r="249" customFormat="false" ht="15" hidden="false" customHeight="false" outlineLevel="0" collapsed="false">
      <c r="A249" s="386"/>
      <c r="B249" s="386"/>
      <c r="C249" s="386"/>
      <c r="D249" s="386"/>
      <c r="E249" s="367"/>
      <c r="F249" s="367"/>
      <c r="G249" s="367"/>
      <c r="H249" s="367"/>
      <c r="I249" s="7"/>
      <c r="J249" s="7"/>
      <c r="K249" s="7"/>
      <c r="L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row>
    <row r="250" customFormat="false" ht="15" hidden="false" customHeight="false" outlineLevel="0" collapsed="false">
      <c r="A250" s="386"/>
      <c r="B250" s="386"/>
      <c r="C250" s="386"/>
      <c r="D250" s="386"/>
      <c r="E250" s="367"/>
      <c r="F250" s="367"/>
      <c r="G250" s="367"/>
      <c r="H250" s="367"/>
      <c r="I250" s="7"/>
      <c r="J250" s="7"/>
      <c r="K250" s="7"/>
      <c r="L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row>
    <row r="251" customFormat="false" ht="15" hidden="false" customHeight="false" outlineLevel="0" collapsed="false">
      <c r="A251" s="386"/>
      <c r="B251" s="386"/>
      <c r="C251" s="386"/>
      <c r="D251" s="386"/>
      <c r="E251" s="367"/>
      <c r="F251" s="367"/>
      <c r="G251" s="367"/>
      <c r="H251" s="367"/>
      <c r="I251" s="7"/>
      <c r="J251" s="7"/>
      <c r="K251" s="7"/>
      <c r="L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row>
    <row r="252" customFormat="false" ht="15" hidden="false" customHeight="false" outlineLevel="0" collapsed="false">
      <c r="A252" s="386"/>
      <c r="B252" s="386"/>
      <c r="C252" s="386"/>
      <c r="D252" s="386"/>
      <c r="E252" s="367"/>
      <c r="F252" s="367"/>
      <c r="G252" s="367"/>
      <c r="H252" s="367"/>
      <c r="I252" s="7"/>
      <c r="J252" s="7"/>
      <c r="K252" s="7"/>
      <c r="L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row>
    <row r="253" customFormat="false" ht="15" hidden="false" customHeight="false" outlineLevel="0" collapsed="false">
      <c r="A253" s="386"/>
      <c r="B253" s="386"/>
      <c r="C253" s="386"/>
      <c r="D253" s="386"/>
      <c r="E253" s="367"/>
      <c r="F253" s="367"/>
      <c r="G253" s="367"/>
      <c r="H253" s="367"/>
      <c r="I253" s="7"/>
      <c r="J253" s="7"/>
      <c r="K253" s="7"/>
      <c r="L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row>
    <row r="254" customFormat="false" ht="15" hidden="false" customHeight="false" outlineLevel="0" collapsed="false">
      <c r="A254" s="386"/>
      <c r="B254" s="386"/>
      <c r="C254" s="386"/>
      <c r="D254" s="386"/>
      <c r="E254" s="367"/>
      <c r="F254" s="367"/>
      <c r="G254" s="367"/>
      <c r="H254" s="367"/>
      <c r="I254" s="7"/>
      <c r="J254" s="7"/>
      <c r="K254" s="7"/>
      <c r="L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row>
    <row r="255" customFormat="false" ht="15" hidden="false" customHeight="false" outlineLevel="0" collapsed="false">
      <c r="A255" s="386"/>
      <c r="B255" s="386"/>
      <c r="C255" s="386"/>
      <c r="D255" s="386"/>
      <c r="E255" s="367"/>
      <c r="F255" s="367"/>
      <c r="G255" s="367"/>
      <c r="H255" s="367"/>
      <c r="I255" s="7"/>
      <c r="J255" s="7"/>
      <c r="K255" s="7"/>
      <c r="L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row>
    <row r="256" customFormat="false" ht="15" hidden="false" customHeight="false" outlineLevel="0" collapsed="false">
      <c r="A256" s="386"/>
      <c r="B256" s="386"/>
      <c r="C256" s="386"/>
      <c r="D256" s="386"/>
      <c r="E256" s="367"/>
      <c r="F256" s="367"/>
      <c r="G256" s="367"/>
      <c r="H256" s="367"/>
      <c r="I256" s="7"/>
      <c r="J256" s="7"/>
      <c r="K256" s="7"/>
      <c r="L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row>
    <row r="257" customFormat="false" ht="15" hidden="false" customHeight="false" outlineLevel="0" collapsed="false">
      <c r="A257" s="386"/>
      <c r="B257" s="386"/>
      <c r="C257" s="386"/>
      <c r="D257" s="386"/>
      <c r="E257" s="367"/>
      <c r="F257" s="367"/>
      <c r="G257" s="367"/>
      <c r="H257" s="367"/>
      <c r="I257" s="7"/>
      <c r="J257" s="7"/>
      <c r="K257" s="7"/>
      <c r="L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row>
    <row r="258" customFormat="false" ht="15" hidden="false" customHeight="false" outlineLevel="0" collapsed="false">
      <c r="A258" s="386"/>
      <c r="B258" s="386"/>
      <c r="C258" s="386"/>
      <c r="D258" s="386"/>
      <c r="E258" s="367"/>
      <c r="F258" s="367"/>
      <c r="G258" s="367"/>
      <c r="H258" s="367"/>
      <c r="I258" s="7"/>
      <c r="J258" s="7"/>
      <c r="K258" s="7"/>
      <c r="L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row>
    <row r="259" customFormat="false" ht="15" hidden="false" customHeight="false" outlineLevel="0" collapsed="false">
      <c r="A259" s="386"/>
      <c r="B259" s="386"/>
      <c r="C259" s="386"/>
      <c r="D259" s="386"/>
      <c r="E259" s="367"/>
      <c r="F259" s="367"/>
      <c r="G259" s="367"/>
      <c r="H259" s="367"/>
      <c r="I259" s="7"/>
      <c r="J259" s="7"/>
      <c r="K259" s="7"/>
      <c r="L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row>
    <row r="260" customFormat="false" ht="15" hidden="false" customHeight="false" outlineLevel="0" collapsed="false">
      <c r="A260" s="386"/>
      <c r="B260" s="386"/>
      <c r="C260" s="386"/>
      <c r="D260" s="386"/>
      <c r="E260" s="367"/>
      <c r="F260" s="367"/>
      <c r="G260" s="367"/>
      <c r="H260" s="367"/>
      <c r="I260" s="7"/>
      <c r="J260" s="7"/>
      <c r="K260" s="7"/>
      <c r="L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row>
    <row r="261" customFormat="false" ht="15" hidden="false" customHeight="false" outlineLevel="0" collapsed="false">
      <c r="A261" s="386"/>
      <c r="B261" s="386"/>
      <c r="C261" s="386"/>
      <c r="D261" s="386"/>
      <c r="E261" s="367"/>
      <c r="F261" s="367"/>
      <c r="G261" s="367"/>
      <c r="H261" s="367"/>
      <c r="I261" s="7"/>
      <c r="J261" s="7"/>
      <c r="K261" s="7"/>
      <c r="L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row>
    <row r="262" customFormat="false" ht="15" hidden="false" customHeight="false" outlineLevel="0" collapsed="false">
      <c r="A262" s="386"/>
      <c r="B262" s="386"/>
      <c r="C262" s="386"/>
      <c r="D262" s="386"/>
      <c r="E262" s="367"/>
      <c r="F262" s="367"/>
      <c r="G262" s="367"/>
      <c r="H262" s="367"/>
      <c r="I262" s="7"/>
      <c r="J262" s="7"/>
      <c r="K262" s="7"/>
      <c r="L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row>
    <row r="263" customFormat="false" ht="15" hidden="false" customHeight="false" outlineLevel="0" collapsed="false">
      <c r="A263" s="386"/>
      <c r="B263" s="386"/>
      <c r="C263" s="386"/>
      <c r="D263" s="386"/>
      <c r="E263" s="367"/>
      <c r="F263" s="367"/>
      <c r="G263" s="367"/>
      <c r="H263" s="367"/>
      <c r="I263" s="7"/>
      <c r="J263" s="7"/>
      <c r="K263" s="7"/>
      <c r="L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row>
    <row r="264" customFormat="false" ht="15" hidden="false" customHeight="false" outlineLevel="0" collapsed="false">
      <c r="A264" s="386"/>
      <c r="B264" s="386"/>
      <c r="C264" s="386"/>
      <c r="D264" s="386"/>
      <c r="E264" s="367"/>
      <c r="F264" s="367"/>
      <c r="G264" s="367"/>
      <c r="H264" s="367"/>
      <c r="I264" s="7"/>
      <c r="J264" s="7"/>
      <c r="K264" s="7"/>
      <c r="L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row>
    <row r="265" customFormat="false" ht="15" hidden="false" customHeight="false" outlineLevel="0" collapsed="false">
      <c r="A265" s="386"/>
      <c r="B265" s="386"/>
      <c r="C265" s="386"/>
      <c r="D265" s="386"/>
      <c r="E265" s="367"/>
      <c r="F265" s="367"/>
      <c r="G265" s="367"/>
      <c r="H265" s="367"/>
      <c r="I265" s="7"/>
      <c r="J265" s="7"/>
      <c r="K265" s="7"/>
      <c r="L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row>
    <row r="266" customFormat="false" ht="15" hidden="false" customHeight="false" outlineLevel="0" collapsed="false">
      <c r="A266" s="386"/>
      <c r="B266" s="386"/>
      <c r="C266" s="386"/>
      <c r="D266" s="386"/>
      <c r="E266" s="367"/>
      <c r="F266" s="367"/>
      <c r="G266" s="367"/>
      <c r="H266" s="367"/>
      <c r="I266" s="7"/>
      <c r="J266" s="7"/>
      <c r="K266" s="7"/>
      <c r="L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row>
    <row r="267" customFormat="false" ht="15" hidden="false" customHeight="false" outlineLevel="0" collapsed="false">
      <c r="A267" s="386"/>
      <c r="B267" s="386"/>
      <c r="C267" s="386"/>
      <c r="D267" s="386"/>
      <c r="E267" s="367"/>
      <c r="F267" s="367"/>
      <c r="G267" s="367"/>
      <c r="H267" s="367"/>
      <c r="I267" s="7"/>
      <c r="J267" s="7"/>
      <c r="K267" s="7"/>
      <c r="L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row>
    <row r="268" customFormat="false" ht="15" hidden="false" customHeight="false" outlineLevel="0" collapsed="false">
      <c r="A268" s="386"/>
      <c r="B268" s="386"/>
      <c r="C268" s="386"/>
      <c r="D268" s="386"/>
      <c r="E268" s="367"/>
      <c r="F268" s="367"/>
      <c r="G268" s="367"/>
      <c r="H268" s="367"/>
      <c r="I268" s="7"/>
      <c r="J268" s="7"/>
      <c r="K268" s="7"/>
      <c r="L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row>
    <row r="269" customFormat="false" ht="15" hidden="false" customHeight="false" outlineLevel="0" collapsed="false">
      <c r="A269" s="386"/>
      <c r="B269" s="386"/>
      <c r="C269" s="386"/>
      <c r="D269" s="386"/>
      <c r="E269" s="367"/>
      <c r="F269" s="367"/>
      <c r="G269" s="367"/>
      <c r="H269" s="367"/>
      <c r="I269" s="7"/>
      <c r="J269" s="7"/>
      <c r="K269" s="7"/>
      <c r="L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row>
    <row r="270" customFormat="false" ht="15" hidden="false" customHeight="false" outlineLevel="0" collapsed="false">
      <c r="A270" s="386"/>
      <c r="B270" s="386"/>
      <c r="C270" s="386"/>
      <c r="D270" s="386"/>
      <c r="E270" s="367"/>
      <c r="F270" s="367"/>
      <c r="G270" s="367"/>
      <c r="H270" s="367"/>
      <c r="I270" s="7"/>
      <c r="J270" s="7"/>
      <c r="K270" s="7"/>
      <c r="L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row>
    <row r="271" customFormat="false" ht="15" hidden="false" customHeight="false" outlineLevel="0" collapsed="false">
      <c r="A271" s="386"/>
      <c r="B271" s="386"/>
      <c r="C271" s="386"/>
      <c r="D271" s="386"/>
      <c r="E271" s="367"/>
      <c r="F271" s="367"/>
      <c r="G271" s="367"/>
      <c r="H271" s="367"/>
      <c r="I271" s="7"/>
      <c r="J271" s="7"/>
      <c r="K271" s="7"/>
      <c r="L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row>
    <row r="272" customFormat="false" ht="15" hidden="false" customHeight="false" outlineLevel="0" collapsed="false">
      <c r="A272" s="386"/>
      <c r="B272" s="386"/>
      <c r="C272" s="386"/>
      <c r="D272" s="386"/>
      <c r="E272" s="367"/>
      <c r="F272" s="367"/>
      <c r="G272" s="367"/>
      <c r="H272" s="367"/>
      <c r="I272" s="7"/>
      <c r="J272" s="7"/>
      <c r="K272" s="7"/>
      <c r="L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row>
    <row r="273" customFormat="false" ht="15" hidden="false" customHeight="false" outlineLevel="0" collapsed="false">
      <c r="A273" s="386"/>
      <c r="B273" s="386"/>
      <c r="C273" s="386"/>
      <c r="D273" s="386"/>
      <c r="E273" s="367"/>
      <c r="F273" s="367"/>
      <c r="G273" s="367"/>
      <c r="H273" s="367"/>
      <c r="I273" s="7"/>
      <c r="J273" s="7"/>
      <c r="K273" s="7"/>
      <c r="L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row>
    <row r="274" customFormat="false" ht="15" hidden="false" customHeight="false" outlineLevel="0" collapsed="false">
      <c r="A274" s="386"/>
      <c r="B274" s="386"/>
      <c r="C274" s="386"/>
      <c r="D274" s="386"/>
      <c r="E274" s="367"/>
      <c r="F274" s="367"/>
      <c r="G274" s="367"/>
      <c r="H274" s="367"/>
      <c r="I274" s="7"/>
      <c r="J274" s="7"/>
      <c r="K274" s="7"/>
      <c r="L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row>
    <row r="275" customFormat="false" ht="15" hidden="false" customHeight="false" outlineLevel="0" collapsed="false">
      <c r="A275" s="386"/>
      <c r="B275" s="386"/>
      <c r="C275" s="386"/>
      <c r="D275" s="386"/>
      <c r="E275" s="367"/>
      <c r="F275" s="367"/>
      <c r="G275" s="367"/>
      <c r="H275" s="367"/>
      <c r="I275" s="7"/>
      <c r="J275" s="7"/>
      <c r="K275" s="7"/>
      <c r="L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row>
    <row r="276" customFormat="false" ht="15" hidden="false" customHeight="false" outlineLevel="0" collapsed="false">
      <c r="A276" s="386"/>
      <c r="B276" s="386"/>
      <c r="C276" s="386"/>
      <c r="D276" s="386"/>
      <c r="E276" s="367"/>
      <c r="F276" s="367"/>
      <c r="G276" s="367"/>
      <c r="H276" s="367"/>
      <c r="I276" s="7"/>
      <c r="J276" s="7"/>
      <c r="K276" s="7"/>
      <c r="L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row>
    <row r="277" customFormat="false" ht="15" hidden="false" customHeight="false" outlineLevel="0" collapsed="false">
      <c r="A277" s="386"/>
      <c r="B277" s="386"/>
      <c r="C277" s="386"/>
      <c r="D277" s="386"/>
      <c r="E277" s="367"/>
      <c r="F277" s="367"/>
      <c r="G277" s="367"/>
      <c r="H277" s="367"/>
      <c r="I277" s="7"/>
      <c r="J277" s="7"/>
      <c r="K277" s="7"/>
      <c r="L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row>
    <row r="278" customFormat="false" ht="15" hidden="false" customHeight="false" outlineLevel="0" collapsed="false">
      <c r="A278" s="386"/>
      <c r="B278" s="386"/>
      <c r="C278" s="386"/>
      <c r="D278" s="386"/>
      <c r="E278" s="367"/>
      <c r="F278" s="367"/>
      <c r="G278" s="367"/>
      <c r="H278" s="367"/>
      <c r="I278" s="7"/>
      <c r="J278" s="7"/>
      <c r="K278" s="7"/>
      <c r="L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row>
    <row r="279" customFormat="false" ht="15" hidden="false" customHeight="false" outlineLevel="0" collapsed="false">
      <c r="A279" s="386"/>
      <c r="B279" s="386"/>
      <c r="C279" s="386"/>
      <c r="D279" s="386"/>
      <c r="E279" s="367"/>
      <c r="F279" s="367"/>
      <c r="G279" s="367"/>
      <c r="H279" s="367"/>
      <c r="I279" s="7"/>
      <c r="J279" s="7"/>
      <c r="K279" s="7"/>
      <c r="L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row>
    <row r="280" customFormat="false" ht="15" hidden="false" customHeight="false" outlineLevel="0" collapsed="false">
      <c r="A280" s="386"/>
      <c r="B280" s="386"/>
      <c r="C280" s="386"/>
      <c r="D280" s="386"/>
      <c r="E280" s="367"/>
      <c r="F280" s="367"/>
      <c r="G280" s="367"/>
      <c r="H280" s="367"/>
      <c r="I280" s="7"/>
      <c r="J280" s="7"/>
      <c r="K280" s="7"/>
      <c r="L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row>
    <row r="281" customFormat="false" ht="15" hidden="false" customHeight="false" outlineLevel="0" collapsed="false">
      <c r="A281" s="386"/>
      <c r="B281" s="386"/>
      <c r="C281" s="386"/>
      <c r="D281" s="386"/>
      <c r="E281" s="367"/>
      <c r="F281" s="367"/>
      <c r="G281" s="367"/>
      <c r="H281" s="367"/>
      <c r="I281" s="7"/>
      <c r="J281" s="7"/>
      <c r="K281" s="7"/>
      <c r="L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row>
    <row r="282" customFormat="false" ht="15" hidden="false" customHeight="false" outlineLevel="0" collapsed="false">
      <c r="A282" s="386"/>
      <c r="B282" s="386"/>
      <c r="C282" s="386"/>
      <c r="D282" s="386"/>
      <c r="E282" s="367"/>
      <c r="F282" s="367"/>
      <c r="G282" s="367"/>
      <c r="H282" s="367"/>
      <c r="I282" s="7"/>
      <c r="J282" s="7"/>
      <c r="K282" s="7"/>
      <c r="L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row>
    <row r="283" customFormat="false" ht="15" hidden="false" customHeight="false" outlineLevel="0" collapsed="false">
      <c r="A283" s="386"/>
      <c r="B283" s="386"/>
      <c r="C283" s="386"/>
      <c r="D283" s="386"/>
      <c r="E283" s="367"/>
      <c r="F283" s="367"/>
      <c r="G283" s="367"/>
      <c r="H283" s="367"/>
      <c r="I283" s="7"/>
      <c r="J283" s="7"/>
      <c r="K283" s="7"/>
      <c r="L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row>
    <row r="284" customFormat="false" ht="15" hidden="false" customHeight="false" outlineLevel="0" collapsed="false">
      <c r="A284" s="386"/>
      <c r="B284" s="386"/>
      <c r="C284" s="386"/>
      <c r="D284" s="386"/>
      <c r="E284" s="367"/>
      <c r="F284" s="367"/>
      <c r="G284" s="367"/>
      <c r="H284" s="367"/>
      <c r="I284" s="7"/>
      <c r="J284" s="7"/>
      <c r="K284" s="7"/>
      <c r="L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row>
    <row r="285" customFormat="false" ht="15" hidden="false" customHeight="false" outlineLevel="0" collapsed="false">
      <c r="A285" s="386"/>
      <c r="B285" s="386"/>
      <c r="C285" s="386"/>
      <c r="D285" s="386"/>
      <c r="E285" s="367"/>
      <c r="F285" s="367"/>
      <c r="G285" s="367"/>
      <c r="H285" s="367"/>
      <c r="I285" s="7"/>
      <c r="J285" s="7"/>
      <c r="K285" s="7"/>
      <c r="L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row>
    <row r="286" customFormat="false" ht="15" hidden="false" customHeight="false" outlineLevel="0" collapsed="false">
      <c r="A286" s="386"/>
      <c r="B286" s="386"/>
      <c r="C286" s="386"/>
      <c r="D286" s="386"/>
      <c r="E286" s="367"/>
      <c r="F286" s="367"/>
      <c r="G286" s="367"/>
      <c r="H286" s="367"/>
      <c r="I286" s="7"/>
      <c r="J286" s="7"/>
      <c r="K286" s="7"/>
      <c r="L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row>
    <row r="287" customFormat="false" ht="15" hidden="false" customHeight="false" outlineLevel="0" collapsed="false">
      <c r="A287" s="386"/>
      <c r="B287" s="386"/>
      <c r="C287" s="386"/>
      <c r="D287" s="386"/>
      <c r="E287" s="367"/>
      <c r="F287" s="367"/>
      <c r="G287" s="367"/>
      <c r="H287" s="367"/>
      <c r="I287" s="7"/>
      <c r="J287" s="7"/>
      <c r="K287" s="7"/>
      <c r="L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row>
    <row r="288" customFormat="false" ht="15" hidden="false" customHeight="false" outlineLevel="0" collapsed="false">
      <c r="A288" s="386"/>
      <c r="B288" s="386"/>
      <c r="C288" s="386"/>
      <c r="D288" s="386"/>
      <c r="E288" s="367"/>
      <c r="F288" s="367"/>
      <c r="G288" s="367"/>
      <c r="H288" s="367"/>
      <c r="I288" s="7"/>
      <c r="J288" s="7"/>
      <c r="K288" s="7"/>
      <c r="L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row>
    <row r="289" customFormat="false" ht="15" hidden="false" customHeight="false" outlineLevel="0" collapsed="false">
      <c r="A289" s="386"/>
      <c r="B289" s="386"/>
      <c r="C289" s="386"/>
      <c r="D289" s="386"/>
      <c r="E289" s="367"/>
      <c r="F289" s="367"/>
      <c r="G289" s="367"/>
      <c r="H289" s="367"/>
      <c r="I289" s="7"/>
      <c r="J289" s="7"/>
      <c r="K289" s="7"/>
      <c r="L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row>
    <row r="290" customFormat="false" ht="15" hidden="false" customHeight="false" outlineLevel="0" collapsed="false">
      <c r="A290" s="386"/>
      <c r="B290" s="386"/>
      <c r="C290" s="386"/>
      <c r="D290" s="386"/>
      <c r="E290" s="367"/>
      <c r="F290" s="367"/>
      <c r="G290" s="367"/>
      <c r="H290" s="367"/>
      <c r="I290" s="7"/>
      <c r="J290" s="7"/>
      <c r="K290" s="7"/>
      <c r="L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row>
    <row r="291" customFormat="false" ht="15" hidden="false" customHeight="false" outlineLevel="0" collapsed="false">
      <c r="A291" s="386"/>
      <c r="B291" s="386"/>
      <c r="C291" s="386"/>
      <c r="D291" s="386"/>
      <c r="E291" s="367"/>
      <c r="F291" s="367"/>
      <c r="G291" s="367"/>
      <c r="H291" s="367"/>
      <c r="I291" s="7"/>
      <c r="J291" s="7"/>
      <c r="K291" s="7"/>
      <c r="L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row>
    <row r="292" customFormat="false" ht="15" hidden="false" customHeight="false" outlineLevel="0" collapsed="false">
      <c r="A292" s="386"/>
      <c r="B292" s="386"/>
      <c r="C292" s="386"/>
      <c r="D292" s="386"/>
      <c r="E292" s="367"/>
      <c r="F292" s="367"/>
      <c r="G292" s="367"/>
      <c r="H292" s="367"/>
      <c r="I292" s="7"/>
      <c r="J292" s="7"/>
      <c r="K292" s="7"/>
      <c r="L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row>
    <row r="293" customFormat="false" ht="15" hidden="false" customHeight="false" outlineLevel="0" collapsed="false">
      <c r="A293" s="386"/>
      <c r="B293" s="386"/>
      <c r="C293" s="386"/>
      <c r="D293" s="386"/>
      <c r="E293" s="367"/>
      <c r="F293" s="367"/>
      <c r="G293" s="367"/>
      <c r="H293" s="367"/>
      <c r="I293" s="7"/>
      <c r="J293" s="7"/>
      <c r="K293" s="7"/>
      <c r="L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row>
    <row r="294" customFormat="false" ht="15" hidden="false" customHeight="false" outlineLevel="0" collapsed="false">
      <c r="A294" s="386"/>
      <c r="B294" s="386"/>
      <c r="C294" s="386"/>
      <c r="D294" s="386"/>
      <c r="E294" s="367"/>
      <c r="F294" s="367"/>
      <c r="G294" s="367"/>
      <c r="H294" s="367"/>
      <c r="I294" s="7"/>
      <c r="J294" s="7"/>
      <c r="K294" s="7"/>
      <c r="L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row>
    <row r="295" customFormat="false" ht="15" hidden="false" customHeight="false" outlineLevel="0" collapsed="false">
      <c r="A295" s="386"/>
      <c r="B295" s="386"/>
      <c r="C295" s="386"/>
      <c r="D295" s="386"/>
      <c r="E295" s="367"/>
      <c r="F295" s="367"/>
      <c r="G295" s="367"/>
      <c r="H295" s="367"/>
      <c r="I295" s="7"/>
      <c r="J295" s="7"/>
      <c r="K295" s="7"/>
      <c r="L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row>
    <row r="296" customFormat="false" ht="15" hidden="false" customHeight="false" outlineLevel="0" collapsed="false">
      <c r="A296" s="386"/>
      <c r="B296" s="386"/>
      <c r="C296" s="386"/>
      <c r="D296" s="386"/>
      <c r="E296" s="367"/>
      <c r="F296" s="367"/>
      <c r="G296" s="367"/>
      <c r="H296" s="367"/>
      <c r="I296" s="7"/>
      <c r="J296" s="7"/>
      <c r="K296" s="7"/>
      <c r="L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row>
    <row r="297" customFormat="false" ht="15" hidden="false" customHeight="false" outlineLevel="0" collapsed="false">
      <c r="A297" s="386"/>
      <c r="B297" s="386"/>
      <c r="C297" s="386"/>
      <c r="D297" s="386"/>
      <c r="E297" s="367"/>
      <c r="F297" s="367"/>
      <c r="G297" s="367"/>
      <c r="H297" s="367"/>
      <c r="I297" s="7"/>
      <c r="J297" s="7"/>
      <c r="K297" s="7"/>
      <c r="L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row>
    <row r="298" customFormat="false" ht="15" hidden="false" customHeight="false" outlineLevel="0" collapsed="false">
      <c r="A298" s="386"/>
      <c r="B298" s="386"/>
      <c r="C298" s="386"/>
      <c r="D298" s="386"/>
      <c r="E298" s="367"/>
      <c r="F298" s="367"/>
      <c r="G298" s="367"/>
      <c r="H298" s="367"/>
    </row>
    <row r="299" customFormat="false" ht="15" hidden="false" customHeight="false" outlineLevel="0" collapsed="false">
      <c r="A299" s="386"/>
      <c r="B299" s="386"/>
      <c r="C299" s="386"/>
      <c r="D299" s="386"/>
      <c r="E299" s="367"/>
      <c r="F299" s="367"/>
      <c r="G299" s="367"/>
      <c r="H299" s="367"/>
    </row>
    <row r="300" customFormat="false" ht="15" hidden="false" customHeight="false" outlineLevel="0" collapsed="false">
      <c r="A300" s="386"/>
      <c r="B300" s="386"/>
      <c r="C300" s="386"/>
      <c r="D300" s="386"/>
      <c r="E300" s="367"/>
      <c r="F300" s="367"/>
      <c r="G300" s="367"/>
      <c r="H300" s="367"/>
    </row>
    <row r="301" customFormat="false" ht="15" hidden="false" customHeight="false" outlineLevel="0" collapsed="false">
      <c r="A301" s="386"/>
      <c r="B301" s="386"/>
      <c r="C301" s="386"/>
      <c r="D301" s="386"/>
      <c r="E301" s="367"/>
      <c r="F301" s="367"/>
      <c r="G301" s="367"/>
      <c r="H301" s="367"/>
    </row>
    <row r="302" customFormat="false" ht="15" hidden="false" customHeight="false" outlineLevel="0" collapsed="false">
      <c r="A302" s="386"/>
      <c r="B302" s="386"/>
      <c r="C302" s="386"/>
      <c r="D302" s="386"/>
      <c r="E302" s="367"/>
      <c r="F302" s="367"/>
      <c r="G302" s="367"/>
      <c r="H302" s="367"/>
    </row>
    <row r="303" customFormat="false" ht="15" hidden="false" customHeight="false" outlineLevel="0" collapsed="false">
      <c r="A303" s="386"/>
      <c r="B303" s="386"/>
      <c r="C303" s="386"/>
      <c r="D303" s="386"/>
      <c r="E303" s="367"/>
      <c r="F303" s="367"/>
      <c r="G303" s="367"/>
      <c r="H303" s="367"/>
    </row>
    <row r="304" customFormat="false" ht="15" hidden="false" customHeight="false" outlineLevel="0" collapsed="false">
      <c r="A304" s="386"/>
      <c r="B304" s="386"/>
      <c r="C304" s="386"/>
      <c r="D304" s="386"/>
      <c r="E304" s="367"/>
      <c r="F304" s="367"/>
      <c r="G304" s="367"/>
      <c r="H304" s="367"/>
    </row>
    <row r="305" customFormat="false" ht="15" hidden="false" customHeight="false" outlineLevel="0" collapsed="false">
      <c r="A305" s="386"/>
      <c r="B305" s="386"/>
      <c r="C305" s="386"/>
      <c r="D305" s="386"/>
      <c r="E305" s="367"/>
      <c r="F305" s="367"/>
      <c r="G305" s="367"/>
      <c r="H305" s="367"/>
    </row>
    <row r="306" customFormat="false" ht="15" hidden="false" customHeight="false" outlineLevel="0" collapsed="false">
      <c r="A306" s="386"/>
      <c r="B306" s="386"/>
      <c r="C306" s="386"/>
      <c r="D306" s="386"/>
      <c r="E306" s="367"/>
      <c r="F306" s="367"/>
      <c r="G306" s="367"/>
      <c r="H306" s="367"/>
    </row>
    <row r="307" customFormat="false" ht="15" hidden="false" customHeight="false" outlineLevel="0" collapsed="false">
      <c r="A307" s="386"/>
      <c r="B307" s="386"/>
      <c r="C307" s="386"/>
      <c r="D307" s="386"/>
      <c r="E307" s="367"/>
      <c r="F307" s="367"/>
      <c r="G307" s="367"/>
      <c r="H307" s="367"/>
    </row>
    <row r="308" customFormat="false" ht="15" hidden="false" customHeight="false" outlineLevel="0" collapsed="false">
      <c r="A308" s="386"/>
      <c r="B308" s="386"/>
      <c r="C308" s="386"/>
      <c r="D308" s="386"/>
      <c r="E308" s="367"/>
      <c r="F308" s="367"/>
      <c r="G308" s="367"/>
      <c r="H308" s="367"/>
    </row>
    <row r="309" customFormat="false" ht="15" hidden="false" customHeight="false" outlineLevel="0" collapsed="false">
      <c r="A309" s="386"/>
      <c r="B309" s="386"/>
      <c r="C309" s="386"/>
      <c r="D309" s="386"/>
      <c r="E309" s="367"/>
      <c r="F309" s="367"/>
      <c r="G309" s="367"/>
      <c r="H309" s="367"/>
    </row>
    <row r="310" customFormat="false" ht="15" hidden="false" customHeight="false" outlineLevel="0" collapsed="false">
      <c r="A310" s="386"/>
      <c r="B310" s="386"/>
      <c r="C310" s="386"/>
      <c r="D310" s="386"/>
      <c r="E310" s="367"/>
      <c r="F310" s="367"/>
      <c r="G310" s="367"/>
      <c r="H310" s="367"/>
    </row>
    <row r="311" customFormat="false" ht="15" hidden="false" customHeight="false" outlineLevel="0" collapsed="false">
      <c r="A311" s="386"/>
      <c r="B311" s="386"/>
      <c r="C311" s="386"/>
      <c r="D311" s="386"/>
      <c r="E311" s="367"/>
      <c r="F311" s="367"/>
      <c r="G311" s="367"/>
      <c r="H311" s="367"/>
    </row>
    <row r="312" customFormat="false" ht="15" hidden="false" customHeight="false" outlineLevel="0" collapsed="false">
      <c r="A312" s="386"/>
      <c r="B312" s="386"/>
      <c r="C312" s="386"/>
      <c r="D312" s="386"/>
      <c r="E312" s="367"/>
      <c r="F312" s="367"/>
      <c r="G312" s="367"/>
      <c r="H312" s="367"/>
    </row>
    <row r="313" customFormat="false" ht="15" hidden="false" customHeight="false" outlineLevel="0" collapsed="false">
      <c r="A313" s="386"/>
      <c r="B313" s="386"/>
      <c r="C313" s="386"/>
      <c r="D313" s="386"/>
      <c r="E313" s="367"/>
      <c r="F313" s="367"/>
      <c r="G313" s="367"/>
      <c r="H313" s="367"/>
    </row>
    <row r="314" customFormat="false" ht="15" hidden="false" customHeight="false" outlineLevel="0" collapsed="false">
      <c r="A314" s="386"/>
      <c r="B314" s="386"/>
      <c r="C314" s="386"/>
      <c r="D314" s="386"/>
      <c r="E314" s="367"/>
      <c r="F314" s="367"/>
      <c r="G314" s="367"/>
      <c r="H314" s="367"/>
    </row>
    <row r="315" customFormat="false" ht="15" hidden="false" customHeight="false" outlineLevel="0" collapsed="false">
      <c r="A315" s="386"/>
      <c r="B315" s="386"/>
      <c r="C315" s="386"/>
      <c r="D315" s="386"/>
      <c r="E315" s="367"/>
      <c r="F315" s="367"/>
      <c r="G315" s="367"/>
      <c r="H315" s="367"/>
    </row>
    <row r="316" customFormat="false" ht="15" hidden="false" customHeight="false" outlineLevel="0" collapsed="false">
      <c r="A316" s="386"/>
      <c r="B316" s="386"/>
      <c r="C316" s="386"/>
      <c r="D316" s="386"/>
      <c r="E316" s="367"/>
      <c r="F316" s="367"/>
      <c r="G316" s="367"/>
      <c r="H316" s="367"/>
    </row>
    <row r="317" customFormat="false" ht="15" hidden="false" customHeight="false" outlineLevel="0" collapsed="false">
      <c r="A317" s="386"/>
      <c r="B317" s="386"/>
      <c r="C317" s="386"/>
      <c r="D317" s="386"/>
      <c r="E317" s="367"/>
      <c r="F317" s="367"/>
      <c r="G317" s="367"/>
      <c r="H317" s="367"/>
    </row>
    <row r="318" customFormat="false" ht="15" hidden="false" customHeight="false" outlineLevel="0" collapsed="false">
      <c r="A318" s="386"/>
      <c r="B318" s="386"/>
      <c r="C318" s="386"/>
      <c r="D318" s="386"/>
      <c r="E318" s="367"/>
      <c r="F318" s="367"/>
      <c r="G318" s="367"/>
      <c r="H318" s="367"/>
    </row>
    <row r="319" customFormat="false" ht="15" hidden="false" customHeight="false" outlineLevel="0" collapsed="false">
      <c r="A319" s="386"/>
      <c r="B319" s="386"/>
      <c r="C319" s="386"/>
      <c r="D319" s="386"/>
      <c r="E319" s="367"/>
      <c r="F319" s="367"/>
      <c r="G319" s="367"/>
      <c r="H319" s="367"/>
    </row>
    <row r="320" customFormat="false" ht="15" hidden="false" customHeight="false" outlineLevel="0" collapsed="false">
      <c r="A320" s="386"/>
      <c r="B320" s="386"/>
      <c r="C320" s="386"/>
      <c r="D320" s="386"/>
      <c r="E320" s="367"/>
      <c r="F320" s="367"/>
      <c r="G320" s="367"/>
      <c r="H320" s="367"/>
    </row>
    <row r="321" customFormat="false" ht="15" hidden="false" customHeight="false" outlineLevel="0" collapsed="false">
      <c r="A321" s="386"/>
      <c r="B321" s="386"/>
      <c r="C321" s="386"/>
      <c r="D321" s="386"/>
      <c r="E321" s="367"/>
      <c r="F321" s="367"/>
      <c r="G321" s="367"/>
      <c r="H321" s="367"/>
    </row>
    <row r="322" customFormat="false" ht="15" hidden="false" customHeight="false" outlineLevel="0" collapsed="false">
      <c r="A322" s="386"/>
      <c r="B322" s="386"/>
      <c r="C322" s="386"/>
      <c r="D322" s="386"/>
      <c r="E322" s="367"/>
      <c r="F322" s="367"/>
      <c r="G322" s="367"/>
      <c r="H322" s="367"/>
    </row>
    <row r="323" customFormat="false" ht="15" hidden="false" customHeight="false" outlineLevel="0" collapsed="false">
      <c r="A323" s="386"/>
      <c r="B323" s="386"/>
      <c r="C323" s="386"/>
      <c r="D323" s="386"/>
      <c r="E323" s="367"/>
      <c r="F323" s="367"/>
      <c r="G323" s="367"/>
      <c r="H323" s="367"/>
    </row>
    <row r="324" customFormat="false" ht="15" hidden="false" customHeight="false" outlineLevel="0" collapsed="false">
      <c r="A324" s="386"/>
      <c r="B324" s="386"/>
      <c r="C324" s="386"/>
      <c r="D324" s="386"/>
      <c r="E324" s="367"/>
      <c r="F324" s="367"/>
      <c r="G324" s="367"/>
      <c r="H324" s="367"/>
    </row>
    <row r="325" customFormat="false" ht="15" hidden="false" customHeight="false" outlineLevel="0" collapsed="false">
      <c r="A325" s="386"/>
      <c r="B325" s="386"/>
      <c r="C325" s="386"/>
      <c r="D325" s="386"/>
      <c r="E325" s="367"/>
      <c r="F325" s="367"/>
      <c r="G325" s="367"/>
      <c r="H325" s="367"/>
    </row>
    <row r="326" customFormat="false" ht="15" hidden="false" customHeight="false" outlineLevel="0" collapsed="false">
      <c r="A326" s="386"/>
      <c r="B326" s="386"/>
      <c r="C326" s="386"/>
      <c r="D326" s="386"/>
      <c r="E326" s="367"/>
      <c r="F326" s="367"/>
      <c r="G326" s="367"/>
      <c r="H326" s="367"/>
    </row>
    <row r="327" customFormat="false" ht="15" hidden="false" customHeight="false" outlineLevel="0" collapsed="false">
      <c r="A327" s="386"/>
      <c r="B327" s="386"/>
      <c r="C327" s="386"/>
      <c r="D327" s="386"/>
      <c r="E327" s="367"/>
      <c r="F327" s="367"/>
      <c r="G327" s="367"/>
      <c r="H327" s="367"/>
    </row>
    <row r="328" customFormat="false" ht="15" hidden="false" customHeight="false" outlineLevel="0" collapsed="false">
      <c r="A328" s="386"/>
      <c r="B328" s="386"/>
      <c r="C328" s="386"/>
      <c r="D328" s="386"/>
      <c r="E328" s="367"/>
      <c r="F328" s="367"/>
      <c r="G328" s="367"/>
      <c r="H328" s="367"/>
    </row>
    <row r="329" customFormat="false" ht="15" hidden="false" customHeight="false" outlineLevel="0" collapsed="false">
      <c r="A329" s="386"/>
      <c r="B329" s="386"/>
      <c r="C329" s="386"/>
      <c r="D329" s="386"/>
    </row>
    <row r="330" customFormat="false" ht="15" hidden="false" customHeight="false" outlineLevel="0" collapsed="false">
      <c r="A330" s="386"/>
      <c r="B330" s="386"/>
      <c r="C330" s="386"/>
      <c r="D330" s="386"/>
    </row>
  </sheetData>
  <mergeCells count="24">
    <mergeCell ref="A1:D1"/>
    <mergeCell ref="A2:H2"/>
    <mergeCell ref="A5:D5"/>
    <mergeCell ref="A14:H14"/>
    <mergeCell ref="A16:D16"/>
    <mergeCell ref="A25:H25"/>
    <mergeCell ref="A28:D28"/>
    <mergeCell ref="A40:D40"/>
    <mergeCell ref="A52:D52"/>
    <mergeCell ref="A64:D64"/>
    <mergeCell ref="A76:D76"/>
    <mergeCell ref="A88:D88"/>
    <mergeCell ref="A100:D100"/>
    <mergeCell ref="A112:D112"/>
    <mergeCell ref="A124:D124"/>
    <mergeCell ref="A136:D136"/>
    <mergeCell ref="A148:D148"/>
    <mergeCell ref="A160:D160"/>
    <mergeCell ref="A172:D172"/>
    <mergeCell ref="A184:D184"/>
    <mergeCell ref="A196:H196"/>
    <mergeCell ref="A197:H197"/>
    <mergeCell ref="A199:H199"/>
    <mergeCell ref="A200:H20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6"/>
  <sheetViews>
    <sheetView showFormulas="false" showGridLines="false" showRowColHeaders="true" showZeros="true" rightToLeft="false" tabSelected="false" showOutlineSymbols="true" defaultGridColor="true" view="normal" topLeftCell="A100" colorId="64" zoomScale="100" zoomScaleNormal="100" zoomScalePageLayoutView="100" workbookViewId="0">
      <selection pane="topLeft" activeCell="B113" activeCellId="0" sqref="B113"/>
    </sheetView>
  </sheetViews>
  <sheetFormatPr defaultColWidth="9.00390625" defaultRowHeight="14.25" customHeight="false" zeroHeight="false" outlineLevelRow="0" outlineLevelCol="0"/>
  <cols>
    <col collapsed="false" customWidth="true" hidden="false" outlineLevel="0" max="1" min="1" style="387" width="26.56"/>
    <col collapsed="false" customWidth="true" hidden="false" outlineLevel="0" max="2" min="2" style="1" width="160.77"/>
  </cols>
  <sheetData>
    <row r="1" s="388" customFormat="true" ht="24.45" hidden="false" customHeight="false" outlineLevel="0" collapsed="false">
      <c r="A1" s="6" t="s">
        <v>5</v>
      </c>
      <c r="B1" s="6"/>
    </row>
    <row r="2" s="388" customFormat="true" ht="74.25" hidden="false" customHeight="true" outlineLevel="0" collapsed="false">
      <c r="A2" s="8" t="s">
        <v>1</v>
      </c>
      <c r="B2" s="8"/>
    </row>
    <row r="3" s="388" customFormat="true" ht="48" hidden="false" customHeight="true" outlineLevel="0" collapsed="false">
      <c r="A3" s="389" t="s">
        <v>1256</v>
      </c>
      <c r="B3" s="390"/>
    </row>
    <row r="4" customFormat="false" ht="17.35" hidden="false" customHeight="false" outlineLevel="0" collapsed="false">
      <c r="A4" s="391" t="s">
        <v>1257</v>
      </c>
      <c r="B4" s="392" t="s">
        <v>1258</v>
      </c>
    </row>
    <row r="5" customFormat="false" ht="15" hidden="false" customHeight="false" outlineLevel="0" collapsed="false">
      <c r="A5" s="393" t="s">
        <v>1259</v>
      </c>
      <c r="B5" s="394" t="s">
        <v>1260</v>
      </c>
    </row>
    <row r="6" customFormat="false" ht="15" hidden="false" customHeight="false" outlineLevel="0" collapsed="false">
      <c r="A6" s="393" t="s">
        <v>27</v>
      </c>
      <c r="B6" s="394" t="s">
        <v>1261</v>
      </c>
    </row>
    <row r="7" customFormat="false" ht="15" hidden="false" customHeight="false" outlineLevel="0" collapsed="false">
      <c r="A7" s="393" t="s">
        <v>1262</v>
      </c>
      <c r="B7" s="394" t="s">
        <v>1263</v>
      </c>
    </row>
    <row r="8" customFormat="false" ht="15" hidden="false" customHeight="false" outlineLevel="0" collapsed="false">
      <c r="A8" s="393" t="s">
        <v>311</v>
      </c>
      <c r="B8" s="394" t="s">
        <v>1264</v>
      </c>
    </row>
    <row r="9" customFormat="false" ht="15" hidden="false" customHeight="false" outlineLevel="0" collapsed="false">
      <c r="A9" s="393" t="s">
        <v>1265</v>
      </c>
      <c r="B9" s="394" t="s">
        <v>1266</v>
      </c>
    </row>
    <row r="10" customFormat="false" ht="15" hidden="false" customHeight="false" outlineLevel="0" collapsed="false">
      <c r="A10" s="393" t="s">
        <v>1267</v>
      </c>
      <c r="B10" s="394" t="s">
        <v>1268</v>
      </c>
    </row>
    <row r="11" customFormat="false" ht="15" hidden="false" customHeight="false" outlineLevel="0" collapsed="false">
      <c r="A11" s="393" t="s">
        <v>1269</v>
      </c>
      <c r="B11" s="394" t="s">
        <v>1270</v>
      </c>
    </row>
    <row r="12" customFormat="false" ht="15" hidden="false" customHeight="false" outlineLevel="0" collapsed="false">
      <c r="A12" s="393" t="s">
        <v>82</v>
      </c>
      <c r="B12" s="394" t="s">
        <v>1271</v>
      </c>
    </row>
    <row r="13" customFormat="false" ht="42" hidden="false" customHeight="false" outlineLevel="0" collapsed="false">
      <c r="A13" s="393" t="s">
        <v>1272</v>
      </c>
      <c r="B13" s="394" t="s">
        <v>1273</v>
      </c>
    </row>
    <row r="14" customFormat="false" ht="42" hidden="false" customHeight="false" outlineLevel="0" collapsed="false">
      <c r="A14" s="393" t="s">
        <v>1274</v>
      </c>
      <c r="B14" s="394" t="s">
        <v>1275</v>
      </c>
    </row>
    <row r="15" customFormat="false" ht="15" hidden="false" customHeight="false" outlineLevel="0" collapsed="false">
      <c r="A15" s="393" t="s">
        <v>1276</v>
      </c>
      <c r="B15" s="394" t="s">
        <v>1277</v>
      </c>
    </row>
    <row r="16" customFormat="false" ht="47.25" hidden="false" customHeight="true" outlineLevel="0" collapsed="false">
      <c r="A16" s="393" t="s">
        <v>1278</v>
      </c>
      <c r="B16" s="394" t="s">
        <v>1279</v>
      </c>
    </row>
    <row r="17" customFormat="false" ht="42" hidden="false" customHeight="false" outlineLevel="0" collapsed="false">
      <c r="A17" s="393"/>
      <c r="B17" s="394" t="s">
        <v>1280</v>
      </c>
    </row>
    <row r="18" customFormat="false" ht="46.5" hidden="false" customHeight="true" outlineLevel="0" collapsed="false">
      <c r="A18" s="393" t="s">
        <v>1281</v>
      </c>
      <c r="B18" s="394" t="s">
        <v>1282</v>
      </c>
    </row>
    <row r="19" customFormat="false" ht="42" hidden="false" customHeight="false" outlineLevel="0" collapsed="false">
      <c r="A19" s="393"/>
      <c r="B19" s="394" t="s">
        <v>1283</v>
      </c>
    </row>
    <row r="20" customFormat="false" ht="28.4" hidden="false" customHeight="false" outlineLevel="0" collapsed="false">
      <c r="A20" s="393" t="s">
        <v>1284</v>
      </c>
      <c r="B20" s="394" t="s">
        <v>1285</v>
      </c>
    </row>
    <row r="21" customFormat="false" ht="15" hidden="false" customHeight="false" outlineLevel="0" collapsed="false">
      <c r="A21" s="393" t="s">
        <v>1286</v>
      </c>
      <c r="B21" s="394" t="s">
        <v>1287</v>
      </c>
    </row>
    <row r="22" customFormat="false" ht="15" hidden="false" customHeight="false" outlineLevel="0" collapsed="false">
      <c r="A22" s="393" t="s">
        <v>1288</v>
      </c>
      <c r="B22" s="394" t="s">
        <v>1289</v>
      </c>
    </row>
    <row r="23" customFormat="false" ht="15" hidden="false" customHeight="false" outlineLevel="0" collapsed="false">
      <c r="A23" s="393" t="s">
        <v>80</v>
      </c>
      <c r="B23" s="394" t="s">
        <v>1290</v>
      </c>
    </row>
    <row r="24" customFormat="false" ht="28.4" hidden="false" customHeight="false" outlineLevel="0" collapsed="false">
      <c r="A24" s="393" t="s">
        <v>1291</v>
      </c>
      <c r="B24" s="394" t="s">
        <v>1292</v>
      </c>
    </row>
    <row r="25" customFormat="false" ht="28.4" hidden="false" customHeight="false" outlineLevel="0" collapsed="false">
      <c r="A25" s="393" t="s">
        <v>1293</v>
      </c>
      <c r="B25" s="394" t="s">
        <v>1294</v>
      </c>
    </row>
    <row r="26" customFormat="false" ht="15" hidden="false" customHeight="false" outlineLevel="0" collapsed="false">
      <c r="A26" s="393" t="s">
        <v>1295</v>
      </c>
      <c r="B26" s="394" t="s">
        <v>1296</v>
      </c>
    </row>
    <row r="27" customFormat="false" ht="15" hidden="false" customHeight="false" outlineLevel="0" collapsed="false">
      <c r="A27" s="393" t="s">
        <v>1297</v>
      </c>
      <c r="B27" s="394" t="s">
        <v>1298</v>
      </c>
    </row>
    <row r="28" customFormat="false" ht="15" hidden="false" customHeight="false" outlineLevel="0" collapsed="false">
      <c r="A28" s="393" t="s">
        <v>331</v>
      </c>
      <c r="B28" s="394" t="s">
        <v>1299</v>
      </c>
    </row>
    <row r="29" customFormat="false" ht="15" hidden="false" customHeight="false" outlineLevel="0" collapsed="false">
      <c r="A29" s="393" t="s">
        <v>313</v>
      </c>
      <c r="B29" s="394" t="s">
        <v>1300</v>
      </c>
    </row>
    <row r="30" customFormat="false" ht="15" hidden="false" customHeight="false" outlineLevel="0" collapsed="false">
      <c r="A30" s="393" t="s">
        <v>1301</v>
      </c>
      <c r="B30" s="394" t="s">
        <v>1302</v>
      </c>
    </row>
    <row r="31" customFormat="false" ht="15" hidden="false" customHeight="false" outlineLevel="0" collapsed="false">
      <c r="A31" s="393" t="s">
        <v>113</v>
      </c>
      <c r="B31" s="394" t="s">
        <v>1303</v>
      </c>
    </row>
    <row r="32" customFormat="false" ht="28.4" hidden="false" customHeight="false" outlineLevel="0" collapsed="false">
      <c r="A32" s="393" t="s">
        <v>1304</v>
      </c>
      <c r="B32" s="394" t="s">
        <v>1305</v>
      </c>
    </row>
    <row r="33" customFormat="false" ht="15" hidden="false" customHeight="false" outlineLevel="0" collapsed="false">
      <c r="A33" s="393" t="s">
        <v>114</v>
      </c>
      <c r="B33" s="394" t="s">
        <v>1306</v>
      </c>
    </row>
    <row r="34" customFormat="false" ht="28.4" hidden="false" customHeight="false" outlineLevel="0" collapsed="false">
      <c r="A34" s="393" t="s">
        <v>1307</v>
      </c>
      <c r="B34" s="394" t="s">
        <v>1308</v>
      </c>
    </row>
    <row r="35" customFormat="false" ht="15" hidden="false" customHeight="false" outlineLevel="0" collapsed="false">
      <c r="A35" s="393" t="s">
        <v>1309</v>
      </c>
      <c r="B35" s="394" t="s">
        <v>1310</v>
      </c>
    </row>
    <row r="36" customFormat="false" ht="28.4" hidden="false" customHeight="false" outlineLevel="0" collapsed="false">
      <c r="A36" s="393" t="s">
        <v>1311</v>
      </c>
      <c r="B36" s="394" t="s">
        <v>1312</v>
      </c>
    </row>
    <row r="37" customFormat="false" ht="15" hidden="false" customHeight="false" outlineLevel="0" collapsed="false">
      <c r="A37" s="393" t="s">
        <v>1313</v>
      </c>
      <c r="B37" s="394" t="s">
        <v>1314</v>
      </c>
    </row>
    <row r="38" customFormat="false" ht="15" hidden="false" customHeight="false" outlineLevel="0" collapsed="false">
      <c r="A38" s="393" t="s">
        <v>1315</v>
      </c>
      <c r="B38" s="394" t="s">
        <v>1316</v>
      </c>
    </row>
    <row r="39" customFormat="false" ht="15" hidden="false" customHeight="true" outlineLevel="0" collapsed="false">
      <c r="A39" s="393" t="s">
        <v>1317</v>
      </c>
      <c r="B39" s="394" t="s">
        <v>1318</v>
      </c>
    </row>
    <row r="40" customFormat="false" ht="15" hidden="false" customHeight="false" outlineLevel="0" collapsed="false">
      <c r="A40" s="393"/>
      <c r="B40" s="394" t="s">
        <v>1319</v>
      </c>
    </row>
    <row r="41" customFormat="false" ht="42" hidden="false" customHeight="false" outlineLevel="0" collapsed="false">
      <c r="A41" s="393"/>
      <c r="B41" s="394" t="s">
        <v>1320</v>
      </c>
    </row>
    <row r="42" customFormat="false" ht="42" hidden="false" customHeight="false" outlineLevel="0" collapsed="false">
      <c r="A42" s="393"/>
      <c r="B42" s="394" t="s">
        <v>1321</v>
      </c>
    </row>
    <row r="43" customFormat="false" ht="15" hidden="false" customHeight="false" outlineLevel="0" collapsed="false">
      <c r="A43" s="393"/>
      <c r="B43" s="394" t="s">
        <v>1322</v>
      </c>
    </row>
    <row r="44" customFormat="false" ht="15" hidden="false" customHeight="false" outlineLevel="0" collapsed="false">
      <c r="A44" s="393"/>
      <c r="B44" s="394" t="s">
        <v>1323</v>
      </c>
    </row>
    <row r="45" customFormat="false" ht="15" hidden="false" customHeight="false" outlineLevel="0" collapsed="false">
      <c r="A45" s="393"/>
      <c r="B45" s="394" t="s">
        <v>1324</v>
      </c>
    </row>
    <row r="46" customFormat="false" ht="15" hidden="false" customHeight="false" outlineLevel="0" collapsed="false">
      <c r="A46" s="393" t="s">
        <v>1325</v>
      </c>
      <c r="B46" s="394" t="s">
        <v>1326</v>
      </c>
    </row>
    <row r="47" customFormat="false" ht="15" hidden="false" customHeight="true" outlineLevel="0" collapsed="false">
      <c r="A47" s="393" t="s">
        <v>1327</v>
      </c>
      <c r="B47" s="394" t="s">
        <v>1328</v>
      </c>
    </row>
    <row r="48" customFormat="false" ht="15" hidden="false" customHeight="false" outlineLevel="0" collapsed="false">
      <c r="A48" s="393"/>
      <c r="B48" s="394" t="s">
        <v>1329</v>
      </c>
    </row>
    <row r="49" customFormat="false" ht="15" hidden="false" customHeight="false" outlineLevel="0" collapsed="false">
      <c r="A49" s="393"/>
      <c r="B49" s="394" t="s">
        <v>1330</v>
      </c>
    </row>
    <row r="50" customFormat="false" ht="15.75" hidden="false" customHeight="true" outlineLevel="0" collapsed="false">
      <c r="A50" s="393" t="s">
        <v>1331</v>
      </c>
      <c r="B50" s="395" t="s">
        <v>1332</v>
      </c>
    </row>
    <row r="51" customFormat="false" ht="15" hidden="false" customHeight="false" outlineLevel="0" collapsed="false">
      <c r="A51" s="393"/>
      <c r="B51" s="394" t="s">
        <v>1333</v>
      </c>
    </row>
    <row r="52" customFormat="false" ht="35.25" hidden="false" customHeight="true" outlineLevel="0" collapsed="false">
      <c r="A52" s="393"/>
      <c r="B52" s="394" t="s">
        <v>1334</v>
      </c>
    </row>
    <row r="53" customFormat="false" ht="86.25" hidden="false" customHeight="true" outlineLevel="0" collapsed="false">
      <c r="A53" s="393"/>
      <c r="B53" s="394" t="s">
        <v>1335</v>
      </c>
    </row>
    <row r="54" customFormat="false" ht="87" hidden="false" customHeight="true" outlineLevel="0" collapsed="false">
      <c r="A54" s="393"/>
      <c r="B54" s="394" t="s">
        <v>1336</v>
      </c>
    </row>
    <row r="55" customFormat="false" ht="28.4" hidden="false" customHeight="false" outlineLevel="0" collapsed="false">
      <c r="A55" s="393"/>
      <c r="B55" s="394" t="s">
        <v>1337</v>
      </c>
    </row>
    <row r="56" customFormat="false" ht="69.3" hidden="false" customHeight="false" outlineLevel="0" collapsed="false">
      <c r="A56" s="393"/>
      <c r="B56" s="394" t="s">
        <v>1338</v>
      </c>
    </row>
    <row r="57" customFormat="false" ht="15" hidden="false" customHeight="false" outlineLevel="0" collapsed="false">
      <c r="A57" s="393"/>
      <c r="B57" s="394" t="s">
        <v>1339</v>
      </c>
    </row>
    <row r="58" customFormat="false" ht="28.4" hidden="false" customHeight="false" outlineLevel="0" collapsed="false">
      <c r="A58" s="393"/>
      <c r="B58" s="394" t="s">
        <v>1340</v>
      </c>
    </row>
    <row r="59" customFormat="false" ht="15" hidden="false" customHeight="false" outlineLevel="0" collapsed="false">
      <c r="A59" s="393"/>
      <c r="B59" s="394" t="s">
        <v>1341</v>
      </c>
    </row>
    <row r="60" customFormat="false" ht="15.75" hidden="false" customHeight="true" outlineLevel="0" collapsed="false">
      <c r="A60" s="396" t="s">
        <v>1342</v>
      </c>
      <c r="B60" s="397" t="s">
        <v>1343</v>
      </c>
    </row>
    <row r="61" customFormat="false" ht="15" hidden="false" customHeight="false" outlineLevel="0" collapsed="false">
      <c r="A61" s="396"/>
      <c r="B61" s="398" t="s">
        <v>1344</v>
      </c>
    </row>
    <row r="62" customFormat="false" ht="15" hidden="false" customHeight="false" outlineLevel="0" collapsed="false">
      <c r="A62" s="396"/>
      <c r="B62" s="398" t="s">
        <v>1345</v>
      </c>
    </row>
    <row r="63" customFormat="false" ht="28.4" hidden="false" customHeight="false" outlineLevel="0" collapsed="false">
      <c r="A63" s="396"/>
      <c r="B63" s="399" t="s">
        <v>1346</v>
      </c>
    </row>
    <row r="64" customFormat="false" ht="82.95" hidden="false" customHeight="false" outlineLevel="0" collapsed="false">
      <c r="A64" s="396"/>
      <c r="B64" s="399" t="s">
        <v>1347</v>
      </c>
    </row>
    <row r="65" customFormat="false" ht="15" hidden="false" customHeight="true" outlineLevel="0" collapsed="false">
      <c r="A65" s="396" t="s">
        <v>1348</v>
      </c>
      <c r="B65" s="395" t="s">
        <v>1349</v>
      </c>
    </row>
    <row r="66" customFormat="false" ht="15" hidden="false" customHeight="false" outlineLevel="0" collapsed="false">
      <c r="A66" s="396"/>
      <c r="B66" s="394" t="s">
        <v>1350</v>
      </c>
    </row>
    <row r="67" customFormat="false" ht="66" hidden="false" customHeight="true" outlineLevel="0" collapsed="false">
      <c r="A67" s="396"/>
      <c r="B67" s="394" t="s">
        <v>1351</v>
      </c>
    </row>
    <row r="68" customFormat="false" ht="42" hidden="false" customHeight="false" outlineLevel="0" collapsed="false">
      <c r="A68" s="396"/>
      <c r="B68" s="394" t="s">
        <v>1352</v>
      </c>
    </row>
    <row r="69" customFormat="false" ht="28.4" hidden="false" customHeight="false" outlineLevel="0" collapsed="false">
      <c r="A69" s="396"/>
      <c r="B69" s="394" t="s">
        <v>1285</v>
      </c>
    </row>
    <row r="70" customFormat="false" ht="15" hidden="false" customHeight="false" outlineLevel="0" collapsed="false">
      <c r="A70" s="396"/>
      <c r="B70" s="394" t="s">
        <v>1341</v>
      </c>
    </row>
    <row r="71" customFormat="false" ht="15" hidden="false" customHeight="true" outlineLevel="0" collapsed="false">
      <c r="A71" s="396" t="s">
        <v>1353</v>
      </c>
      <c r="B71" s="395" t="s">
        <v>1354</v>
      </c>
    </row>
    <row r="72" customFormat="false" ht="15" hidden="false" customHeight="false" outlineLevel="0" collapsed="false">
      <c r="A72" s="396"/>
      <c r="B72" s="394" t="s">
        <v>1355</v>
      </c>
    </row>
    <row r="73" customFormat="false" ht="83.25" hidden="false" customHeight="true" outlineLevel="0" collapsed="false">
      <c r="A73" s="396"/>
      <c r="B73" s="394" t="s">
        <v>1356</v>
      </c>
    </row>
    <row r="74" customFormat="false" ht="69.3" hidden="false" customHeight="false" outlineLevel="0" collapsed="false">
      <c r="A74" s="396"/>
      <c r="B74" s="400" t="s">
        <v>1338</v>
      </c>
    </row>
    <row r="75" customFormat="false" ht="15" hidden="false" customHeight="false" outlineLevel="0" collapsed="false">
      <c r="A75" s="396"/>
      <c r="B75" s="394" t="s">
        <v>1339</v>
      </c>
    </row>
    <row r="76" customFormat="false" ht="15" hidden="false" customHeight="false" outlineLevel="0" collapsed="false">
      <c r="A76" s="396"/>
      <c r="B76" s="394" t="s">
        <v>1357</v>
      </c>
    </row>
    <row r="77" customFormat="false" ht="15" hidden="false" customHeight="false" outlineLevel="0" collapsed="false">
      <c r="A77" s="396"/>
      <c r="B77" s="394" t="s">
        <v>1358</v>
      </c>
    </row>
    <row r="78" customFormat="false" ht="15" hidden="false" customHeight="false" outlineLevel="0" collapsed="false">
      <c r="A78" s="396"/>
      <c r="B78" s="394" t="s">
        <v>1341</v>
      </c>
    </row>
    <row r="79" customFormat="false" ht="15" hidden="false" customHeight="false" outlineLevel="0" collapsed="false">
      <c r="A79" s="401" t="s">
        <v>1359</v>
      </c>
      <c r="B79" s="395" t="s">
        <v>1360</v>
      </c>
    </row>
    <row r="80" customFormat="false" ht="15" hidden="false" customHeight="false" outlineLevel="0" collapsed="false">
      <c r="A80" s="401"/>
      <c r="B80" s="394" t="s">
        <v>1355</v>
      </c>
    </row>
    <row r="81" customFormat="false" ht="28.4" hidden="false" customHeight="false" outlineLevel="0" collapsed="false">
      <c r="A81" s="401"/>
      <c r="B81" s="394" t="s">
        <v>1337</v>
      </c>
    </row>
    <row r="82" customFormat="false" ht="15" hidden="false" customHeight="false" outlineLevel="0" collapsed="false">
      <c r="A82" s="401"/>
      <c r="B82" s="394" t="s">
        <v>1361</v>
      </c>
    </row>
    <row r="83" customFormat="false" ht="42" hidden="false" customHeight="false" outlineLevel="0" collapsed="false">
      <c r="A83" s="401"/>
      <c r="B83" s="394" t="s">
        <v>1362</v>
      </c>
    </row>
    <row r="84" customFormat="false" ht="15" hidden="false" customHeight="false" outlineLevel="0" collapsed="false">
      <c r="A84" s="401"/>
      <c r="B84" s="394" t="s">
        <v>1363</v>
      </c>
    </row>
    <row r="85" customFormat="false" ht="15" hidden="false" customHeight="false" outlineLevel="0" collapsed="false">
      <c r="A85" s="401"/>
      <c r="B85" s="394" t="s">
        <v>1364</v>
      </c>
    </row>
    <row r="86" customFormat="false" ht="15" hidden="false" customHeight="false" outlineLevel="0" collapsed="false">
      <c r="A86" s="401"/>
      <c r="B86" s="394" t="s">
        <v>1339</v>
      </c>
    </row>
    <row r="87" customFormat="false" ht="55.65" hidden="false" customHeight="false" outlineLevel="0" collapsed="false">
      <c r="A87" s="401"/>
      <c r="B87" s="394" t="s">
        <v>1356</v>
      </c>
    </row>
    <row r="88" customFormat="false" ht="15" hidden="false" customHeight="false" outlineLevel="0" collapsed="false">
      <c r="A88" s="401"/>
      <c r="B88" s="394" t="s">
        <v>1341</v>
      </c>
    </row>
    <row r="89" customFormat="false" ht="15" hidden="false" customHeight="true" outlineLevel="0" collapsed="false">
      <c r="A89" s="402" t="s">
        <v>1365</v>
      </c>
      <c r="B89" s="403" t="s">
        <v>1366</v>
      </c>
    </row>
    <row r="90" customFormat="false" ht="15" hidden="false" customHeight="false" outlineLevel="0" collapsed="false">
      <c r="A90" s="402"/>
      <c r="B90" s="395" t="s">
        <v>1343</v>
      </c>
    </row>
    <row r="91" customFormat="false" ht="15" hidden="false" customHeight="false" outlineLevel="0" collapsed="false">
      <c r="A91" s="402"/>
      <c r="B91" s="403" t="s">
        <v>1355</v>
      </c>
    </row>
    <row r="92" customFormat="false" ht="15" hidden="false" customHeight="false" outlineLevel="0" collapsed="false">
      <c r="A92" s="402"/>
      <c r="B92" s="404" t="s">
        <v>1367</v>
      </c>
    </row>
    <row r="93" customFormat="false" ht="55.65" hidden="false" customHeight="false" outlineLevel="0" collapsed="false">
      <c r="A93" s="402"/>
      <c r="B93" s="403" t="s">
        <v>1368</v>
      </c>
    </row>
    <row r="94" customFormat="false" ht="15" hidden="false" customHeight="false" outlineLevel="0" collapsed="false">
      <c r="A94" s="402"/>
      <c r="B94" s="403" t="s">
        <v>1369</v>
      </c>
    </row>
    <row r="95" customFormat="false" ht="48.75" hidden="false" customHeight="true" outlineLevel="0" collapsed="false">
      <c r="A95" s="402"/>
      <c r="B95" s="403" t="s">
        <v>1370</v>
      </c>
    </row>
    <row r="96" customFormat="false" ht="15" hidden="false" customHeight="false" outlineLevel="0" collapsed="false">
      <c r="A96" s="402"/>
      <c r="B96" s="403" t="s">
        <v>1371</v>
      </c>
    </row>
    <row r="97" customFormat="false" ht="143.25" hidden="false" customHeight="true" outlineLevel="0" collapsed="false">
      <c r="A97" s="402"/>
      <c r="B97" s="403" t="s">
        <v>1372</v>
      </c>
    </row>
    <row r="98" customFormat="false" ht="66" hidden="false" customHeight="true" outlineLevel="0" collapsed="false">
      <c r="A98" s="402"/>
      <c r="B98" s="403" t="s">
        <v>1373</v>
      </c>
    </row>
    <row r="99" customFormat="false" ht="28.4" hidden="false" customHeight="true" outlineLevel="0" collapsed="false">
      <c r="A99" s="402" t="s">
        <v>1374</v>
      </c>
      <c r="B99" s="403" t="s">
        <v>1375</v>
      </c>
    </row>
    <row r="100" customFormat="false" ht="147.75" hidden="false" customHeight="true" outlineLevel="0" collapsed="false">
      <c r="A100" s="402"/>
      <c r="B100" s="405" t="s">
        <v>1376</v>
      </c>
    </row>
    <row r="101" customFormat="false" ht="15" hidden="false" customHeight="true" outlineLevel="0" collapsed="false">
      <c r="A101" s="402"/>
      <c r="B101" s="403" t="s">
        <v>1377</v>
      </c>
    </row>
    <row r="102" customFormat="false" ht="15" hidden="false" customHeight="false" outlineLevel="0" collapsed="false">
      <c r="A102" s="402"/>
      <c r="B102" s="399" t="s">
        <v>1341</v>
      </c>
    </row>
    <row r="103" customFormat="false" ht="28.4" hidden="false" customHeight="false" outlineLevel="0" collapsed="false">
      <c r="A103" s="402"/>
      <c r="B103" s="397" t="s">
        <v>1378</v>
      </c>
    </row>
    <row r="104" customFormat="false" ht="15" hidden="false" customHeight="false" outlineLevel="0" collapsed="false">
      <c r="A104" s="402"/>
      <c r="B104" s="403" t="s">
        <v>1379</v>
      </c>
    </row>
    <row r="105" customFormat="false" ht="15" hidden="false" customHeight="false" outlineLevel="0" collapsed="false">
      <c r="A105" s="401" t="s">
        <v>1380</v>
      </c>
      <c r="B105" s="403" t="s">
        <v>1343</v>
      </c>
    </row>
    <row r="106" customFormat="false" ht="15" hidden="false" customHeight="false" outlineLevel="0" collapsed="false">
      <c r="A106" s="401"/>
      <c r="B106" s="397" t="s">
        <v>1381</v>
      </c>
    </row>
    <row r="107" customFormat="false" ht="15" hidden="false" customHeight="false" outlineLevel="0" collapsed="false">
      <c r="A107" s="401"/>
      <c r="B107" s="398" t="s">
        <v>1382</v>
      </c>
    </row>
    <row r="108" customFormat="false" ht="28.4" hidden="false" customHeight="false" outlineLevel="0" collapsed="false">
      <c r="A108" s="401"/>
      <c r="B108" s="399" t="s">
        <v>1346</v>
      </c>
    </row>
    <row r="109" customFormat="false" ht="69.3" hidden="false" customHeight="false" outlineLevel="0" collapsed="false">
      <c r="A109" s="401"/>
      <c r="B109" s="399" t="s">
        <v>1383</v>
      </c>
    </row>
    <row r="110" customFormat="false" ht="15" hidden="false" customHeight="false" outlineLevel="0" collapsed="false">
      <c r="A110" s="401"/>
      <c r="B110" s="394" t="s">
        <v>1384</v>
      </c>
    </row>
    <row r="111" customFormat="false" ht="15" hidden="false" customHeight="false" outlineLevel="0" collapsed="false">
      <c r="A111" s="401"/>
      <c r="B111" s="403" t="s">
        <v>1385</v>
      </c>
    </row>
    <row r="112" customFormat="false" ht="15" hidden="false" customHeight="false" outlineLevel="0" collapsed="false">
      <c r="A112" s="401"/>
      <c r="B112" s="403" t="s">
        <v>1386</v>
      </c>
    </row>
    <row r="113" customFormat="false" ht="21" hidden="false" customHeight="true" outlineLevel="0" collapsed="false">
      <c r="A113" s="401"/>
      <c r="B113" s="403" t="s">
        <v>1387</v>
      </c>
    </row>
    <row r="114" customFormat="false" ht="28.4" hidden="false" customHeight="false" outlineLevel="0" collapsed="false">
      <c r="A114" s="401"/>
      <c r="B114" s="403" t="s">
        <v>1388</v>
      </c>
    </row>
    <row r="115" customFormat="false" ht="15" hidden="false" customHeight="true" outlineLevel="0" collapsed="false">
      <c r="A115" s="396" t="s">
        <v>1389</v>
      </c>
      <c r="B115" s="400" t="s">
        <v>1390</v>
      </c>
    </row>
    <row r="116" customFormat="false" ht="15" hidden="false" customHeight="false" outlineLevel="0" collapsed="false">
      <c r="A116" s="396"/>
      <c r="B116" s="404" t="s">
        <v>1391</v>
      </c>
    </row>
    <row r="117" customFormat="false" ht="15" hidden="false" customHeight="false" outlineLevel="0" collapsed="false">
      <c r="A117" s="396"/>
      <c r="B117" s="404" t="s">
        <v>1392</v>
      </c>
    </row>
    <row r="118" customFormat="false" ht="15" hidden="false" customHeight="false" outlineLevel="0" collapsed="false">
      <c r="A118" s="396"/>
      <c r="B118" s="404" t="s">
        <v>1393</v>
      </c>
    </row>
    <row r="119" customFormat="false" ht="15" hidden="false" customHeight="false" outlineLevel="0" collapsed="false">
      <c r="A119" s="396"/>
      <c r="B119" s="404" t="s">
        <v>1394</v>
      </c>
    </row>
    <row r="120" customFormat="false" ht="15" hidden="false" customHeight="true" outlineLevel="0" collapsed="false">
      <c r="A120" s="406" t="s">
        <v>1395</v>
      </c>
      <c r="B120" s="404" t="s">
        <v>1396</v>
      </c>
    </row>
    <row r="121" customFormat="false" ht="16.5" hidden="false" customHeight="true" outlineLevel="0" collapsed="false">
      <c r="A121" s="406"/>
      <c r="B121" s="400" t="s">
        <v>1397</v>
      </c>
    </row>
    <row r="122" customFormat="false" ht="16.5" hidden="false" customHeight="true" outlineLevel="0" collapsed="false">
      <c r="A122" s="406"/>
      <c r="B122" s="404" t="s">
        <v>1398</v>
      </c>
    </row>
    <row r="123" customFormat="false" ht="16.5" hidden="false" customHeight="true" outlineLevel="0" collapsed="false">
      <c r="A123" s="406"/>
      <c r="B123" s="400" t="s">
        <v>1397</v>
      </c>
    </row>
    <row r="124" customFormat="false" ht="15" hidden="false" customHeight="false" outlineLevel="0" collapsed="false">
      <c r="A124" s="406"/>
      <c r="B124" s="404" t="s">
        <v>1399</v>
      </c>
    </row>
    <row r="125" customFormat="false" ht="15" hidden="false" customHeight="false" outlineLevel="0" collapsed="false">
      <c r="A125" s="406"/>
      <c r="B125" s="400" t="s">
        <v>1397</v>
      </c>
    </row>
    <row r="126" customFormat="false" ht="15" hidden="false" customHeight="false" outlineLevel="0" collapsed="false">
      <c r="A126" s="406"/>
      <c r="B126" s="404" t="s">
        <v>1400</v>
      </c>
    </row>
    <row r="127" customFormat="false" ht="15" hidden="false" customHeight="false" outlineLevel="0" collapsed="false">
      <c r="A127" s="406"/>
      <c r="B127" s="400" t="s">
        <v>1397</v>
      </c>
    </row>
    <row r="128" customFormat="false" ht="15" hidden="false" customHeight="false" outlineLevel="0" collapsed="false">
      <c r="A128" s="406"/>
      <c r="B128" s="400" t="s">
        <v>1401</v>
      </c>
    </row>
    <row r="129" customFormat="false" ht="28.4" hidden="false" customHeight="false" outlineLevel="0" collapsed="false">
      <c r="A129" s="406"/>
      <c r="B129" s="400" t="s">
        <v>1402</v>
      </c>
    </row>
    <row r="130" customFormat="false" ht="64.5" hidden="false" customHeight="true" outlineLevel="0" collapsed="false">
      <c r="A130" s="406"/>
      <c r="B130" s="400" t="s">
        <v>1403</v>
      </c>
    </row>
    <row r="131" customFormat="false" ht="15" hidden="false" customHeight="false" outlineLevel="0" collapsed="false">
      <c r="A131" s="406"/>
      <c r="B131" s="400" t="s">
        <v>1404</v>
      </c>
    </row>
    <row r="132" customFormat="false" ht="28.4" hidden="false" customHeight="false" outlineLevel="0" collapsed="false">
      <c r="A132" s="406"/>
      <c r="B132" s="400" t="s">
        <v>1405</v>
      </c>
    </row>
    <row r="133" customFormat="false" ht="15" hidden="false" customHeight="false" outlineLevel="0" collapsed="false">
      <c r="A133" s="406"/>
      <c r="B133" s="400" t="s">
        <v>1333</v>
      </c>
    </row>
    <row r="134" customFormat="false" ht="28.4" hidden="false" customHeight="false" outlineLevel="0" collapsed="false">
      <c r="A134" s="406"/>
      <c r="B134" s="400" t="s">
        <v>1406</v>
      </c>
    </row>
    <row r="135" customFormat="false" ht="87.75" hidden="false" customHeight="true" outlineLevel="0" collapsed="false">
      <c r="A135" s="406"/>
      <c r="B135" s="400" t="s">
        <v>1407</v>
      </c>
    </row>
    <row r="136" customFormat="false" ht="21" hidden="false" customHeight="true" outlineLevel="0" collapsed="false">
      <c r="A136" s="406"/>
      <c r="B136" s="400" t="s">
        <v>1350</v>
      </c>
    </row>
    <row r="137" customFormat="false" ht="69.75" hidden="false" customHeight="true" outlineLevel="0" collapsed="false">
      <c r="A137" s="406"/>
      <c r="B137" s="394" t="s">
        <v>1351</v>
      </c>
    </row>
    <row r="138" customFormat="false" ht="15" hidden="false" customHeight="false" outlineLevel="0" collapsed="false">
      <c r="A138" s="406"/>
      <c r="B138" s="400" t="s">
        <v>1408</v>
      </c>
    </row>
    <row r="139" customFormat="false" ht="15" hidden="false" customHeight="true" outlineLevel="0" collapsed="false">
      <c r="A139" s="407" t="s">
        <v>1409</v>
      </c>
      <c r="B139" s="400" t="s">
        <v>1410</v>
      </c>
    </row>
    <row r="140" customFormat="false" ht="15" hidden="false" customHeight="false" outlineLevel="0" collapsed="false">
      <c r="A140" s="407"/>
      <c r="B140" s="400" t="s">
        <v>1411</v>
      </c>
    </row>
    <row r="141" customFormat="false" ht="15" hidden="false" customHeight="false" outlineLevel="0" collapsed="false">
      <c r="A141" s="407"/>
      <c r="B141" s="400" t="s">
        <v>1412</v>
      </c>
    </row>
    <row r="142" customFormat="false" ht="15" hidden="false" customHeight="false" outlineLevel="0" collapsed="false">
      <c r="A142" s="407"/>
      <c r="B142" s="400" t="s">
        <v>1413</v>
      </c>
    </row>
    <row r="143" customFormat="false" ht="15" hidden="false" customHeight="false" outlineLevel="0" collapsed="false">
      <c r="A143" s="407"/>
      <c r="B143" s="400" t="s">
        <v>1414</v>
      </c>
    </row>
    <row r="144" customFormat="false" ht="15" hidden="false" customHeight="false" outlineLevel="0" collapsed="false">
      <c r="A144" s="407"/>
      <c r="B144" s="400" t="s">
        <v>1415</v>
      </c>
    </row>
    <row r="145" customFormat="false" ht="15" hidden="false" customHeight="false" outlineLevel="0" collapsed="false">
      <c r="A145" s="407"/>
      <c r="B145" s="400" t="s">
        <v>1416</v>
      </c>
    </row>
    <row r="146" customFormat="false" ht="15" hidden="false" customHeight="false" outlineLevel="0" collapsed="false">
      <c r="A146" s="407"/>
      <c r="B146" s="408" t="s">
        <v>1417</v>
      </c>
    </row>
  </sheetData>
  <mergeCells count="17">
    <mergeCell ref="A1:B1"/>
    <mergeCell ref="A2:B2"/>
    <mergeCell ref="A16:A17"/>
    <mergeCell ref="A18:A19"/>
    <mergeCell ref="A39:A45"/>
    <mergeCell ref="A47:A49"/>
    <mergeCell ref="A50:A59"/>
    <mergeCell ref="A60:A64"/>
    <mergeCell ref="A65:A70"/>
    <mergeCell ref="A71:A78"/>
    <mergeCell ref="A79:A88"/>
    <mergeCell ref="A89:A98"/>
    <mergeCell ref="A99:A104"/>
    <mergeCell ref="A105:A114"/>
    <mergeCell ref="A115:A119"/>
    <mergeCell ref="A120:A138"/>
    <mergeCell ref="A139:A146"/>
  </mergeCells>
  <printOptions headings="false" gridLines="false" gridLinesSet="true" horizontalCentered="false" verticalCentered="false"/>
  <pageMargins left="0.25" right="0.25" top="0.75" bottom="0.75" header="0.511811023622047" footer="0.511811023622047"/>
  <pageSetup paperSize="1" scale="100" fitToWidth="0" fitToHeight="1" pageOrder="downThenOver" orientation="landscape"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_rels/item5.xml.rels><?xml version="1.0" encoding="UTF-8"?>
<Relationships xmlns="http://schemas.openxmlformats.org/package/2006/relationships"><Relationship Id="rId1" Type="http://schemas.openxmlformats.org/officeDocument/2006/relationships/customXmlProps" Target="itemProps5.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26ce853-7349-4a33-988e-bfef8f1d57f1" ContentTypeId="0x0101" PreviousValue="false"/>
</file>

<file path=customXml/item4.xml><?xml version="1.0" encoding="utf-8"?>
<?mso-contentType ?>
<spe:Receivers xmlns:spe="http://schemas.microsoft.com/sharepoint/events"/>
</file>

<file path=customXml/item5.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1DA5C1E-72ED-4314-A873-2B6C11E61DCD}">
  <ds:schemaRefs/>
</ds:datastoreItem>
</file>

<file path=customXml/itemProps2.xml><?xml version="1.0" encoding="utf-8"?>
<ds:datastoreItem xmlns:ds="http://schemas.openxmlformats.org/officeDocument/2006/customXml" ds:itemID="{8AEF2A48-5B03-4C1F-A9CC-64566AC26633}">
  <ds:schemaRefs/>
</ds:datastoreItem>
</file>

<file path=customXml/itemProps3.xml><?xml version="1.0" encoding="utf-8"?>
<ds:datastoreItem xmlns:ds="http://schemas.openxmlformats.org/officeDocument/2006/customXml" ds:itemID="{380B81BC-85E0-4D67-BFED-138FCE9FF794}">
  <ds:schemaRefs/>
</ds:datastoreItem>
</file>

<file path=customXml/itemProps4.xml><?xml version="1.0" encoding="utf-8"?>
<ds:datastoreItem xmlns:ds="http://schemas.openxmlformats.org/officeDocument/2006/customXml" ds:itemID="{7A65462B-16B3-4AE8-A1F2-F3CFA40C79E9}">
  <ds:schemaRefs/>
</ds:datastoreItem>
</file>

<file path=customXml/itemProps5.xml><?xml version="1.0" encoding="utf-8"?>
<ds:datastoreItem xmlns:ds="http://schemas.openxmlformats.org/officeDocument/2006/customXml" ds:itemID="{25A08AC0-783C-4C1B-927A-AB27E36B29B1}">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2020-01-31T18:40:00Z</dcterms:created>
  <dc:creator>Black, Tyler M (CTR)</dc:creator>
  <dc:description/>
  <dc:language>en-US</dc:language>
  <cp:lastModifiedBy/>
  <dcterms:modified xsi:type="dcterms:W3CDTF">2026-07-17T22:32:30Z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0x010100B2CC6643690C2D4A8E9C51BEFB2BDFED</vt:lpwstr>
  </property>
  <property fmtid="{D5CDD505-2E9C-101B-9397-08002B2CF9AE}" pid="4" name="ICV">
    <vt:lpwstr>1EEDEA7BCEE04F53A5D2FB311A727BF2_12</vt:lpwstr>
  </property>
  <property fmtid="{D5CDD505-2E9C-101B-9397-08002B2CF9AE}" pid="5" name="KSOProductBuildVer">
    <vt:lpwstr>1033-12.2.0.23196</vt:lpwstr>
  </property>
  <property fmtid="{D5CDD505-2E9C-101B-9397-08002B2CF9AE}" pid="6" name="MediaServiceImageTags">
    <vt:lpwstr/>
  </property>
  <property fmtid="{D5CDD505-2E9C-101B-9397-08002B2CF9AE}" pid="7" name="Order">
    <vt:r8>808900</vt:r8>
  </property>
  <property fmtid="{D5CDD505-2E9C-101B-9397-08002B2CF9AE}" pid="8" name="TemplateUrl">
    <vt:lpwstr/>
  </property>
  <property fmtid="{D5CDD505-2E9C-101B-9397-08002B2CF9AE}" pid="9" name="TriggerFlowInfo">
    <vt:lpwstr/>
  </property>
  <property fmtid="{D5CDD505-2E9C-101B-9397-08002B2CF9AE}" pid="10" name="Workbook id">
    <vt:lpwstr>314fce5b-a83b-4d64-a39b-3066b2b6d662</vt:lpwstr>
  </property>
  <property fmtid="{D5CDD505-2E9C-101B-9397-08002B2CF9AE}" pid="11" name="Workbook type">
    <vt:lpwstr>Custom</vt:lpwstr>
  </property>
  <property fmtid="{D5CDD505-2E9C-101B-9397-08002B2CF9AE}" pid="12" name="Workbook version">
    <vt:lpwstr>Custom</vt:lpwstr>
  </property>
  <property fmtid="{D5CDD505-2E9C-101B-9397-08002B2CF9AE}" pid="13" name="_ExtendedDescription">
    <vt:lpwstr/>
  </property>
  <property fmtid="{D5CDD505-2E9C-101B-9397-08002B2CF9AE}" pid="14" name="xd_ProgID">
    <vt:lpwstr/>
  </property>
  <property fmtid="{D5CDD505-2E9C-101B-9397-08002B2CF9AE}" pid="15" name="xd_Signature">
    <vt:bool>0</vt:bool>
  </property>
</Properties>
</file>