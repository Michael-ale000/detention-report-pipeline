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namedSheetViews/namedSheetView1.xml" ContentType="application/vnd.ms-excel.namedsheetview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codeName="ThisWorkbook" defaultThemeVersion="166925"/>
  <mc:AlternateContent xmlns:mc="http://schemas.openxmlformats.org/markup-compatibility/2006">
    <mc:Choice Requires="x15">
      <x15ac:absPath xmlns:x15ac="http://schemas.microsoft.com/office/spreadsheetml/2010/11/ac" url="C:\Users\adamj\TRAC\ATD\"/>
    </mc:Choice>
  </mc:AlternateContent>
  <xr:revisionPtr revIDLastSave="0" documentId="8_{532E717A-F455-4494-87FB-4D5F2FB1B8D0}" xr6:coauthVersionLast="47" xr6:coauthVersionMax="47" xr10:uidLastSave="{00000000-0000-0000-0000-000000000000}"/>
  <bookViews>
    <workbookView xWindow="28680" yWindow="-120" windowWidth="29040" windowHeight="15720" tabRatio="668" firstSheet="1" activeTab="1" xr2:uid="{00000000-000D-0000-FFFF-FFFF00000000}"/>
  </bookViews>
  <sheets>
    <sheet name="Header" sheetId="9" r:id="rId1"/>
    <sheet name="ATD FY25 YTD" sheetId="28" r:id="rId2"/>
    <sheet name="Detention FY25" sheetId="29" r:id="rId3"/>
    <sheet name=" ICLOS and Detainees" sheetId="30" r:id="rId4"/>
    <sheet name="Semiannual" sheetId="31" r:id="rId5"/>
    <sheet name="Monthly Bond Statistics" sheetId="32" r:id="rId6"/>
    <sheet name="Facilities FY25" sheetId="27" r:id="rId7"/>
    <sheet name="Monthly Segregation" sheetId="17" r:id="rId8"/>
    <sheet name="Vulnerable &amp; Special Population" sheetId="18" r:id="rId9"/>
    <sheet name="Footnotes" sheetId="33" r:id="rId10"/>
  </sheets>
  <definedNames>
    <definedName name="_xlnm._FilterDatabase" localSheetId="4" hidden="1">Semiannual!$A$94:$F$110</definedName>
    <definedName name="_xlnm.Print_Area" localSheetId="2">'Detention FY25'!$A$1:$V$131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6" i="32" l="1"/>
  <c r="O6" i="32"/>
  <c r="N6" i="32"/>
  <c r="M6" i="32"/>
  <c r="L6" i="32"/>
  <c r="K6" i="32"/>
  <c r="J6" i="32"/>
  <c r="I6" i="32"/>
  <c r="H6" i="32"/>
  <c r="G6" i="32"/>
  <c r="F6" i="32"/>
  <c r="E6" i="32"/>
  <c r="D6" i="32"/>
  <c r="C6" i="32"/>
  <c r="B6" i="32"/>
  <c r="BA33" i="30"/>
  <c r="AZ33" i="30"/>
  <c r="AY33" i="30"/>
  <c r="AX33" i="30"/>
  <c r="AW33" i="30"/>
  <c r="AV33" i="30"/>
  <c r="AU33" i="30"/>
  <c r="AT33" i="30"/>
  <c r="AS33" i="30"/>
  <c r="AR33" i="30"/>
  <c r="AQ33" i="30"/>
  <c r="AP33" i="30"/>
  <c r="AO33" i="30"/>
  <c r="AN33" i="30"/>
  <c r="AM33" i="30"/>
  <c r="AL33" i="30"/>
  <c r="AK33" i="30"/>
  <c r="AJ33" i="30"/>
  <c r="AI33" i="30"/>
  <c r="AH33" i="30"/>
  <c r="AG33" i="30"/>
  <c r="AF33" i="30"/>
  <c r="AE33" i="30"/>
  <c r="AD33" i="30"/>
  <c r="AC33" i="30"/>
  <c r="AB33" i="30"/>
  <c r="AA33" i="30"/>
  <c r="Z33" i="30"/>
  <c r="Y33" i="30"/>
  <c r="X33" i="30"/>
  <c r="W33" i="30"/>
  <c r="V33" i="30"/>
  <c r="U33" i="30"/>
  <c r="T33" i="30"/>
  <c r="S33" i="30"/>
  <c r="R33" i="30"/>
  <c r="Q33" i="30"/>
  <c r="P33" i="30"/>
  <c r="O33" i="30"/>
  <c r="N33" i="30"/>
  <c r="M33" i="30"/>
  <c r="L33" i="30"/>
  <c r="K33" i="30"/>
  <c r="J33" i="30"/>
  <c r="I33" i="30"/>
  <c r="H33" i="30"/>
  <c r="G33" i="30"/>
  <c r="F33" i="30"/>
  <c r="E33" i="30"/>
  <c r="D33" i="30"/>
  <c r="C33" i="30"/>
  <c r="B33" i="30"/>
  <c r="BA32" i="30"/>
  <c r="AZ32" i="30"/>
  <c r="AY32" i="30"/>
  <c r="AX32" i="30"/>
  <c r="AW32" i="30"/>
  <c r="AV32" i="30"/>
  <c r="AU32" i="30"/>
  <c r="AT32" i="30"/>
  <c r="AS32" i="30"/>
  <c r="AR32" i="30"/>
  <c r="AQ32" i="30"/>
  <c r="AP32" i="30"/>
  <c r="AO32" i="30"/>
  <c r="AN32" i="30"/>
  <c r="AM32" i="30"/>
  <c r="AL32" i="30"/>
  <c r="AK32" i="30"/>
  <c r="AJ32" i="30"/>
  <c r="AI32" i="30"/>
  <c r="AH32" i="30"/>
  <c r="AG32" i="30"/>
  <c r="AF32" i="30"/>
  <c r="AE32" i="30"/>
  <c r="AD32" i="30"/>
  <c r="AC32" i="30"/>
  <c r="AB32" i="30"/>
  <c r="AA32" i="30"/>
  <c r="Z32" i="30"/>
  <c r="Y32" i="30"/>
  <c r="X32" i="30"/>
  <c r="W32" i="30"/>
  <c r="V32" i="30"/>
  <c r="U32" i="30"/>
  <c r="T32" i="30"/>
  <c r="S32" i="30"/>
  <c r="R32" i="30"/>
  <c r="Q32" i="30"/>
  <c r="P32" i="30"/>
  <c r="O32" i="30"/>
  <c r="N32" i="30"/>
  <c r="M32" i="30"/>
  <c r="L32" i="30"/>
  <c r="K32" i="30"/>
  <c r="J32" i="30"/>
  <c r="I32" i="30"/>
  <c r="H32" i="30"/>
  <c r="G32" i="30"/>
  <c r="F32" i="30"/>
  <c r="E32" i="30"/>
  <c r="D32" i="30"/>
  <c r="C32" i="30"/>
  <c r="B32" i="30"/>
  <c r="BA31" i="30"/>
  <c r="AZ31" i="30"/>
  <c r="AY31" i="30"/>
  <c r="AX31" i="30"/>
  <c r="AW31" i="30"/>
  <c r="AV31" i="30"/>
  <c r="AU31" i="30"/>
  <c r="AT31" i="30"/>
  <c r="AS31" i="30"/>
  <c r="AR31" i="30"/>
  <c r="AQ31" i="30"/>
  <c r="AP31" i="30"/>
  <c r="AO31" i="30"/>
  <c r="AN31" i="30"/>
  <c r="AM31" i="30"/>
  <c r="AL31" i="30"/>
  <c r="AK31" i="30"/>
  <c r="AJ31" i="30"/>
  <c r="AI31" i="30"/>
  <c r="AH31" i="30"/>
  <c r="AG31" i="30"/>
  <c r="AF31" i="30"/>
  <c r="AE31" i="30"/>
  <c r="AD31" i="30"/>
  <c r="AC31" i="30"/>
  <c r="AB31" i="30"/>
  <c r="AA31" i="30"/>
  <c r="Z31" i="30"/>
  <c r="Y31" i="30"/>
  <c r="X31" i="30"/>
  <c r="W31" i="30"/>
  <c r="V31" i="30"/>
  <c r="U31" i="30"/>
  <c r="T31" i="30"/>
  <c r="S31" i="30"/>
  <c r="R31" i="30"/>
  <c r="Q31" i="30"/>
  <c r="P31" i="30"/>
  <c r="O31" i="30"/>
  <c r="N31" i="30"/>
  <c r="M31" i="30"/>
  <c r="L31" i="30"/>
  <c r="K31" i="30"/>
  <c r="J31" i="30"/>
  <c r="I31" i="30"/>
  <c r="H31" i="30"/>
  <c r="G31" i="30"/>
  <c r="F31" i="30"/>
  <c r="E31" i="30"/>
  <c r="D31" i="30"/>
  <c r="C31" i="30"/>
  <c r="B31" i="30"/>
  <c r="BA30" i="30"/>
  <c r="BA34" i="30" s="1"/>
  <c r="AZ30" i="30"/>
  <c r="AZ34" i="30" s="1"/>
  <c r="AY30" i="30"/>
  <c r="AY34" i="30" s="1"/>
  <c r="AX30" i="30"/>
  <c r="AX34" i="30" s="1"/>
  <c r="AW30" i="30"/>
  <c r="AW34" i="30" s="1"/>
  <c r="AV30" i="30"/>
  <c r="AV34" i="30" s="1"/>
  <c r="AU30" i="30"/>
  <c r="AU34" i="30" s="1"/>
  <c r="AT30" i="30"/>
  <c r="AT34" i="30" s="1"/>
  <c r="AS30" i="30"/>
  <c r="AS34" i="30" s="1"/>
  <c r="AR30" i="30"/>
  <c r="AR34" i="30" s="1"/>
  <c r="AQ30" i="30"/>
  <c r="AQ34" i="30" s="1"/>
  <c r="AP30" i="30"/>
  <c r="AP34" i="30" s="1"/>
  <c r="AO30" i="30"/>
  <c r="AO34" i="30" s="1"/>
  <c r="AN30" i="30"/>
  <c r="AN34" i="30" s="1"/>
  <c r="AM30" i="30"/>
  <c r="AM34" i="30" s="1"/>
  <c r="AL30" i="30"/>
  <c r="AL34" i="30" s="1"/>
  <c r="AK30" i="30"/>
  <c r="AK34" i="30" s="1"/>
  <c r="AJ30" i="30"/>
  <c r="AJ34" i="30" s="1"/>
  <c r="AI30" i="30"/>
  <c r="AI34" i="30" s="1"/>
  <c r="AH30" i="30"/>
  <c r="AH34" i="30" s="1"/>
  <c r="AG30" i="30"/>
  <c r="AG34" i="30" s="1"/>
  <c r="AF30" i="30"/>
  <c r="AF34" i="30" s="1"/>
  <c r="AE30" i="30"/>
  <c r="AE34" i="30" s="1"/>
  <c r="AD30" i="30"/>
  <c r="AD34" i="30" s="1"/>
  <c r="AC30" i="30"/>
  <c r="AC34" i="30" s="1"/>
  <c r="AB30" i="30"/>
  <c r="AB34" i="30" s="1"/>
  <c r="AA30" i="30"/>
  <c r="AA34" i="30" s="1"/>
  <c r="Z30" i="30"/>
  <c r="Z34" i="30" s="1"/>
  <c r="Y30" i="30"/>
  <c r="Y34" i="30" s="1"/>
  <c r="X30" i="30"/>
  <c r="X34" i="30" s="1"/>
  <c r="W30" i="30"/>
  <c r="W34" i="30" s="1"/>
  <c r="V30" i="30"/>
  <c r="V34" i="30" s="1"/>
  <c r="U30" i="30"/>
  <c r="U34" i="30" s="1"/>
  <c r="T30" i="30"/>
  <c r="T34" i="30" s="1"/>
  <c r="S30" i="30"/>
  <c r="S34" i="30" s="1"/>
  <c r="R30" i="30"/>
  <c r="R34" i="30" s="1"/>
  <c r="Q30" i="30"/>
  <c r="Q34" i="30" s="1"/>
  <c r="P30" i="30"/>
  <c r="P34" i="30" s="1"/>
  <c r="O30" i="30"/>
  <c r="O34" i="30" s="1"/>
  <c r="N30" i="30"/>
  <c r="N34" i="30" s="1"/>
  <c r="M30" i="30"/>
  <c r="M34" i="30" s="1"/>
  <c r="L30" i="30"/>
  <c r="L34" i="30" s="1"/>
  <c r="K30" i="30"/>
  <c r="K34" i="30" s="1"/>
  <c r="J30" i="30"/>
  <c r="J34" i="30" s="1"/>
  <c r="I30" i="30"/>
  <c r="I34" i="30" s="1"/>
  <c r="H30" i="30"/>
  <c r="H34" i="30" s="1"/>
  <c r="G30" i="30"/>
  <c r="G34" i="30" s="1"/>
  <c r="F30" i="30"/>
  <c r="F34" i="30" s="1"/>
  <c r="E30" i="30"/>
  <c r="E34" i="30" s="1"/>
  <c r="D30" i="30"/>
  <c r="D34" i="30" s="1"/>
  <c r="C30" i="30"/>
  <c r="C34" i="30" s="1"/>
  <c r="B30" i="30"/>
  <c r="B34" i="30" s="1"/>
  <c r="C158" i="29"/>
  <c r="O152" i="29"/>
  <c r="O151" i="29"/>
  <c r="O150" i="29"/>
  <c r="O149" i="29"/>
  <c r="O148" i="29"/>
  <c r="O147" i="29"/>
  <c r="N143" i="29"/>
  <c r="N142" i="29"/>
  <c r="N141" i="29"/>
  <c r="O85" i="29"/>
  <c r="O84" i="29"/>
  <c r="O83" i="29"/>
  <c r="O82" i="29"/>
  <c r="N82" i="29"/>
  <c r="M82" i="29"/>
  <c r="L82" i="29"/>
  <c r="K82" i="29"/>
  <c r="J82" i="29"/>
  <c r="I82" i="29"/>
  <c r="H82" i="29"/>
  <c r="G82" i="29"/>
  <c r="F82" i="29"/>
  <c r="E82" i="29"/>
  <c r="D82" i="29"/>
  <c r="C82" i="29"/>
  <c r="O81" i="29"/>
  <c r="O80" i="29"/>
  <c r="O79" i="29"/>
  <c r="N78" i="29"/>
  <c r="M78" i="29"/>
  <c r="L78" i="29"/>
  <c r="K78" i="29"/>
  <c r="J78" i="29"/>
  <c r="I78" i="29"/>
  <c r="H78" i="29"/>
  <c r="G78" i="29"/>
  <c r="O78" i="29" s="1"/>
  <c r="F78" i="29"/>
  <c r="E78" i="29"/>
  <c r="D78" i="29"/>
  <c r="C78" i="29"/>
  <c r="O77" i="29"/>
  <c r="O76" i="29"/>
  <c r="O75" i="29"/>
  <c r="N74" i="29"/>
  <c r="M74" i="29"/>
  <c r="L74" i="29"/>
  <c r="K74" i="29"/>
  <c r="J74" i="29"/>
  <c r="I74" i="29"/>
  <c r="H74" i="29"/>
  <c r="G74" i="29"/>
  <c r="O74" i="29" s="1"/>
  <c r="F74" i="29"/>
  <c r="E74" i="29"/>
  <c r="D74" i="29"/>
  <c r="C74" i="29"/>
  <c r="O73" i="29"/>
  <c r="O72" i="29"/>
  <c r="O71" i="29"/>
  <c r="N70" i="29"/>
  <c r="M70" i="29"/>
  <c r="L70" i="29"/>
  <c r="K70" i="29"/>
  <c r="J70" i="29"/>
  <c r="I70" i="29"/>
  <c r="H70" i="29"/>
  <c r="G70" i="29"/>
  <c r="O70" i="29" s="1"/>
  <c r="F70" i="29"/>
  <c r="E70" i="29"/>
  <c r="D70" i="29"/>
  <c r="C70" i="29"/>
  <c r="O69" i="29"/>
  <c r="O68" i="29"/>
  <c r="O67" i="29"/>
  <c r="O66" i="29"/>
  <c r="N66" i="29"/>
  <c r="M66" i="29"/>
  <c r="L66" i="29"/>
  <c r="K66" i="29"/>
  <c r="J66" i="29"/>
  <c r="I66" i="29"/>
  <c r="H66" i="29"/>
  <c r="G66" i="29"/>
  <c r="F66" i="29"/>
  <c r="E66" i="29"/>
  <c r="D66" i="29"/>
  <c r="C66" i="29"/>
  <c r="O65" i="29"/>
  <c r="O64" i="29"/>
  <c r="O63" i="29"/>
  <c r="N62" i="29"/>
  <c r="M62" i="29"/>
  <c r="L62" i="29"/>
  <c r="K62" i="29"/>
  <c r="J62" i="29"/>
  <c r="I62" i="29"/>
  <c r="H62" i="29"/>
  <c r="G62" i="29"/>
  <c r="O62" i="29" s="1"/>
  <c r="F62" i="29"/>
  <c r="E62" i="29"/>
  <c r="D62" i="29"/>
  <c r="C62" i="29"/>
  <c r="O61" i="29"/>
  <c r="O60" i="29"/>
  <c r="O59" i="29"/>
  <c r="N58" i="29"/>
  <c r="M58" i="29"/>
  <c r="L58" i="29"/>
  <c r="K58" i="29"/>
  <c r="J58" i="29"/>
  <c r="I58" i="29"/>
  <c r="H58" i="29"/>
  <c r="G58" i="29"/>
  <c r="O58" i="29" s="1"/>
  <c r="F58" i="29"/>
  <c r="E58" i="29"/>
  <c r="D58" i="29"/>
  <c r="C58" i="29"/>
  <c r="O57" i="29"/>
  <c r="O56" i="29"/>
  <c r="O55" i="29"/>
  <c r="O54" i="29"/>
  <c r="N54" i="29"/>
  <c r="M54" i="29"/>
  <c r="L54" i="29"/>
  <c r="K54" i="29"/>
  <c r="J54" i="29"/>
  <c r="I54" i="29"/>
  <c r="H54" i="29"/>
  <c r="G54" i="29"/>
  <c r="F54" i="29"/>
  <c r="E54" i="29"/>
  <c r="D54" i="29"/>
  <c r="C54" i="29"/>
  <c r="O53" i="29"/>
  <c r="O52" i="29"/>
  <c r="O51" i="29"/>
  <c r="N50" i="29"/>
  <c r="M50" i="29"/>
  <c r="L50" i="29"/>
  <c r="K50" i="29"/>
  <c r="J50" i="29"/>
  <c r="I50" i="29"/>
  <c r="H50" i="29"/>
  <c r="G50" i="29"/>
  <c r="O50" i="29" s="1"/>
  <c r="F50" i="29"/>
  <c r="E50" i="29"/>
  <c r="D50" i="29"/>
  <c r="C50" i="29"/>
  <c r="O49" i="29"/>
  <c r="O48" i="29"/>
  <c r="O47" i="29"/>
  <c r="N46" i="29"/>
  <c r="M46" i="29"/>
  <c r="L46" i="29"/>
  <c r="K46" i="29"/>
  <c r="J46" i="29"/>
  <c r="I46" i="29"/>
  <c r="H46" i="29"/>
  <c r="G46" i="29"/>
  <c r="O46" i="29" s="1"/>
  <c r="F46" i="29"/>
  <c r="E46" i="29"/>
  <c r="D46" i="29"/>
  <c r="C46" i="29"/>
  <c r="O45" i="29"/>
  <c r="O44" i="29"/>
  <c r="O43" i="29"/>
  <c r="N42" i="29"/>
  <c r="M42" i="29"/>
  <c r="L42" i="29"/>
  <c r="K42" i="29"/>
  <c r="J42" i="29"/>
  <c r="I42" i="29"/>
  <c r="H42" i="29"/>
  <c r="G42" i="29"/>
  <c r="O42" i="29" s="1"/>
  <c r="F42" i="29"/>
  <c r="E42" i="29"/>
  <c r="D42" i="29"/>
  <c r="C42" i="29"/>
  <c r="O41" i="29"/>
  <c r="O40" i="29"/>
  <c r="O39" i="29"/>
  <c r="O38" i="29"/>
  <c r="N38" i="29"/>
  <c r="N37" i="29" s="1"/>
  <c r="M38" i="29"/>
  <c r="L38" i="29"/>
  <c r="K38" i="29"/>
  <c r="J38" i="29"/>
  <c r="I38" i="29"/>
  <c r="I37" i="29" s="1"/>
  <c r="H38" i="29"/>
  <c r="H37" i="29" s="1"/>
  <c r="G38" i="29"/>
  <c r="G37" i="29" s="1"/>
  <c r="F38" i="29"/>
  <c r="F37" i="29" s="1"/>
  <c r="E38" i="29"/>
  <c r="D38" i="29"/>
  <c r="C38" i="29"/>
  <c r="M37" i="29"/>
  <c r="L37" i="29"/>
  <c r="K37" i="29"/>
  <c r="J37" i="29"/>
  <c r="E37" i="29"/>
  <c r="D37" i="29"/>
  <c r="C37" i="29"/>
  <c r="E30" i="29"/>
  <c r="J29" i="29"/>
  <c r="D29" i="29"/>
  <c r="C29" i="29"/>
  <c r="B29" i="29"/>
  <c r="E29" i="29" s="1"/>
  <c r="F23" i="29"/>
  <c r="E23" i="29" s="1"/>
  <c r="V22" i="29"/>
  <c r="F22" i="29"/>
  <c r="E22" i="29"/>
  <c r="C22" i="29"/>
  <c r="V21" i="29"/>
  <c r="F21" i="29"/>
  <c r="C21" i="29" s="1"/>
  <c r="E21" i="29"/>
  <c r="U20" i="29"/>
  <c r="T20" i="29"/>
  <c r="S20" i="29"/>
  <c r="R20" i="29"/>
  <c r="Q20" i="29"/>
  <c r="P20" i="29"/>
  <c r="O20" i="29"/>
  <c r="N20" i="29"/>
  <c r="M20" i="29"/>
  <c r="L20" i="29"/>
  <c r="K20" i="29"/>
  <c r="J20" i="29"/>
  <c r="V20" i="29" s="1"/>
  <c r="F20" i="29"/>
  <c r="E20" i="29"/>
  <c r="D20" i="29"/>
  <c r="B20" i="29"/>
  <c r="C20" i="29" s="1"/>
  <c r="C14" i="29"/>
  <c r="C13" i="29"/>
  <c r="C12" i="29"/>
  <c r="C11" i="29"/>
  <c r="C10" i="29"/>
  <c r="B10" i="29"/>
  <c r="A26" i="28"/>
  <c r="O37" i="29" l="1"/>
  <c r="C23" i="29"/>
</calcChain>
</file>

<file path=xl/sharedStrings.xml><?xml version="1.0" encoding="utf-8"?>
<sst xmlns="http://schemas.openxmlformats.org/spreadsheetml/2006/main" count="3278" uniqueCount="966">
  <si>
    <t>ICE Detention Statistics</t>
  </si>
  <si>
    <t>These statistics are made available to the public pursuant to the Fiscal Year 2020 Department of Homeland Security Appropriations Bill.</t>
  </si>
  <si>
    <t xml:space="preserve">ICE provides the following Detention and Alternatives to Detention (ATD) statistics, which may be downloaded by clicking below. The data tables are searchable and sortable, and worksheets are protected to ensure their accuracy and reliability. </t>
  </si>
  <si>
    <t>Records related to credible fear are USCIS records, and are provided to ICE by USCIS.</t>
  </si>
  <si>
    <t xml:space="preserve">ICE confirms the integrity of the data as published on this site and cannot attest to subsequent transmissions.  Data fluctuate until “locked” at the conclusion of the fiscal year. </t>
  </si>
  <si>
    <t xml:space="preserve"> </t>
  </si>
  <si>
    <t>These statistics are made available to the public pursuant to H.R. 1158 Sec. 218 - Department of Homeland Security Appropriations Act, 2020. ) *The information in this report is subject to change.</t>
  </si>
  <si>
    <t>ICE FACILITIES DATA, FY25</t>
  </si>
  <si>
    <t>ICE Enforcement and Removal Operations Data, FY2025</t>
  </si>
  <si>
    <t xml:space="preserve">This list is limited to facilities that have a population count of greater than or equal to 1 as the time of the data pull.  This list does not include HOLD, HOSPITAL, HOTEL, ORR, or MIRP facilities.  </t>
  </si>
  <si>
    <t>Facility Average Length of Stay</t>
  </si>
  <si>
    <t>FY25 ADP: Detainee Classification Level</t>
  </si>
  <si>
    <t>FY25 ADP: Criminality</t>
  </si>
  <si>
    <t>FY25 ADP: ICE Threat Level</t>
  </si>
  <si>
    <t>FY25 ADP: Mandatory</t>
  </si>
  <si>
    <t>Contract Facility Inspections Information</t>
  </si>
  <si>
    <t>Data Source: ICE Integrated Decision Support (IIDS), 02/18/2025</t>
  </si>
  <si>
    <t>Name</t>
  </si>
  <si>
    <t>Address</t>
  </si>
  <si>
    <t>City</t>
  </si>
  <si>
    <t>State</t>
  </si>
  <si>
    <t>Zip</t>
  </si>
  <si>
    <t>AOR</t>
  </si>
  <si>
    <t>Type Detailed</t>
  </si>
  <si>
    <t>Male/Female</t>
  </si>
  <si>
    <t>FY25 ALOS</t>
  </si>
  <si>
    <t>Level A</t>
  </si>
  <si>
    <t>Level B</t>
  </si>
  <si>
    <t>Level C</t>
  </si>
  <si>
    <t>Level D</t>
  </si>
  <si>
    <t>Male Crim</t>
  </si>
  <si>
    <t>Male Non-Crim</t>
  </si>
  <si>
    <t>Female Crim</t>
  </si>
  <si>
    <t>Female Non-Crim</t>
  </si>
  <si>
    <t>ICE Threat Level 1</t>
  </si>
  <si>
    <t>ICE Threat Level 2</t>
  </si>
  <si>
    <t>ICE Threat Level 3</t>
  </si>
  <si>
    <t>No ICE Threat Level</t>
  </si>
  <si>
    <t>Mandatory</t>
  </si>
  <si>
    <t>Guaranteed Minimum</t>
  </si>
  <si>
    <t>Last Inspection Type</t>
  </si>
  <si>
    <t>Last Inspection End Date</t>
  </si>
  <si>
    <t>Pending FY25 Inspection</t>
  </si>
  <si>
    <t>Last Inspection Standard</t>
  </si>
  <si>
    <t>Last Final Rating</t>
  </si>
  <si>
    <t>ADAMS COUNTY DET CENTER</t>
  </si>
  <si>
    <t>20 HOBO FORK RD.</t>
  </si>
  <si>
    <t>NATCHEZ</t>
  </si>
  <si>
    <t>MS</t>
  </si>
  <si>
    <t>NOL</t>
  </si>
  <si>
    <t>DIGSA</t>
  </si>
  <si>
    <t>Female/Male</t>
  </si>
  <si>
    <t>ODO</t>
  </si>
  <si>
    <t/>
  </si>
  <si>
    <t>PBNDS 2011 - 2016 Revised</t>
  </si>
  <si>
    <t>Pending Final Report</t>
  </si>
  <si>
    <t>ADELANTO ICE PROCESSING CENTER</t>
  </si>
  <si>
    <t>10250 RANCHO ROAD</t>
  </si>
  <si>
    <t>ADELANTO</t>
  </si>
  <si>
    <t>CA</t>
  </si>
  <si>
    <t>LOS</t>
  </si>
  <si>
    <t>CDF</t>
  </si>
  <si>
    <t>Scheduled</t>
  </si>
  <si>
    <t>Pass</t>
  </si>
  <si>
    <t>ALAMANCE COUNTY DETENTION FACILITY</t>
  </si>
  <si>
    <t>109 SOUTH MAPLE STREET</t>
  </si>
  <si>
    <t>GRAHAM</t>
  </si>
  <si>
    <t>NC</t>
  </si>
  <si>
    <t>ATL</t>
  </si>
  <si>
    <t>IGSA</t>
  </si>
  <si>
    <t>NDS 2019</t>
  </si>
  <si>
    <t>ALEXANDRIA STAGING FACILITY</t>
  </si>
  <si>
    <t>96 GEORGE THOMPSON DRIVE</t>
  </si>
  <si>
    <t>ALEXANDRIA</t>
  </si>
  <si>
    <t>LA</t>
  </si>
  <si>
    <t>STAGING</t>
  </si>
  <si>
    <t>Male</t>
  </si>
  <si>
    <t>N/A</t>
  </si>
  <si>
    <t>ALLEN PARISH PUBLIC SAFETY COMPLEX</t>
  </si>
  <si>
    <t>7340 HIGHWAY 26 WEST</t>
  </si>
  <si>
    <t>OBERLIN</t>
  </si>
  <si>
    <t>ATLANTA US PEN</t>
  </si>
  <si>
    <t>601 MCDONOUGH BOULEVARD, SE</t>
  </si>
  <si>
    <t>ATLANTA</t>
  </si>
  <si>
    <t>GA</t>
  </si>
  <si>
    <t>BOP</t>
  </si>
  <si>
    <t>BAKER COUNTY SHERIFF DEPT.</t>
  </si>
  <si>
    <t>1 SHERIFF OFFICE DRIVE</t>
  </si>
  <si>
    <t>MACCLENNY</t>
  </si>
  <si>
    <t>FL</t>
  </si>
  <si>
    <t>MIA</t>
  </si>
  <si>
    <t>BLUEBONNET DETENTION FACILITY</t>
  </si>
  <si>
    <t>400 2ND STREET</t>
  </si>
  <si>
    <t>ANSON</t>
  </si>
  <si>
    <t>TX</t>
  </si>
  <si>
    <t>DAL</t>
  </si>
  <si>
    <t>BOONE COUNTY JAIL</t>
  </si>
  <si>
    <t>3020 CONRAD LANE</t>
  </si>
  <si>
    <t>BURLINGTON</t>
  </si>
  <si>
    <t>KY</t>
  </si>
  <si>
    <t>CHI</t>
  </si>
  <si>
    <t>USMS IGA</t>
  </si>
  <si>
    <t>BROWARD COUNTY JAIL</t>
  </si>
  <si>
    <t>555 SE 1ST AVENUE</t>
  </si>
  <si>
    <t>FT.LAUDERDALE</t>
  </si>
  <si>
    <t>BROWARD TRANSITIONAL CENTER</t>
  </si>
  <si>
    <t>3900 NORTH POWERLINE ROAD</t>
  </si>
  <si>
    <t>POMPANO BEACH</t>
  </si>
  <si>
    <t>BUFFALO SERVICE PROCESSING CENTER</t>
  </si>
  <si>
    <t>4250 FEDERAL DRIVE</t>
  </si>
  <si>
    <t>BATAVIA</t>
  </si>
  <si>
    <t>NY</t>
  </si>
  <si>
    <t>BUF</t>
  </si>
  <si>
    <t>SPC</t>
  </si>
  <si>
    <t>CALHOUN COUNTY CORRECTIONAL CENTER</t>
  </si>
  <si>
    <t>185 EAST MICHIGAN AVENUE</t>
  </si>
  <si>
    <t>BATTLE CREEK</t>
  </si>
  <si>
    <t>MI</t>
  </si>
  <si>
    <t>DET</t>
  </si>
  <si>
    <t>CAROLINE DETENTION FACILITY</t>
  </si>
  <si>
    <t>11093 S.W. LEWIS MEMORIAL DRIVE</t>
  </si>
  <si>
    <t>BOWLING GREEN</t>
  </si>
  <si>
    <t>VA</t>
  </si>
  <si>
    <t>WAS</t>
  </si>
  <si>
    <t>CCA, FLORENCE CORRECTIONAL CENTER</t>
  </si>
  <si>
    <t>1100 BOWLING ROAD</t>
  </si>
  <si>
    <t>FLORENCE</t>
  </si>
  <si>
    <t>AZ</t>
  </si>
  <si>
    <t>PHO</t>
  </si>
  <si>
    <t>CENTRAL LOUISIANA ICE PROCESSING CENTER (CLIPC)</t>
  </si>
  <si>
    <t>830 PINEHILL ROAD</t>
  </si>
  <si>
    <t>JENA</t>
  </si>
  <si>
    <t>CHASE COUNTY JAIL</t>
  </si>
  <si>
    <t>301 SOUTH WALNUT STREET</t>
  </si>
  <si>
    <t>COTTONWOOD FALL</t>
  </si>
  <si>
    <t>KS</t>
  </si>
  <si>
    <t>CHIPPEWA COUNTY SSM</t>
  </si>
  <si>
    <t>325 COURT STREET</t>
  </si>
  <si>
    <t>SAULT STE MARIE</t>
  </si>
  <si>
    <t>CHITTENDEN REGIONAL CORRECTIONAL FACILITY</t>
  </si>
  <si>
    <t>7 FARRELL STREET</t>
  </si>
  <si>
    <t>SOUTH BURLINGTON</t>
  </si>
  <si>
    <t>VT</t>
  </si>
  <si>
    <t>BOS</t>
  </si>
  <si>
    <t>ORSA</t>
  </si>
  <si>
    <t>ORSA NDS 2019</t>
  </si>
  <si>
    <t>CIBOLA COUNTY CORRECTIONAL CENTER</t>
  </si>
  <si>
    <t>2000 CIBOLA LOOP</t>
  </si>
  <si>
    <t>MILAN</t>
  </si>
  <si>
    <t>NM</t>
  </si>
  <si>
    <t>ELP</t>
  </si>
  <si>
    <t>CLAY COUNTY JUSTICE CENTER</t>
  </si>
  <si>
    <t>611 EAST JACKSON STREET</t>
  </si>
  <si>
    <t>BRAZIL</t>
  </si>
  <si>
    <t>IN</t>
  </si>
  <si>
    <t>CLINTON COUNTY CORRECTIONAL FACILITY</t>
  </si>
  <si>
    <t>58 PINE MOUNTAIN RD.</t>
  </si>
  <si>
    <t>MCELHATTAN</t>
  </si>
  <si>
    <t>PA</t>
  </si>
  <si>
    <t>PHI</t>
  </si>
  <si>
    <t>CLINTON COUNTY JAIL</t>
  </si>
  <si>
    <t>25 MCCARTHY DRIVE</t>
  </si>
  <si>
    <t>PLATTSBURGH</t>
  </si>
  <si>
    <t>COASTAL BEND DETENTION FACILITY</t>
  </si>
  <si>
    <t>4909 FM 2826</t>
  </si>
  <si>
    <t>ROBSTOWN</t>
  </si>
  <si>
    <t>HLG</t>
  </si>
  <si>
    <t>COLLIER COUNTY NAPLES JAIL CENTER</t>
  </si>
  <si>
    <t>3347 TAMIAMI TRAIL E</t>
  </si>
  <si>
    <t>NAPLES</t>
  </si>
  <si>
    <t>CUMBERLAND COUNTY JAIL</t>
  </si>
  <si>
    <t>50 COUNTY WAY</t>
  </si>
  <si>
    <t>PORTLAND</t>
  </si>
  <si>
    <t>ME</t>
  </si>
  <si>
    <t>DAKOTA COUNTY JAIL</t>
  </si>
  <si>
    <t>1601 BROADWAY</t>
  </si>
  <si>
    <t>DAKOTA CITY</t>
  </si>
  <si>
    <t>NE</t>
  </si>
  <si>
    <t>SPM</t>
  </si>
  <si>
    <t>DENVER CONTRACT DETENTION FACILITY</t>
  </si>
  <si>
    <t>3130 OAKLAND ST</t>
  </si>
  <si>
    <t>AURORA</t>
  </si>
  <si>
    <t>CO</t>
  </si>
  <si>
    <t>DEN</t>
  </si>
  <si>
    <t>DEPARTMENT OF CORRECTIONS HAGATNA</t>
  </si>
  <si>
    <t>203 ASPINAL AVE. PO BOX 3236</t>
  </si>
  <si>
    <t>HAGATNA</t>
  </si>
  <si>
    <t>GU</t>
  </si>
  <si>
    <t>SFR</t>
  </si>
  <si>
    <t>DESERT VIEW ANNEX</t>
  </si>
  <si>
    <t>10450 RANCHO ROAD</t>
  </si>
  <si>
    <t>DODGE COUNTY JAIL</t>
  </si>
  <si>
    <t>215 WEST CENTRAL STREET</t>
  </si>
  <si>
    <t>JUNEAU</t>
  </si>
  <si>
    <t>WI</t>
  </si>
  <si>
    <t>EAST HIDALGO DETENTION CENTER</t>
  </si>
  <si>
    <t>1330 HIGHWAY 107</t>
  </si>
  <si>
    <t>LA VILLA</t>
  </si>
  <si>
    <t>EDEN DETENTION CTR</t>
  </si>
  <si>
    <t>702 E BROADWAY ST</t>
  </si>
  <si>
    <t>EDEN</t>
  </si>
  <si>
    <t>EL PASO SERVICE PROCESSING CENTER</t>
  </si>
  <si>
    <t>8915 MONTANA AVE.</t>
  </si>
  <si>
    <t>EL PASO</t>
  </si>
  <si>
    <t>EL VALLE DETENTION FACILITY</t>
  </si>
  <si>
    <t>1800 INDUSTRIAL DRIVE</t>
  </si>
  <si>
    <t>RAYMONDVILLE</t>
  </si>
  <si>
    <t>ELIZABETH CONTRACT DETENTION FACILITY</t>
  </si>
  <si>
    <t>625 EVANS STREET</t>
  </si>
  <si>
    <t>ELIZABETH</t>
  </si>
  <si>
    <t>NJ</t>
  </si>
  <si>
    <t>NEW</t>
  </si>
  <si>
    <t>ELOY FEDERAL CONTRACT FACILITY</t>
  </si>
  <si>
    <t>1705 EAST HANNA RD.</t>
  </si>
  <si>
    <t>ELOY</t>
  </si>
  <si>
    <t>FAYETTE COUNTY DETENTION CENTER</t>
  </si>
  <si>
    <t>600 OLD FRANKFORD CR</t>
  </si>
  <si>
    <t>LEXINGTON</t>
  </si>
  <si>
    <t>FDC PHILADELPHIA</t>
  </si>
  <si>
    <t>700 ARCH ST.</t>
  </si>
  <si>
    <t>PHILADELPHIA</t>
  </si>
  <si>
    <t>FLORENCE SERVICE PROCESSING CENTER</t>
  </si>
  <si>
    <t>3250 NORTH PINAL PARKWAY</t>
  </si>
  <si>
    <t>FLORENCE STAGING FACILITY</t>
  </si>
  <si>
    <t>FOLKSTON ANNEX IPC</t>
  </si>
  <si>
    <t>3424 HIGHWAY 252 EAST</t>
  </si>
  <si>
    <t>FOLKSTON</t>
  </si>
  <si>
    <t>FOLKSTON MAIN IPC</t>
  </si>
  <si>
    <t>3026 HWY 252 EAST</t>
  </si>
  <si>
    <t>FREEBORN COUNTY ADULT DETENTION CENTER</t>
  </si>
  <si>
    <t>411 SOUTH BROADWAY AVENUE</t>
  </si>
  <si>
    <t>ALBERT LEA</t>
  </si>
  <si>
    <t>MN</t>
  </si>
  <si>
    <t>GEAUGA COUNTY JAIL</t>
  </si>
  <si>
    <t>12450 MERRITT DR</t>
  </si>
  <si>
    <t>CHARDON</t>
  </si>
  <si>
    <t>OH</t>
  </si>
  <si>
    <t>GOLDEN STATE ANNEX</t>
  </si>
  <si>
    <t>611 FRONTAGE RD</t>
  </si>
  <si>
    <t>MCFARLAND</t>
  </si>
  <si>
    <t>GRAND FORKS COUNTY CORRECTIONAL FACILITY</t>
  </si>
  <si>
    <t>1701 NORTH WASHINGTON ST</t>
  </si>
  <si>
    <t>GRAND FORKS</t>
  </si>
  <si>
    <t>ND</t>
  </si>
  <si>
    <t>GRAYSON COUNTY JAIL</t>
  </si>
  <si>
    <t>320 SHAW STATION ROAD</t>
  </si>
  <si>
    <t>LEITCHFIELD</t>
  </si>
  <si>
    <t>GUAYNABO MDC (SAN JUAN)</t>
  </si>
  <si>
    <t>HWY 28 INTSECT OF ROAD 165</t>
  </si>
  <si>
    <t>SAN JUAN</t>
  </si>
  <si>
    <t>PR</t>
  </si>
  <si>
    <t>HANCOCK COUNTY PUBLIC SAFETY COMPLEX</t>
  </si>
  <si>
    <t>8450 HIGHWAY 90</t>
  </si>
  <si>
    <t>BAY ST. LOUIS</t>
  </si>
  <si>
    <t>Fail</t>
  </si>
  <si>
    <t>HENDERSON DETENTION</t>
  </si>
  <si>
    <t>18 E BASIC ROAD</t>
  </si>
  <si>
    <t>HENDERSON</t>
  </si>
  <si>
    <t>NV</t>
  </si>
  <si>
    <t>SLC</t>
  </si>
  <si>
    <t>HONOLULU FEDERAL DETENTION CENTER</t>
  </si>
  <si>
    <t>351 ELLIOTT ST.</t>
  </si>
  <si>
    <t>HONOLULU</t>
  </si>
  <si>
    <t>HI</t>
  </si>
  <si>
    <t>HOUSTON CONTRACT DETENTION FACILITY</t>
  </si>
  <si>
    <t>15850 EXPORT PLAZA DRIVE</t>
  </si>
  <si>
    <t>HOUSTON</t>
  </si>
  <si>
    <t>HOU</t>
  </si>
  <si>
    <t>IAH SECURE ADULT DETENTION FACILITY (POLK)</t>
  </si>
  <si>
    <t>3400 FM 350 SOUTH</t>
  </si>
  <si>
    <t>LIVINGSTON</t>
  </si>
  <si>
    <t>IMPERIAL REGIONAL DETENTION FACILITY</t>
  </si>
  <si>
    <t>1572 GATEWAY</t>
  </si>
  <si>
    <t>CALEXICO</t>
  </si>
  <si>
    <t>SND</t>
  </si>
  <si>
    <t>JACKSON PARISH CORRECTIONAL CENTER</t>
  </si>
  <si>
    <t>327 INDUSTRIAL DRIVE</t>
  </si>
  <si>
    <t>JONESBORO</t>
  </si>
  <si>
    <t>JEFFERSON COUNTY JAIL</t>
  </si>
  <si>
    <t>219 EAST FREMONT AVENUE</t>
  </si>
  <si>
    <t>RIGBY</t>
  </si>
  <si>
    <t>ID</t>
  </si>
  <si>
    <t>JOE CORLEY PROCESSING CTR</t>
  </si>
  <si>
    <t>500 HILBIG RD</t>
  </si>
  <si>
    <t>CONROE</t>
  </si>
  <si>
    <t>JTF CAMP SIX</t>
  </si>
  <si>
    <t>AVENUE C PSC 1005 BOX 55</t>
  </si>
  <si>
    <t>FPO</t>
  </si>
  <si>
    <t>DOD</t>
  </si>
  <si>
    <t>KANDIYOHI COUNTY JAIL</t>
  </si>
  <si>
    <t>2201 23RD ST NE</t>
  </si>
  <si>
    <t>WILLMAR</t>
  </si>
  <si>
    <t>KARNES COUNTY CORRECTIONAL CENTER</t>
  </si>
  <si>
    <t>810 COMMERCE STREET</t>
  </si>
  <si>
    <t>KARNES CITY</t>
  </si>
  <si>
    <t>SNA</t>
  </si>
  <si>
    <t>KARNES COUNTY IMMIGRATION PROCESSING CENTER</t>
  </si>
  <si>
    <t>409 FM 1144</t>
  </si>
  <si>
    <t>KAY CO JUSTICE FACILITY</t>
  </si>
  <si>
    <t>1101 WEST DRY ROAD</t>
  </si>
  <si>
    <t>NEWKIRK</t>
  </si>
  <si>
    <t>OK</t>
  </si>
  <si>
    <t>KNOX COUNTY DETENTION FACILITY</t>
  </si>
  <si>
    <t>5001 MALONEYVILLE RD</t>
  </si>
  <si>
    <t>KNOXVILLE</t>
  </si>
  <si>
    <t>TN</t>
  </si>
  <si>
    <t>KROME NORTH SERVICE PROCESSING CENTER</t>
  </si>
  <si>
    <t>18201 SW 12TH ST</t>
  </si>
  <si>
    <t>MIAMI</t>
  </si>
  <si>
    <t>LAREDO PROCESSING CENTER</t>
  </si>
  <si>
    <t>4702 EAST SAUNDERS STREET</t>
  </si>
  <si>
    <t>LAREDO</t>
  </si>
  <si>
    <t>LEAVENWORTH US PENITENTIARY</t>
  </si>
  <si>
    <t>1300 METROPOLITAN AVE.</t>
  </si>
  <si>
    <t>LEAVENWORTH</t>
  </si>
  <si>
    <t>LEXINGTON COUNTY JAIL</t>
  </si>
  <si>
    <t>521 GIBSON ROAD</t>
  </si>
  <si>
    <t>SC</t>
  </si>
  <si>
    <t>LIMESTONE COUNTY DETENTION CENTER</t>
  </si>
  <si>
    <t>910 NORTH TYUS STREET</t>
  </si>
  <si>
    <t>GROESBECK</t>
  </si>
  <si>
    <t>LUBBOCK COUNTY DETENTION CENTER</t>
  </si>
  <si>
    <t>811 MAIN STREET</t>
  </si>
  <si>
    <t>LUBBOCK</t>
  </si>
  <si>
    <t>MADISON COUNTY JAIL</t>
  </si>
  <si>
    <t>2935 HIGHWAY 51</t>
  </si>
  <si>
    <t>CANTON</t>
  </si>
  <si>
    <t>MARION COUNTY JAIL</t>
  </si>
  <si>
    <t>40 SOUTH ALABAMA STREET</t>
  </si>
  <si>
    <t>INDIANAPOLIS</t>
  </si>
  <si>
    <t>MESA VERDE ICE PROCESSING CENTER</t>
  </si>
  <si>
    <t>425 GOLDEN STATE AVE</t>
  </si>
  <si>
    <t>BAKERSFIELD</t>
  </si>
  <si>
    <t>MIAMI FEDERAL DETENTION</t>
  </si>
  <si>
    <t>33 NE 4 STREET</t>
  </si>
  <si>
    <t>MIGRANT OPS CENTER MAIN A</t>
  </si>
  <si>
    <t>MOC</t>
  </si>
  <si>
    <t>MONROE COUNTY DETENTION-DORM</t>
  </si>
  <si>
    <t>7000 EAST DUNBAR ROAD</t>
  </si>
  <si>
    <t>MONROE</t>
  </si>
  <si>
    <t>MONTGOMERY ICE PROCESSING CENTER</t>
  </si>
  <si>
    <t>806 HILBIG RD</t>
  </si>
  <si>
    <t>MOSHANNON VALLEY PROCESSING CENTER</t>
  </si>
  <si>
    <t>555 GEO DRIVE</t>
  </si>
  <si>
    <t>PHILIPSBURG</t>
  </si>
  <si>
    <t>NEVADA SOUTHERN DETENTION CENTER</t>
  </si>
  <si>
    <t>2190 EAST MESQUITE AVENUE</t>
  </si>
  <si>
    <t>PAHRUMP</t>
  </si>
  <si>
    <t>USMS CDF</t>
  </si>
  <si>
    <t xml:space="preserve"> 9/19/2024</t>
  </si>
  <si>
    <t>NEW HANOVER COUNTY JAIL</t>
  </si>
  <si>
    <t>3950 JUVENILE RD</t>
  </si>
  <si>
    <t>CASTLE HAYNE</t>
  </si>
  <si>
    <t>NORTHWEST ICE PROCESSSING CENTER</t>
  </si>
  <si>
    <t>1623 E. J STREET</t>
  </si>
  <si>
    <t>TACOMA</t>
  </si>
  <si>
    <t>WA</t>
  </si>
  <si>
    <t>SEA</t>
  </si>
  <si>
    <t>OLDHAM COUNTY JAIL</t>
  </si>
  <si>
    <t>100 W MAIN STREET</t>
  </si>
  <si>
    <t>LA GRANGE</t>
  </si>
  <si>
    <t>ORANGE COUNTY JAIL (FL)</t>
  </si>
  <si>
    <t>3855 SOUTH JOHN YOUNG PARKWAY</t>
  </si>
  <si>
    <t>ORLANDO</t>
  </si>
  <si>
    <t>ORANGE COUNTY JAIL (NY)</t>
  </si>
  <si>
    <t>110 WELLS FARM ROAD</t>
  </si>
  <si>
    <t>GOSHEN</t>
  </si>
  <si>
    <t>NYC</t>
  </si>
  <si>
    <t>OTAY MESA DETENTION CENTER</t>
  </si>
  <si>
    <t>7488 CALZADA DE LA FUENTE</t>
  </si>
  <si>
    <t>SAN DIEGO</t>
  </si>
  <si>
    <t>OTERO COUNTY PROCESSING CENTER</t>
  </si>
  <si>
    <t>26 MCGREGOR RANGE ROAD</t>
  </si>
  <si>
    <t>CHAPARRAL</t>
  </si>
  <si>
    <t>PHELPS COUNTY JAIL</t>
  </si>
  <si>
    <t>715 5TH AVENUE</t>
  </si>
  <si>
    <t>HOLDREGE</t>
  </si>
  <si>
    <t>PICKENS COUNTY DET CTR</t>
  </si>
  <si>
    <t>188 CEMETERY ST</t>
  </si>
  <si>
    <t>CARROLLTON</t>
  </si>
  <si>
    <t>AL</t>
  </si>
  <si>
    <t>PIKE COUNTY JAIL</t>
  </si>
  <si>
    <t>175 PIKE COUNTY BOULEVARD</t>
  </si>
  <si>
    <t>LORDS VALLEY</t>
  </si>
  <si>
    <t>PINE PRAIRIE ICE PROCESSING CENTER</t>
  </si>
  <si>
    <t>1133 HAMPTON DUPRE ROAD</t>
  </si>
  <si>
    <t>PINE PRAIRIE</t>
  </si>
  <si>
    <t>PINELLAS COUNTY JAIL</t>
  </si>
  <si>
    <t>14400 49TH STREET NORTH</t>
  </si>
  <si>
    <t>CLEARWATER</t>
  </si>
  <si>
    <t>PLYMOUTH COUNTY CORRECTIONAL FACILITY</t>
  </si>
  <si>
    <t>26 LONG POND ROAD</t>
  </si>
  <si>
    <t>PLYMOUTH</t>
  </si>
  <si>
    <t>MA</t>
  </si>
  <si>
    <t>POLK COUNTY JAIL</t>
  </si>
  <si>
    <t>1985 NE 51ST PLACE</t>
  </si>
  <si>
    <t>DES MOINES</t>
  </si>
  <si>
    <t>IA</t>
  </si>
  <si>
    <t>PORT ISABEL SPC</t>
  </si>
  <si>
    <t>27991 BUENA VISTA BOULEVARD</t>
  </si>
  <si>
    <t>LOS FRESNOS</t>
  </si>
  <si>
    <t>POTTAWATTAMIE COUNTY JAIL</t>
  </si>
  <si>
    <t>1400 BIG LAKE ROAD</t>
  </si>
  <si>
    <t>COUNCIL BLUFFS</t>
  </si>
  <si>
    <t>PRAIRIELAND DETENTION CENTER</t>
  </si>
  <si>
    <t>1209 SUNFLOWER LN</t>
  </si>
  <si>
    <t>ALVARADO</t>
  </si>
  <si>
    <t>PRINCE EDWARD COUNTY (FARMVILLE)</t>
  </si>
  <si>
    <t>508 WATERWORKS ROAD</t>
  </si>
  <si>
    <t>FARMVILLE</t>
  </si>
  <si>
    <t>RICHWOOD CORRECTIONAL CENTER</t>
  </si>
  <si>
    <t>180 PINE BAYOU CIRCLE</t>
  </si>
  <si>
    <t>RIO GRANDE DETENTION CENTER</t>
  </si>
  <si>
    <t>1001 SAN RIO BOULEVARD</t>
  </si>
  <si>
    <t>RIVER CORRECTIONAL CENTER</t>
  </si>
  <si>
    <t>26362 HIGHWAY 15</t>
  </si>
  <si>
    <t>FERRIDAY</t>
  </si>
  <si>
    <t>ROBERT A DEYTON DETENTION FACILITY</t>
  </si>
  <si>
    <t>11866 HASTINGS BRIDGE ROAD P.O. BOX 429</t>
  </si>
  <si>
    <t>LOVEJOY</t>
  </si>
  <si>
    <t>SAIPAN DEPARTMENT OF CORRECTIONS (SUSUPE)</t>
  </si>
  <si>
    <t>VICENTE T. SEMAN BLDG, CIVIC CENTER</t>
  </si>
  <si>
    <t>SAIPAN</t>
  </si>
  <si>
    <t>MP</t>
  </si>
  <si>
    <t>SALT LAKE COUNTY METRO JAIL</t>
  </si>
  <si>
    <t>3415 SOUTH 900 WEST</t>
  </si>
  <si>
    <t>SALT LAKE CITY</t>
  </si>
  <si>
    <t>UT</t>
  </si>
  <si>
    <t>SAN JUAN STAGING</t>
  </si>
  <si>
    <t>651 FEDERAL DRIVE, SUITE 104</t>
  </si>
  <si>
    <t>GUAYNABO</t>
  </si>
  <si>
    <t>SAN LUIS REGIONAL DETENTION CENTER</t>
  </si>
  <si>
    <t>406 NORTH AVENUE D</t>
  </si>
  <si>
    <t>SAN LUIS</t>
  </si>
  <si>
    <t>SENECA COUNTY JAIL</t>
  </si>
  <si>
    <t>3040 SOUTH STATE HIGHWAY 100</t>
  </si>
  <si>
    <t>TIFFIN</t>
  </si>
  <si>
    <t>SHERBURNE COUNTY JAIL</t>
  </si>
  <si>
    <t>13880 BUSINESS CENTER DRIVE</t>
  </si>
  <si>
    <t>ELK RIVER</t>
  </si>
  <si>
    <t>SOUTH CENTRAL REGIONAL JAIL</t>
  </si>
  <si>
    <t>1001 CENTER WAY</t>
  </si>
  <si>
    <t>CHARLESTON</t>
  </si>
  <si>
    <t>WV</t>
  </si>
  <si>
    <t>SOUTH LOUISIANA ICE PROCESSING CENTER</t>
  </si>
  <si>
    <t>3843 STAGG AVENUE</t>
  </si>
  <si>
    <t>BASILE</t>
  </si>
  <si>
    <t>SOUTH TEXAS ICE PROCESSING CENTER</t>
  </si>
  <si>
    <t>566 VETERANS DRIVE</t>
  </si>
  <si>
    <t>PEARSALL</t>
  </si>
  <si>
    <t>ST. CLAIR COUNTY JAIL</t>
  </si>
  <si>
    <t>1170 MICHIGAN ROAD</t>
  </si>
  <si>
    <t>PORT HURON</t>
  </si>
  <si>
    <t>STEWART DETENTION CENTER</t>
  </si>
  <si>
    <t>146 CCA ROAD</t>
  </si>
  <si>
    <t>LUMPKIN</t>
  </si>
  <si>
    <t>STRAFFORD COUNTY CORRECTIONS</t>
  </si>
  <si>
    <t>266 COUNTY FARM ROAD</t>
  </si>
  <si>
    <t>DOVER</t>
  </si>
  <si>
    <t>NH</t>
  </si>
  <si>
    <t>SWEETWATER COUNTY JAIL</t>
  </si>
  <si>
    <t>50140 UNITED STATES HIGHWAY 191 SOUTH</t>
  </si>
  <si>
    <t>ROCK SPRINGS</t>
  </si>
  <si>
    <t>WY</t>
  </si>
  <si>
    <t>T DON HUTTO DETENTION CENTER</t>
  </si>
  <si>
    <t>1001 WELCH STREET</t>
  </si>
  <si>
    <t>TAYLOR</t>
  </si>
  <si>
    <t>TORRANCE/ESTANCIA, NM</t>
  </si>
  <si>
    <t>209 COUNTY ROAD 49</t>
  </si>
  <si>
    <t>ESTANCIA</t>
  </si>
  <si>
    <t>TULSA COUNTY JAIL (DAVID L. MOSS JUSTICE CTR)</t>
  </si>
  <si>
    <t>300 NORTH DENVER AVENUE</t>
  </si>
  <si>
    <t>TULSA</t>
  </si>
  <si>
    <t>WASHINGTON COUNTY DETENTION CENTER</t>
  </si>
  <si>
    <t>1155 WEST CLYDESDALE DRIVE</t>
  </si>
  <si>
    <t>FAYETTEVILLE</t>
  </si>
  <si>
    <t>AR</t>
  </si>
  <si>
    <t>WASHOE COUNTY JAIL</t>
  </si>
  <si>
    <t>911 PARR BLVD 775 328 3308</t>
  </si>
  <si>
    <t>RENO</t>
  </si>
  <si>
    <t>WEBB COUNTY DETENTION CENTER (CCA)</t>
  </si>
  <si>
    <t>9998 SOUTH HIGHWAY 83</t>
  </si>
  <si>
    <t>WINN CORRECTIONAL CENTER</t>
  </si>
  <si>
    <t>560 GUM SPRING ROAD</t>
  </si>
  <si>
    <t>WINNFIELD</t>
  </si>
  <si>
    <t>WYATT DETENTION CENTER</t>
  </si>
  <si>
    <t>950 HIGH STREET</t>
  </si>
  <si>
    <t>CENTRAL FALLS</t>
  </si>
  <si>
    <t>RI</t>
  </si>
  <si>
    <t>U.S. Immigration and Customs Enforcement</t>
  </si>
  <si>
    <r>
      <t xml:space="preserve">January 2025
This Segregation Review Management System (SRMS) data represents the total number of unique individuals who served one or more days in segregation during the calendar month, per the reporting requirements detailed in ICE Policy 11065.1: </t>
    </r>
    <r>
      <rPr>
        <b/>
        <i/>
        <sz val="10"/>
        <color rgb="FF000000"/>
        <rFont val="Calibri"/>
        <family val="2"/>
      </rPr>
      <t xml:space="preserve">Review of the Use of Segregation for ICE Detainees </t>
    </r>
    <r>
      <rPr>
        <b/>
        <sz val="10"/>
        <color rgb="FF000000"/>
        <rFont val="Calibri"/>
        <family val="2"/>
      </rPr>
      <t>and</t>
    </r>
    <r>
      <rPr>
        <b/>
        <i/>
        <sz val="10"/>
        <color rgb="FF000000"/>
        <rFont val="Calibri"/>
        <family val="2"/>
      </rPr>
      <t xml:space="preserve"> </t>
    </r>
    <r>
      <rPr>
        <b/>
        <sz val="10"/>
        <color rgb="FF000000"/>
        <rFont val="Calibri"/>
        <family val="2"/>
      </rPr>
      <t xml:space="preserve">ERO Policy 24002: </t>
    </r>
    <r>
      <rPr>
        <b/>
        <i/>
        <sz val="10"/>
        <color rgb="FF000000"/>
        <rFont val="Calibri"/>
        <family val="2"/>
      </rPr>
      <t>Review of the Use of Special Management Units for ICE Detainees</t>
    </r>
    <r>
      <rPr>
        <b/>
        <sz val="10"/>
        <color rgb="FF000000"/>
        <rFont val="Calibri"/>
        <family val="2"/>
      </rPr>
      <t>.</t>
    </r>
  </si>
  <si>
    <t>Facilities</t>
  </si>
  <si>
    <t>Placement Count</t>
  </si>
  <si>
    <t>LARKIN BEHAVIORAL HEALTH SVCS</t>
  </si>
  <si>
    <t>MONTGOMERY COUNTY CORRECTIONAL FACILITY</t>
  </si>
  <si>
    <t>MAIN - FOLKSTON IPC (D RAY JAMES)</t>
  </si>
  <si>
    <t>Grand Total</t>
  </si>
  <si>
    <r>
      <t xml:space="preserve">December 2024
This Segregation Review Management System (SRMS) data represents the total number of unique individuals who served one or more days in segregation during the calendar month, per the reporting requirements detailed in ICE Policy 11065.1: </t>
    </r>
    <r>
      <rPr>
        <b/>
        <i/>
        <sz val="10"/>
        <color rgb="FF000000"/>
        <rFont val="Calibri"/>
        <family val="2"/>
      </rPr>
      <t xml:space="preserve">Review of the Use of Segregation for ICE Detainees </t>
    </r>
    <r>
      <rPr>
        <b/>
        <sz val="10"/>
        <color rgb="FF000000"/>
        <rFont val="Calibri"/>
        <family val="2"/>
      </rPr>
      <t>and</t>
    </r>
    <r>
      <rPr>
        <b/>
        <i/>
        <sz val="10"/>
        <color rgb="FF000000"/>
        <rFont val="Calibri"/>
        <family val="2"/>
      </rPr>
      <t xml:space="preserve"> </t>
    </r>
    <r>
      <rPr>
        <b/>
        <sz val="10"/>
        <color rgb="FF000000"/>
        <rFont val="Calibri"/>
        <family val="2"/>
      </rPr>
      <t xml:space="preserve">ERO Policy 24002: </t>
    </r>
    <r>
      <rPr>
        <b/>
        <i/>
        <sz val="10"/>
        <color rgb="FF000000"/>
        <rFont val="Calibri"/>
        <family val="2"/>
      </rPr>
      <t>Review of the Use of Special Management Units for ICE Detainees</t>
    </r>
    <r>
      <rPr>
        <b/>
        <sz val="10"/>
        <color rgb="FF000000"/>
        <rFont val="Calibri"/>
        <family val="2"/>
      </rPr>
      <t>.</t>
    </r>
  </si>
  <si>
    <r>
      <t xml:space="preserve">November 2024
This Segregation Review Management System (SRMS) data represents the total number of unique individuals who served one or more days in segregation during the calendar month, per the reporting requirements detailed in ICE Policy 11065.1: </t>
    </r>
    <r>
      <rPr>
        <b/>
        <i/>
        <sz val="10"/>
        <color rgb="FF000000"/>
        <rFont val="Calibri"/>
        <family val="2"/>
      </rPr>
      <t>Review of the Use of Segregation for ICE Detainees</t>
    </r>
    <r>
      <rPr>
        <b/>
        <sz val="10"/>
        <color rgb="FF000000"/>
        <rFont val="Calibri"/>
        <family val="2"/>
      </rPr>
      <t xml:space="preserve">. </t>
    </r>
  </si>
  <si>
    <t>T. DON HUTTO</t>
  </si>
  <si>
    <r>
      <t xml:space="preserve">October 2024
This Segregation Review Management System (SRMS) data represents the total number of unique individuals who served one or more days in segregation during the calendar month, per the reporting requirements detailed in ICE Policy 11065.1: </t>
    </r>
    <r>
      <rPr>
        <b/>
        <i/>
        <sz val="10"/>
        <color rgb="FF000000"/>
        <rFont val="Calibri"/>
        <family val="2"/>
      </rPr>
      <t>Review of the Use of Segregation for ICE Detainees</t>
    </r>
    <r>
      <rPr>
        <b/>
        <sz val="10"/>
        <color rgb="FF000000"/>
        <rFont val="Calibri"/>
        <family val="2"/>
      </rPr>
      <t xml:space="preserve">. </t>
    </r>
  </si>
  <si>
    <t>NORTHWEST ICE PROCSESING CENTER</t>
  </si>
  <si>
    <t>NYE COUNTY SHERIFF-PAHRUMP</t>
  </si>
  <si>
    <r>
      <t xml:space="preserve">September 2024
This Segregation Review Management System (SRMS) data represents the total number of unique individuals who served one or more days in segregation during the calendar month, per the reporting requirements detailed in ICE Policy 11065.1: </t>
    </r>
    <r>
      <rPr>
        <b/>
        <i/>
        <sz val="10"/>
        <color rgb="FF000000"/>
        <rFont val="Calibri"/>
        <family val="2"/>
      </rPr>
      <t>Review of the Use of Segregation for ICE Detainees</t>
    </r>
    <r>
      <rPr>
        <b/>
        <sz val="10"/>
        <color rgb="FF000000"/>
        <rFont val="Calibri"/>
        <family val="2"/>
      </rPr>
      <t xml:space="preserve">. </t>
    </r>
  </si>
  <si>
    <r>
      <t xml:space="preserve">August 2024
This Segregation Review Management System (SRMS) data represents the total number of unique individuals who served one or more days in segregation during the calendar month, per the reporting requirements detailed in ICE Policy 11065.1: </t>
    </r>
    <r>
      <rPr>
        <b/>
        <i/>
        <sz val="10"/>
        <color rgb="FF000000"/>
        <rFont val="Calibri"/>
        <family val="2"/>
      </rPr>
      <t>Review of the Use of Segregation for ICE Detainees</t>
    </r>
    <r>
      <rPr>
        <b/>
        <sz val="10"/>
        <color rgb="FF000000"/>
        <rFont val="Calibri"/>
        <family val="2"/>
      </rPr>
      <t xml:space="preserve">. </t>
    </r>
  </si>
  <si>
    <t>TACOMA ICE PROCESSING CENTER (NORTHWEST DET CTR)</t>
  </si>
  <si>
    <t xml:space="preserve">July 2024
This Segregation Review Management System (SRMS) data represents the total number of unique individuals who served one or more days in segregation during the calendar month, per the reporting requirements detailed in ICE Policy 11065.1: Review of the Use of Segregation for ICE Detainees. </t>
  </si>
  <si>
    <t>MONTGOMERY PROCESSING CTR</t>
  </si>
  <si>
    <t>ICA - FARMVILLE</t>
  </si>
  <si>
    <t>KANDIYOHI CO. JAIL</t>
  </si>
  <si>
    <t>STRAFFORD CO DEPT OF CORR</t>
  </si>
  <si>
    <t>DODGE COUNTY JAIL, JUNEAU</t>
  </si>
  <si>
    <t>PLYMOUTH CO COR FACILTY</t>
  </si>
  <si>
    <t>CLINTON COUNTY CORR. FAC.</t>
  </si>
  <si>
    <t>RICHWOOD COR CENTER</t>
  </si>
  <si>
    <t xml:space="preserve">June 2024
This Segregation Review Management System (SRMS) data represents the total number of unique individuals who served one or more days in segregation during the calendar month, per the reporting requirements detailed in ICE Policy 11065.1: Review of the Use of Segregation for ICE Detainees. </t>
  </si>
  <si>
    <t>BUFFALO SPC</t>
  </si>
  <si>
    <t>EL PASO SPC</t>
  </si>
  <si>
    <t>FLORENCE SPC</t>
  </si>
  <si>
    <t>FREEBORN COUNTY JAIL, MN</t>
  </si>
  <si>
    <t xml:space="preserve">May 2024
This Segregation Review Management System (SRMS) data represents the total number of unique individuals who served one or more days in segregation during the calendar month, per the reporting requirements detailed in ICE Policy 11065.1: Review of the Use of Segregation for ICE Detainees. </t>
  </si>
  <si>
    <t>HCA HOUSTON HC CONROE</t>
  </si>
  <si>
    <t>`</t>
  </si>
  <si>
    <t>EL PASO BEHAVIORAL HEALTH SYSTEM</t>
  </si>
  <si>
    <t xml:space="preserve">April 2024
This Segregation Review Management System (SRMS) data represents the total number of unique individuals who served one or more days in segregation during the calendar month, per the reporting requirements detailed in ICE Policy 11065.1: Review of the Use of Segregation for ICE Detainees. </t>
  </si>
  <si>
    <t>PRAIRIELAND DETENTION FACILITY</t>
  </si>
  <si>
    <t>BAKER COUNTY SHERIFF'S OFFICE</t>
  </si>
  <si>
    <t>PIKE COUNTY CORRECTIONAL FACILITY</t>
  </si>
  <si>
    <t>SOUTH LOUISIANA DETENTION CENTER</t>
  </si>
  <si>
    <t xml:space="preserve">Definition for Vulnerable and Special Populations </t>
  </si>
  <si>
    <t xml:space="preserve">U.S. Immigration and Customs Enforcement (ICE) Enforcement and Removal Operations (ERO) is providing segregation data involving vulnerable and special populations based on the special vulnerabilities currently captured in ERO’s Segregation Review Management System (SRMS). This population includes: reported facility-initiated segregation placements of noncitizens that self-identify as lesbian, gay, bisexual, transgender, and/or intersex (LGBTI); have a serious mental or medical illness; are conducting a hunger strike; or are on suicide watch. 
SRMS captures noncitizens with these special vulnerabilities as reported by each of the field offices. Consistent with ICE Policy 11065.1: Review of the Use of Segregation for ICE Detainees, mandatory reporting includes any instance in which a detainee identified as having a special vulnerability is placed in segregation, or instances in which a detainee is segregated for a period of 14 consecutive days or 14 days out of a 21-day period. </t>
  </si>
  <si>
    <t>Fiscal Year (FY)  2022 Quarter 2 Data</t>
  </si>
  <si>
    <t>Placement Reason</t>
  </si>
  <si>
    <t>Number of Placements</t>
  </si>
  <si>
    <t>Average Number of Consecutive Days in Segregation</t>
  </si>
  <si>
    <t>Average Number of Cumulative Days in Segregation</t>
  </si>
  <si>
    <t>Disciplinary</t>
  </si>
  <si>
    <t>Facility Security Threat</t>
  </si>
  <si>
    <t>Medical/Mental Health</t>
  </si>
  <si>
    <t>Pending Investigation of Disciplinary Violation</t>
  </si>
  <si>
    <t>Protective Custody</t>
  </si>
  <si>
    <t>* Data represents 281 unique detainees. Some detainees have multiple placements within FY22 Q2 (296 total placements).</t>
  </si>
  <si>
    <t>Fiscal Year (FY) 2022 Quarter 3 Data</t>
  </si>
  <si>
    <t>* Data represents 209 unique detainees. Some detainees have multiple placements within FY22 Q3 (226 total placements).</t>
  </si>
  <si>
    <t>**All Q3 detainees previously under the Hunger Strike/Suicide Watch Placement reason have since had their placement reason updated</t>
  </si>
  <si>
    <t>Fiscal Year (FY) 2022 Quarter 4 Data</t>
  </si>
  <si>
    <t>*Data represents 281 unique detainees. Some detainees have multiple placements within FY22 Q4 (311 total placements).</t>
  </si>
  <si>
    <t>Fiscal Year (FY) 2023 Quarter 1 Data</t>
  </si>
  <si>
    <t>*Data represents 344 unique detainees. Some detainees have multiple placements within FY23 Q1 (377 total placements).</t>
  </si>
  <si>
    <t>Fiscal Year (FY) 2023 Quarter 2 Data</t>
  </si>
  <si>
    <t>*Data represents 335 unique detainees. Some detainees have multiple placements within FY23 Q2 (373 total placements).</t>
  </si>
  <si>
    <t>Fiscal Year (FY) 2023 Quarter 3 Data</t>
  </si>
  <si>
    <t>*Data represents 358 unique detainees. Some detainees have multiple placements within FY23 Q3 (418 total placements).</t>
  </si>
  <si>
    <t>Fiscal Year (FY) 2023 Quarter 4 Data</t>
  </si>
  <si>
    <t>*Data represents 288 unique detainees. Some detainees have multiple placements within FY23 Q4 (351 total placements).</t>
  </si>
  <si>
    <t>Fiscal Year (FY) 2024 Quarter 1 Data</t>
  </si>
  <si>
    <t>*Data represents 431 unique detainees. Some detainees have multiple placements within FY24 Q1 (497 total placements).</t>
  </si>
  <si>
    <t>Fiscal Year (FY) 2024 Quarter 2 Data</t>
  </si>
  <si>
    <t>Medical Mental</t>
  </si>
  <si>
    <t>*Data represents 351 unique detainees. Some detainees have multiple placements within FY24 Q2 (391 total placements).</t>
  </si>
  <si>
    <t>Fiscal Year (FY) 2024 Quarter 3 Data</t>
  </si>
  <si>
    <t>*Data represents 414 unique detainees. Some detainees have multiple placements within FY24 Q3 (446 total placements).</t>
  </si>
  <si>
    <t>Fiscal Year (FY) 2024 Quarter 4 Data</t>
  </si>
  <si>
    <t>*Data represents 469 unique detainees. Some detainees have multiple placements within FY24 Q4 (545 total placements).</t>
  </si>
  <si>
    <t>Fiscal Year (FY) 2025 Quarter 1 Data</t>
  </si>
  <si>
    <t>*Data represents 401 unique detainees. Some detainees have multiple placements within FY25 Q1 (475 total placements).</t>
  </si>
  <si>
    <t>The Basis for Any Use of Facility-Initiated Segregation</t>
  </si>
  <si>
    <t xml:space="preserve">Consistent with ICE detention standards  and ICE Policy 11065.1: Review of the Use of Segregation for ICE Detainees, a detainee may be placed into a Special Management Unit (SMU), with either an Administrative Segregation designation for detainees segregated for administrative reasons or a Disciplinary Segregation designation for detainees segregated for disciplinary reasons.  Administrative segregation is provided for detainees who request or need protective custody or who present an immediate, significant threat to the safety, security, or good order of the facility. Disciplinary segregation is used only after a finding by a disciplinary hearing panel that the detainee is guilty of a prohibited act or rule violation.  Disciplinary segregation only serves to regulate the detainee’s behavior and is imposed for a maximum of 30 days per incident, except in extraordinary circumstances.  ICE is required to periodically review these extraordinary cases to determine whether continued detention in disciplinary segregation is warranted.  
Segregation placements are not made solely based upon the presence of a special vulnerability. Placement of detainees in segregation requires careful consideration of alternatives, and administrative segregation placements for a special vulnerability should be used only as a last resort. Representatives from the ICE Health Service Corps (IHSC), Field Operations, and the Office of Principal Legal Advisor coordinate to conduct a weekly review of cases of detainees with mental and medical illnesses and to evaluate whether their current housing placement is appropriate. Headquarters personnel provide guidance to field office leadership, and in coordination with IHSC, may help facilitate the transfer of identified cases to other locations better suited to their individual needs, when applicable.
Please note that the SRMS only reflects the most recent placement reason for that segregation placement. It is possible that the segregation reason changed at some point during the segregation stay. </t>
  </si>
  <si>
    <t xml:space="preserve">The Process for and Frequency of Re-Evaluating Custody Decisions </t>
  </si>
  <si>
    <t xml:space="preserve">The Segregation Directive is intended to complement the requirements set forth by the national detention standards and other applicable ICE policies. Per the 2011 ICE Performance-Based National Detention Standards (revised 2016):
•	A supervisor shall conduct a review within 72 hours of the detainee’s placement in administrative segregation to determine whether segregation is still warranted. A supervisor shall conduct an identical review after the detainee has spent seven days in administrative segregation, and every week thereafter, for the first 30 days and every 10 days thereafter, at a minimum.
•	The facility administrator shall review the status of a detainee in disciplinary segregation after the first 30 days of segregation, and each 30 days thereafter, to determine whether continued detention in disciplinary segregation is warranted.
•	A multi-disciplinary committee of facility staff, including facility leadership, medical and mental health professionals, and security staff, shall meet weekly to review all detainees currently housed in the facility’s SMU. During the meeting, the committee shall review each detainee individually to ensure all staff are aware of the detainee’s status, current behavior, and physical and mental health, and to consider whether any change in status is appropriate.
ERO provides several levels of oversight of ICE’s SMUs to ensure detainees in ICE custody reside in safe, secure, and humane environments, and under appropriate conditions of confinement. 
•	All ICE-approved detention facilities are inspected by a third-party inspection team to ensure the applicable detention standards are met. 
•	ICE Headquarters personnel conduct daily reviews of segregation cases within SRMS to ensure compliance with applicable policy and detention standards. 
•	Representatives from ERO Custody Management, IHSC, Field Operations, and the Office of Principal Legal Advisor conduct a weekly review of cases in which detainees suffer from mental and medical illnesses and to evaluate whether their current housing placement is appropriate. 
•	ICE utilizes Detention Service Managers who are imbedded within the various field offices and whose sole function is to provide daily detention standard oversight and to conduct on-going reviews of all aspects of the detention operations.  
•	ICE’s Office of Professional Responsibility (OPR) conducts independent reviews of ICE ERO’s segregation practices through its facility compliance inspections and oversight of the Self-Inspection Program. Specifically, ICE OPR reviews facility segregation issues during their facility compliance inspections, compares those findings with case management records, and brings any discrepancies to the attention of facility management, the local ICE ERO field office personnel, and ICE Headquarters.  
</t>
  </si>
  <si>
    <t>ICE FOOTNOTES</t>
  </si>
  <si>
    <t>Term</t>
  </si>
  <si>
    <t>Definition</t>
  </si>
  <si>
    <t>ADP</t>
  </si>
  <si>
    <t>Average daily population</t>
  </si>
  <si>
    <t>ALIP</t>
  </si>
  <si>
    <t>Average length in program</t>
  </si>
  <si>
    <t>ALOS</t>
  </si>
  <si>
    <t>Average length of stay</t>
  </si>
  <si>
    <t>Area of Responsibility</t>
  </si>
  <si>
    <t>ATD</t>
  </si>
  <si>
    <t>Alternatives to Detention</t>
  </si>
  <si>
    <t>Bonded Out-FO</t>
  </si>
  <si>
    <t>An alien is bonded out due to decision by the Field Office</t>
  </si>
  <si>
    <t>Bonded Out-IJ</t>
  </si>
  <si>
    <t>An alien is bonded out due to decision by the Immigration Judge</t>
  </si>
  <si>
    <t>CBP</t>
  </si>
  <si>
    <t>Customs and Border Protection</t>
  </si>
  <si>
    <t>Classification Level (ADP)</t>
  </si>
  <si>
    <t xml:space="preserve">Upon admission and periodically thereafter, detainees are categorized into a security level based on a variety of public safety factors, and are housed accordingly.  Factors include prior convictions, threat risk, disciplinary record, special vulnerabilities, and special management concerns.  Detainees are categorized into one of four classes of security risk: A/low, B/medium low, C/medium high, and D/high.  </t>
  </si>
  <si>
    <t>Credible Fear</t>
  </si>
  <si>
    <t xml:space="preserve">A finding by USCIS or an Immigration Judge that, taking into account the credibility of the statements made by the alien in support of the alien’s claim and such other facts as are known to the interviewing USCIS officer or Immigration Judge, there is a significant possibility that alien could establish eligibility for asylum under INA § 208, withholding of removal under INA § 241(B)(3), or protection from removal under the convention against torture. </t>
  </si>
  <si>
    <t>FCMP</t>
  </si>
  <si>
    <t>Family Case Management Program</t>
  </si>
  <si>
    <t>Facilities Adhering to ICE Performance Based National Detention Standards (PBNDS2011, PBNDS 2008, and NDS 2019)</t>
  </si>
  <si>
    <t>Meets Standards: The facility’s detention functions are being adequately performed. Although deficiencies may be found, they do not detract from the acceptable accomplishment of vital functions or from the delivery of care and well-being for ICE detainees. Internal controls are in place and appropriate corrective actions to resolve deficiencies can be implemented.</t>
  </si>
  <si>
    <t>Does Not Meet Standards: The facility’s detention functions are not being performed at a “meets standards” level. Internal controls are weak, thus resulting in serious deficiencies in one or more program areas. Detention operations may be impaired to the point that the facility is not presently accomplishing vital functions. Internal controls are insufficient to reasonably assure acceptable performance can be expected in the near future.</t>
  </si>
  <si>
    <t>Facilities Adhering to ICE National Detention Standards (NDS) 2000:</t>
  </si>
  <si>
    <t xml:space="preserve">Acceptable: The facility’s detention functions are being adequately performed. Although deficiencies may be found, they do not detract from the acceptable accomplishment of vital functions or from the delivery of care and well-being for ICE detainees. Internal controls are in place and appropriate corrective actions to resolve deficiencies can be implemented. </t>
  </si>
  <si>
    <t xml:space="preserve">Deficient: The facility’s detention functions are not being performed at a “meets standards” level. Internal controls are weak, thus resulting in serious deficiencies in one or more program areas. Detention operations may be impaired to the point that the facility is not presently accomplishing vital functions. Internal controls are insufficient to reasonably assure acceptable performance can be expected in the near future. </t>
  </si>
  <si>
    <t>Family Unit</t>
  </si>
  <si>
    <t>GPS</t>
  </si>
  <si>
    <t>Global positioning system tracking device</t>
  </si>
  <si>
    <t>Head of Household</t>
  </si>
  <si>
    <t>Parent or legal guardian of a non-U.S. citizen child or children under the age of 18.</t>
  </si>
  <si>
    <t>ICE</t>
  </si>
  <si>
    <t xml:space="preserve">Immigration and Customs Enforcement </t>
  </si>
  <si>
    <t>ICE Threat Level (ADP)</t>
  </si>
  <si>
    <t>The average daily population by ICE Threat Level. Threat level is determined by the criminality of a detainee, including the recency of the criminal behavior and its severity. A detainee can be graded on a scale of one to three with one being the highest severity. If a detainee has no criminal convictions, he/she will be classified as “No ICE Threat Level.”</t>
  </si>
  <si>
    <t>Inspection Ratings</t>
  </si>
  <si>
    <t>ICE detention facilities are inspected and rated using a Pass/Fail grading system. Annual or biennial inspections, which measure a facility’s program performance and compliance to ICE detention standards over time, will result in ratings.</t>
  </si>
  <si>
    <t>Last Inspection Date</t>
  </si>
  <si>
    <t>The date the facility was last inspected.</t>
  </si>
  <si>
    <t>Last Inspection Rating-Final</t>
  </si>
  <si>
    <t>The most recent finalized inspection rating the facility received.</t>
  </si>
  <si>
    <t>The inspection standard the facility was last inspected against.</t>
  </si>
  <si>
    <t>This indicates the gender(s) of detainees at a facility. M indicates male population, and F indicates female population. Where limited data is available, the default value is M, F.</t>
  </si>
  <si>
    <t>Mandatory (ADP)</t>
  </si>
  <si>
    <t>The average daily population of detainees who are subject to mandatory detention.</t>
  </si>
  <si>
    <t>Order of Recognizance</t>
  </si>
  <si>
    <t xml:space="preserve">A pre-final order alien is released because he/she is not a detention priority. </t>
  </si>
  <si>
    <t>Order of Supervision-No SLRFF</t>
  </si>
  <si>
    <t xml:space="preserve">A final order alien is released because the Field Office is unable to obtain a travel document. </t>
  </si>
  <si>
    <t>Order of Supervision</t>
  </si>
  <si>
    <t xml:space="preserve">A final order alien is released because the field office is unable to obtain a travel document.  </t>
  </si>
  <si>
    <t>Second to Last Inspection Standard</t>
  </si>
  <si>
    <t>The inspection standard the facility was inspected against during the second to the last inspection.</t>
  </si>
  <si>
    <t>Second to Last Rating</t>
  </si>
  <si>
    <t>The final inspection rating a facility received after the second to last inspection.</t>
  </si>
  <si>
    <t>Second to Last Inspection Date</t>
  </si>
  <si>
    <t>The second to last date the facility was inspected.</t>
  </si>
  <si>
    <t>SmartLink</t>
  </si>
  <si>
    <t>Online tracking device using smart phone or tablet</t>
  </si>
  <si>
    <t>TR</t>
  </si>
  <si>
    <t>Telephonic reporting</t>
  </si>
  <si>
    <t>Type--Detailed</t>
  </si>
  <si>
    <t>ICE holds detainees in several different types of facilities, listed below:</t>
  </si>
  <si>
    <t>BOP (Federal Bureau of Prisons): A facility operated by the Federal Bureau of Prisons</t>
  </si>
  <si>
    <t>DIGSA (Dedicated Intergovernmental Service Agreement): A publicly-owned facility operated by state/local government(s), or private contractors, in which ICE contracts to use all bed space via a Dedicated Intergovernmental Service Agreement; or facilities used by ICE pursuant to Inter-governmental Service Agreements, which house only ICE detainees – typically these are operated by private contractors pursuant to their agreements with local governments.</t>
  </si>
  <si>
    <t>IGSA (Intergovernmental Service Agreement): A publicly-owned facility operated by state/local government(s), or private contractors, in which ICE contracts for bed space via an Intergovernmental Service Agreement; or local jails used by ICE pursuant to Inter-governmental Service Agreements, which house both ICE and non-ICE detainees, typically county prisoners awaiting trial or serving short sentences, but sometimes also USMS prisoners.</t>
  </si>
  <si>
    <t>SPC (Service Processing Center): A facility owned by the government and staffed by a combination of federal and contract employees.</t>
  </si>
  <si>
    <t>USMS (United States Marshals Service): A facility primarily contracted with the USMS for housing of USMS detainees, in which ICE contracts with the USMS for bed space.</t>
  </si>
  <si>
    <t>USMS IGA (USMS Intergovernmental Agreement): A USMS Intergovernmental Agreement in which ICE agrees to utilize an already established US Marshal Service contract.</t>
  </si>
  <si>
    <t>USCIS</t>
  </si>
  <si>
    <t>U.S. Citizenship and Immigration Services</t>
  </si>
  <si>
    <t>FY2019 ICE Alternatives to Detention</t>
  </si>
  <si>
    <t>Family Unit (FAMU) subject apprehensions represent all OPB apprehensions of adults (18 years old and over) with a FAMU classification who were subsequently enrolled in ATD.</t>
  </si>
  <si>
    <t>Average Length in Program is calculated for active participants only.</t>
  </si>
  <si>
    <t>Length of Program = 1/31/2020 ATD Original Start Date +1</t>
  </si>
  <si>
    <t>ICE Detention data exclude ORR transfers/facilities, as well as U.S. Marshals Service Prisoners.</t>
  </si>
  <si>
    <t>The Average Daily Population (ADP) is based on MANDAY Count.  A MANDAY is based on whether a SUBJECT is in an ERO detention facility for the midnight count.  For every SUBJECT in a facility for the midnight count, that corresponds to one MANDAY.  The ADP is the number of MANDAYS for a given time period, divided by the number of days in that time period.</t>
  </si>
  <si>
    <t>ADP by Arresting Agency, Month and Criminality : FY2022 YTD criminality is defined in the following manner: 
o 	Convicted Criminal: Immigration Violators with a criminal conviction entered into ICE systems of record at the time of ICE custody.
o 	Pending Criminal Charges: Immigration Violators with pending criminal charges entered into ICE system of record at the time of ICE custody.
o 	Other Immigration Violators:  Immigration Violators without any known or a criminal conviction, or pending charges entered into ICE system of record at the time of ICE custody.</t>
  </si>
  <si>
    <t>Starting in FY2018, ICE defines immigration violators' criminality for Average Length of Stay in the following manner:  
Convicted Criminal:  Immigration violators with a criminal conviction entered into ICE systems of record at the time of the enforcement action. 
Pending Criminal Charges:  Immigration Violators with pending criminal charges entered into ICE system of record at the time of the enforcement action.  
Other Immigration Violators:  Immigration Violators without any known criminal convictions, or pending charges entered into ICE system of record at the time of the enforcement action.</t>
  </si>
  <si>
    <t>All stats are pulled based on Current Program which attributes all cases back to the Program of the processing officer of the event.  However, if Current Program = OPL, XXX, ZZZ, or null, then Event Program is used.</t>
  </si>
  <si>
    <t>The ICE Arresting Agency includes the following ERO and HSI Arresting Agency Programs:  287g Program, Alternatives to Detention, ERO Criminal Alien Program, Detained Docket Control, Detention and Deportation, Law Enforcement Area Response Unit, Mobile Criminal Alien Team, Non-Detained Docket Control, Juvenile, Fugitive Operations, Violent Criminal Alien Section, Joint Criminal Alien Response Team, Probation and Parole, Quick Response Team, User Fee Investigations, Joint Terrorism Task Force, Non-User Fee Investigations, HSI Criminal Arrest Only, and Intelligence.  This also includes the Default program area for interface records, and PICS Default value--for user initialization only where the users programs were not updated at the time of the data run.</t>
  </si>
  <si>
    <t>The CBP Arresting Agency includes the following programs:  Border Patrol, Inspections, Inspections-Air, Inspections-Land, and Inspections-Sea.</t>
  </si>
  <si>
    <t xml:space="preserve">Average Length of Stay for Family Residential Centers is determined by including, the length of stay at all facilities during a detention stay that started at an FRC, the detention days that started before the current fiscal year, and only detention days for those released from custody. </t>
  </si>
  <si>
    <t>ICE discontinued the use of Family Residential Centers on March 31, 2022. Data regarding FSC detentions is not reported here.</t>
  </si>
  <si>
    <t>In FY2024 ICE began tracking Final Bookouts in lieu of Final Releases due to a change in methodology.  Prior year data reflects ICE Final Releases.</t>
  </si>
  <si>
    <t>ICE Detention data exclude ORR transfers/facilities, and U.S. Marshals Service prisoners.</t>
  </si>
  <si>
    <t>Starting in FY2018, ICE defines immigration violators' criminality in the following manner:  
Convicted Criminal:  Immigration violators with a criminal conviction entered into ICE systems of record at the time of the enforcement action. 
Pending Criminal Charges:  Immigration Violators with pending criminal charges entered into ICE system of record at the time of the enforcement action.  
Other Immigration Violators:  Immigration Violators without any known criminal convictions, or pending charges entered into ICE system of record at the time of the enforcement action.</t>
  </si>
  <si>
    <t>ICE Removal Data Include Returns.  Returns include Voluntary Returns, Voluntary Departures and Withdrawals Under Docket Control.</t>
  </si>
  <si>
    <t>ICE discontinued the use of Family Residential Centers on March 31, 2022. Data regarding FSC detentions is not reported here</t>
  </si>
  <si>
    <t>ICE Currently Detained Population Breakdown</t>
  </si>
  <si>
    <t>ICE Detention data excludes ORR transfers/facilities, as well as U.S. Marshals Service Prisoners.</t>
  </si>
  <si>
    <t>A stateless person is someone who, under national laws, does not enjoy citizenship – the legal bond between a government and an individual – in any country.</t>
  </si>
  <si>
    <t>The "ICE" Arresting Agency includes ERO, HSI, and Other programs.</t>
  </si>
  <si>
    <t>ERO Programs include CAP Programs (ERO Criminal Alien Program, Joint Criminal Alien Response Team, Law Enforcement Area Response Units, and Violent Criminal Alien Section, and Other Programs), Fugitive Operations, 287G Program, Detained Docket Control, Non-Detained Docket Control, Mobile Criminal Alien Team, Alternatives to Detention, Detention and Deportation, and Juvenile.</t>
  </si>
  <si>
    <t>HSI Programs include HSI Criminal Arrest Only, Intelligence, Joint Terrorism Task Force, Non-User Fee Investigations, Quick Response Team, and User Fee Investigations.</t>
  </si>
  <si>
    <t>Other Programs include Adjudications, Asylum, and PICS Default Value - for user initialization only; these are included in the CAP Program Counts.</t>
  </si>
  <si>
    <t xml:space="preserve">ICLOS and Detainees </t>
  </si>
  <si>
    <t xml:space="preserve">ICLOS is the average In Custody Length of Stay and is a calculation of how long a detainee has been in custody at a particular point in time and the formula used for this calculation is Date – Book In Date </t>
  </si>
  <si>
    <t xml:space="preserve">The mid for each month corresponds to the 15th of the month and end corresponds to the last day of the month. </t>
  </si>
  <si>
    <t>It was assumed that if a positive fear claim happened within five days of the initial book in that it was related to the detention stay. This was to account for the 72-hour transfer period from CBP to a detention facility and to account for additional time due to coronavirus.</t>
  </si>
  <si>
    <t>Monthly Bond Statistics</t>
  </si>
  <si>
    <t>STU determines Bonded Out releases by Release Reason entered and Detention Book Out Date. BMU data uses the Bond Post Date which is not necessarily the same as the Detention Book Out Date.</t>
  </si>
  <si>
    <t>Individuals with Credible Fear Parole</t>
  </si>
  <si>
    <t>Parole requested and parole granted dates are based on the Case Action Decision Date contained in the system of record.</t>
  </si>
  <si>
    <t>Parole granted is defined as Agency-based case action jurisdiction and case decision is "Granted".</t>
  </si>
  <si>
    <t>Parole denied is defined as Agency-based case action jurisdiction and case decision is "Denied".</t>
  </si>
  <si>
    <t>Parole decisions may not be in the same month as parole requested.</t>
  </si>
  <si>
    <t>Semiannual Arrests, Bookins and Removals</t>
  </si>
  <si>
    <t>For United States Armed Forces tables:</t>
  </si>
  <si>
    <t>FY2018-FY2023 data are historical and remain static.</t>
  </si>
  <si>
    <t>For United States Citizens tables:</t>
  </si>
  <si>
    <t>For Parents of United States Citizens tables:</t>
  </si>
  <si>
    <t>For Temporary Protected Status Countries tables:</t>
  </si>
  <si>
    <t>USC Arrests, Booking and Removals stats are pulled based on administrative enforcement actions executed by ERO Officers.</t>
  </si>
  <si>
    <t>Parents of United States Citizen determined by relationship flag and citizenship of child relation.</t>
  </si>
  <si>
    <t>ERO Administrative Arrests include all ERO Programs.  ERO Programs include Detention and Deportation (DDP), Fugitive Operations (FUG), Alternatives to Detention (ATD), Criminal Alien Program (CAP), Detained Docket Control (DDC), Non-Detained Docket Control (NDD), Violent Criminal Alien Section (VCS), Joint Criminal Alien Response Team (JCT), Juvenile (JUV), Law Enforcement Area Response (LEA), Mobile Criminal Alien Team (MCT), and 287(g).</t>
  </si>
  <si>
    <t>All stats are pulled based on Current Program which attributes all cases back to the Program of the processing officer of the event.</t>
  </si>
  <si>
    <t>All stats are pulled based on Current Program which attributes all cases back to the Program of the processing officer of the event. However, if Current Program = OPL, XXX, ZZZ, or null, then Event Program is used.</t>
  </si>
  <si>
    <t>The “ICE” Arresting Agency includes ERO, HSI, and Other programs.
o ERO Programs include CAP Programs (ERO Criminal Alien Program, Joint Criminal Alien Response Team, Law Enforcement Area Response Units, Violent Criminal Alien Section, and Other Programs), Fugitive Operations, 287G Program, Detained Docket Control, Non-Detained Docket Control, Mobile Criminal Alien Team, Alternatives to Detention, Detention and Deportation, and Juvenile.
o HSI Programs include HSI Criminal Arrest Only, Intelligence, Joint Terrorism Task Force, Non-User Fee Investigations, Quick Response Team, and User Fee Investigations.
o Other Programs include Adjudications, Asylum, PICS Default Value - for user initialization only, and Examinations; these are included in the CAP Program Counts.</t>
  </si>
  <si>
    <t>ICE Removals include Returns. Returns include Voluntary Returns, Voluntary Departures and Withdrawals Under Docket Control.</t>
  </si>
  <si>
    <t xml:space="preserve">Veteran Status flag implemented during FY2021. Prior years required manual input by the officers in the database. </t>
  </si>
  <si>
    <t>TPS Countries</t>
  </si>
  <si>
    <t>Burma (Myanmar) designated TPS as of 05/25/2021. Arrests, Bookins, and Removals reported are since the designation date.</t>
  </si>
  <si>
    <t>Haiti designated TPS as of 08/03/2021. Arrests, Bookins, and Removals reported are since the designation date.</t>
  </si>
  <si>
    <t>Venezuela designated TPS as of 03/09/2021. Arrests, Bookins, and Removals for reported are since the designation date.</t>
  </si>
  <si>
    <t>Afghanistan designated TPS as of 05/20/2022. Arrests, Bookins, and Removals for reported are since the designation date.</t>
  </si>
  <si>
    <t>Cameroon designated TPS as of 06/07/2022. Arrests, Bookins, and Removals reported are since the designation date.</t>
  </si>
  <si>
    <t>Ethiopia designated TPS as of 12/12/2022. Arrests, Bookins, and Removals reported are since the designation date.</t>
  </si>
  <si>
    <t>Ukraine designated TPS as of 04/19/2022. Arrests, Bookins, and Removals for  reported are since the designation date.</t>
  </si>
  <si>
    <t>Wristworn</t>
  </si>
  <si>
    <t>Ankle Monitor</t>
  </si>
  <si>
    <t>Dual Tech</t>
  </si>
  <si>
    <t>SmartLINK</t>
  </si>
  <si>
    <t>Washington DC</t>
  </si>
  <si>
    <t>VoiceID</t>
  </si>
  <si>
    <t>St Paul</t>
  </si>
  <si>
    <t>Seattle</t>
  </si>
  <si>
    <t>San Francisco</t>
  </si>
  <si>
    <t>San Diego</t>
  </si>
  <si>
    <t>San Antonio</t>
  </si>
  <si>
    <t>Salt Lake City</t>
  </si>
  <si>
    <t>Phoenix</t>
  </si>
  <si>
    <t>Philadelphia</t>
  </si>
  <si>
    <t>Newark</t>
  </si>
  <si>
    <t>New York</t>
  </si>
  <si>
    <t>New Orleans</t>
  </si>
  <si>
    <t>No Tech</t>
  </si>
  <si>
    <t>Miami</t>
  </si>
  <si>
    <t>Los Angeles</t>
  </si>
  <si>
    <t>Houston</t>
  </si>
  <si>
    <t>Harlingen</t>
  </si>
  <si>
    <t>El Paso</t>
  </si>
  <si>
    <t>Detroit</t>
  </si>
  <si>
    <t>Denver</t>
  </si>
  <si>
    <t>Dallas</t>
  </si>
  <si>
    <t>Chicago</t>
  </si>
  <si>
    <t>Buffalo</t>
  </si>
  <si>
    <t>Boston</t>
  </si>
  <si>
    <t>Baltimore</t>
  </si>
  <si>
    <t>Atlanta</t>
  </si>
  <si>
    <t>Total</t>
  </si>
  <si>
    <t>Average Length in Program</t>
  </si>
  <si>
    <t>Count</t>
  </si>
  <si>
    <t>AOR/Technology</t>
  </si>
  <si>
    <t>Active ATD Participants and Average Length in Program, FY25,  as of 2/21/2025, by AOR and Technology</t>
  </si>
  <si>
    <t>Data from OBP Report, 2.23.2025</t>
  </si>
  <si>
    <t>*Only Participants with court tracking assigned</t>
  </si>
  <si>
    <t>Court Data from BI Inc.</t>
  </si>
  <si>
    <t>ECMS-Single Adult</t>
  </si>
  <si>
    <t>Single Adult</t>
  </si>
  <si>
    <t>Failed to Attend</t>
  </si>
  <si>
    <t>ECMS-FAMU</t>
  </si>
  <si>
    <t>Attended</t>
  </si>
  <si>
    <t>FAMU</t>
  </si>
  <si>
    <t>%</t>
  </si>
  <si>
    <t>Metric</t>
  </si>
  <si>
    <t>FAMU Status</t>
  </si>
  <si>
    <t>FY25 thru December Court Appearance: Final Hearings*</t>
  </si>
  <si>
    <t>ATD Active Population by Status, Extended Case Management Service, Count and ALIP, FY25</t>
  </si>
  <si>
    <t>Costs listed above are only related to technology costs, and do not include other associated contract and case management costs that are a part of the ATD program. Average daily participant cost is greater than those listed in the table above.</t>
  </si>
  <si>
    <t>Data from BI Inc. Participants Report, 2.21.2025</t>
  </si>
  <si>
    <t xml:space="preserve">Court Data from BI Inc. </t>
  </si>
  <si>
    <t>FY25 thru January Court Appearance: Total Hearings*</t>
  </si>
  <si>
    <t>Daily Tech Cost</t>
  </si>
  <si>
    <t>Technology</t>
  </si>
  <si>
    <t>ATD Active Population Counts and Daily Cost by Technology</t>
  </si>
  <si>
    <t>ICE ALTERNATIVES TO DETENTION DATA, FY25</t>
  </si>
  <si>
    <t>ICE DETENTION DATA, FY2025</t>
  </si>
  <si>
    <t>ICE Currently Detained by Processing Disposition: FY2025</t>
  </si>
  <si>
    <t>Average Time from USCIS Fear Decision Service Date to ICE Release (In Days)</t>
  </si>
  <si>
    <t>Aliens with USCIS-Established Fear Decisions in an ICE Detention Facility: FY2025</t>
  </si>
  <si>
    <t>Processing Disposition</t>
  </si>
  <si>
    <t>Adult</t>
  </si>
  <si>
    <t>ICE Release Fiscal Year</t>
  </si>
  <si>
    <t>Detention Facility Type</t>
  </si>
  <si>
    <t>Total Detained</t>
  </si>
  <si>
    <t>FY2025</t>
  </si>
  <si>
    <t>Expedited Removal (I-860)</t>
  </si>
  <si>
    <t>Notice to Appear (I-862)</t>
  </si>
  <si>
    <t>Reinstatement of Deport Order (I-871)</t>
  </si>
  <si>
    <t>Other</t>
  </si>
  <si>
    <t>ICE Currently Detained by Criminality and Arresting Agency: FY2025</t>
  </si>
  <si>
    <t>ICE Initial Book-Ins by Arresting Agency and Month: FY2025</t>
  </si>
  <si>
    <t>Criminality</t>
  </si>
  <si>
    <t>Percent ICE</t>
  </si>
  <si>
    <t>Percent CBP</t>
  </si>
  <si>
    <t>Agency</t>
  </si>
  <si>
    <t>Oct</t>
  </si>
  <si>
    <t>Nov</t>
  </si>
  <si>
    <t>Dec</t>
  </si>
  <si>
    <t>Jan</t>
  </si>
  <si>
    <t>Feb</t>
  </si>
  <si>
    <t>Mar</t>
  </si>
  <si>
    <t>Apr</t>
  </si>
  <si>
    <t>May</t>
  </si>
  <si>
    <t>Jun</t>
  </si>
  <si>
    <t>Jul</t>
  </si>
  <si>
    <t>Aug</t>
  </si>
  <si>
    <t>Sep</t>
  </si>
  <si>
    <t>Convicted Criminal</t>
  </si>
  <si>
    <t>Pending Criminal Charges</t>
  </si>
  <si>
    <t xml:space="preserve">ICE  </t>
  </si>
  <si>
    <t>Other Immigration Violator</t>
  </si>
  <si>
    <t>ICE Initial Book-Ins by Criminality: FY2025</t>
  </si>
  <si>
    <t>ICE Final Book Outs : FY2025</t>
  </si>
  <si>
    <t>ICE Removals: FY2025</t>
  </si>
  <si>
    <t>Facility Type</t>
  </si>
  <si>
    <t>Removals</t>
  </si>
  <si>
    <t>Removals with a FAMU Identifier</t>
  </si>
  <si>
    <t>ICE Final Book Outs by Release Reason, Month and Criminality: FY2025</t>
  </si>
  <si>
    <t>Release Reason</t>
  </si>
  <si>
    <t>Bonded Out</t>
  </si>
  <si>
    <t>Bond Set by ICE</t>
  </si>
  <si>
    <t>Bond Set by IJ</t>
  </si>
  <si>
    <t>Paroled</t>
  </si>
  <si>
    <t>Proceedings Terminated</t>
  </si>
  <si>
    <t>Release to Remove</t>
  </si>
  <si>
    <t>Relief Granted by IJ</t>
  </si>
  <si>
    <t>Transfer to U.S. Marshals or other agency</t>
  </si>
  <si>
    <t>Transferred</t>
  </si>
  <si>
    <t>ICE Average Daily Population by Arresting Agency, Month and Criminality: FY2025</t>
  </si>
  <si>
    <t>FY Overall</t>
  </si>
  <si>
    <t>CBP Average</t>
  </si>
  <si>
    <t xml:space="preserve">ICE Average  </t>
  </si>
  <si>
    <t xml:space="preserve">Average </t>
  </si>
  <si>
    <t>ICE Average Length of Stay by Arresting Agency, Month and Criminality: FY2025</t>
  </si>
  <si>
    <t>ICE Average Daily Population by Month: FY2025</t>
  </si>
  <si>
    <t>ICE Average Length of Stay by Month: FY2025</t>
  </si>
  <si>
    <t>ICE Average Length of Stay Adult Facility Type by Month and Arresting Agency: FY2025</t>
  </si>
  <si>
    <t>Arresting Agency</t>
  </si>
  <si>
    <t>Aliens with Positive Credible Fear Determination Parole Requested: FY2023 - FY2025</t>
  </si>
  <si>
    <t>Fiscal Year</t>
  </si>
  <si>
    <t>FY2024</t>
  </si>
  <si>
    <t>FY2023</t>
  </si>
  <si>
    <t>Aliens with Positive Credible Fear Determination Parole Status: FY2023 - FY2025</t>
  </si>
  <si>
    <t>Parole Status</t>
  </si>
  <si>
    <t>Parole Granted</t>
  </si>
  <si>
    <t>Parole Denied</t>
  </si>
  <si>
    <t>ICE Currently Detained of Stateless Aliens by Detention Facility</t>
  </si>
  <si>
    <t>Detention Facility</t>
  </si>
  <si>
    <t>Detention Facility Code</t>
  </si>
  <si>
    <t>ADAMSMS</t>
  </si>
  <si>
    <t>ATLANTA U.S. PEN.</t>
  </si>
  <si>
    <t>BOPATL</t>
  </si>
  <si>
    <t>WCCPBFL</t>
  </si>
  <si>
    <t>CALHOMI CALHOUN CO., BATTLE CR,MI</t>
  </si>
  <si>
    <t>CALHOMI</t>
  </si>
  <si>
    <t>CARDFVA</t>
  </si>
  <si>
    <t>DENICDF</t>
  </si>
  <si>
    <t>EDNDCTX</t>
  </si>
  <si>
    <t>EPC</t>
  </si>
  <si>
    <t>ELOY FED CTR FACILITY (CORE CIVIC)</t>
  </si>
  <si>
    <t>EAZ</t>
  </si>
  <si>
    <t>FIPCMGA</t>
  </si>
  <si>
    <t>GEAUGA COUNTY JAIL (GEAUGOH)</t>
  </si>
  <si>
    <t>GEAUGOH</t>
  </si>
  <si>
    <t>HOUSTON CONTRACT DET.FAC.</t>
  </si>
  <si>
    <t>HOUICDF</t>
  </si>
  <si>
    <t>JCRLYTX</t>
  </si>
  <si>
    <t>KROME NORTH SPC</t>
  </si>
  <si>
    <t>KRO</t>
  </si>
  <si>
    <t>NW ICE PROCESSING CTR</t>
  </si>
  <si>
    <t>CSCNWWA</t>
  </si>
  <si>
    <t>CCASDCA</t>
  </si>
  <si>
    <t>PLYMOMA</t>
  </si>
  <si>
    <t>River Correctional Center</t>
  </si>
  <si>
    <t>RVRCCLA</t>
  </si>
  <si>
    <t>LAWINCI</t>
  </si>
  <si>
    <t>Average In Custody Length of Stay (ICLOS)</t>
  </si>
  <si>
    <t xml:space="preserve">Population </t>
  </si>
  <si>
    <t>January</t>
  </si>
  <si>
    <t>February</t>
  </si>
  <si>
    <t>March</t>
  </si>
  <si>
    <t>April</t>
  </si>
  <si>
    <t>June</t>
  </si>
  <si>
    <t>July</t>
  </si>
  <si>
    <t>August</t>
  </si>
  <si>
    <t>September</t>
  </si>
  <si>
    <t>October</t>
  </si>
  <si>
    <t>November</t>
  </si>
  <si>
    <t>December</t>
  </si>
  <si>
    <t xml:space="preserve">mid </t>
  </si>
  <si>
    <t>end</t>
  </si>
  <si>
    <t>Adult Facility Aliens</t>
  </si>
  <si>
    <t>Single Adults with a Positive Fear Determination Still in Custody</t>
  </si>
  <si>
    <t>Detainees</t>
  </si>
  <si>
    <t>0-180 Days</t>
  </si>
  <si>
    <t>181-365 Days</t>
  </si>
  <si>
    <t>366-730 Days</t>
  </si>
  <si>
    <t>More than 730 Days</t>
  </si>
  <si>
    <t>The data contained within this Semiannual page has been refreshed for the United States Armed Forces, United States Citizens, Parents of United States Citizens, and Temporary Protective Status Countries tables for EOFY2024. These tables will be updated after March 31, 2025.</t>
  </si>
  <si>
    <t>United States Armed Forces Alien Arrests FY2018 - EOFY2024</t>
  </si>
  <si>
    <t>Arrests</t>
  </si>
  <si>
    <t>FY2018</t>
  </si>
  <si>
    <t>FY2019</t>
  </si>
  <si>
    <t>FY2020</t>
  </si>
  <si>
    <t>FY2021</t>
  </si>
  <si>
    <t xml:space="preserve">FY2022 </t>
  </si>
  <si>
    <t>United States Armed Forces Alien Bookins FY2018 - EOFY2024</t>
  </si>
  <si>
    <t>Bookins</t>
  </si>
  <si>
    <t>United States Armed Forces Alien Removals FY2018 - EOFY2024</t>
  </si>
  <si>
    <t>United States Citizen Arrests FY2018 - EOFY2024</t>
  </si>
  <si>
    <t>FY2022</t>
  </si>
  <si>
    <t>United States Citizens Bookins FY2018 - EOFY2024</t>
  </si>
  <si>
    <t>United States Citizens Removals FY2018 - EOFY2024</t>
  </si>
  <si>
    <t>Parents of USC Arrests FY2018 - EOFY2024</t>
  </si>
  <si>
    <t>Parents of USC Bookins FY2018 - EOFY2024</t>
  </si>
  <si>
    <t>Parents of USC Removals FY2018 - EOFY2024</t>
  </si>
  <si>
    <t>Temporary Protected Status Countries Arrests FY2018 - EOFY2024</t>
  </si>
  <si>
    <t>Citizenship Country</t>
  </si>
  <si>
    <t>Afghanistan</t>
  </si>
  <si>
    <t>Burma (Myanmar)</t>
  </si>
  <si>
    <t>Cameroon</t>
  </si>
  <si>
    <t>El Salvador</t>
  </si>
  <si>
    <t>Ethiopia</t>
  </si>
  <si>
    <t>Haiti</t>
  </si>
  <si>
    <t>Honduras</t>
  </si>
  <si>
    <t>Nepal</t>
  </si>
  <si>
    <t>Nicaragua</t>
  </si>
  <si>
    <t>Somalia</t>
  </si>
  <si>
    <t>South Sudan</t>
  </si>
  <si>
    <t>Sudan</t>
  </si>
  <si>
    <t>Syria</t>
  </si>
  <si>
    <t>Ukraine</t>
  </si>
  <si>
    <t>Venezuela</t>
  </si>
  <si>
    <t>Yemen</t>
  </si>
  <si>
    <t>Temporary Protected Status Countries Bookins FY2018 - EOFY2024</t>
  </si>
  <si>
    <t>Temporary Protected Status Countries Removals FY2018 - EOFY2024</t>
  </si>
  <si>
    <t>FY2025 Bonded Out Book Outs Count and ALOS - Prior 12 months plus Current Month</t>
  </si>
  <si>
    <t>Total ICE Final Book Outs</t>
  </si>
  <si>
    <t>ICE Final Book Outs with Bond Posted</t>
  </si>
  <si>
    <t>Bond Posted Book Outs/Releases (%)</t>
  </si>
  <si>
    <t>Average Bond Amount ($)</t>
  </si>
  <si>
    <t>ALOS (Days)</t>
  </si>
  <si>
    <t xml:space="preserve">Aliens identified as part of family unit are measured based off the Case Family Status of Intact and Intact-Reunified for that alien.  This includes those aliens identified as a family member by either CBP and/or ICE. Designation as a Family Unit member does not imply that all members of the family unit were removed. </t>
  </si>
  <si>
    <t>FY2025 ICE Average Daily Population and ICE Average Length of Stay</t>
  </si>
  <si>
    <t>FY2025 YTD ICE Detention data are updated through 02/22/2025 (IIDS Run Date 02/24/2025; EID as of 02/22/2025).</t>
  </si>
  <si>
    <t>FY2025 and FY2024 ICE Final Book Outs</t>
  </si>
  <si>
    <t>FY2025 YTD ICE Final Book Out data are updated through 02/22/2025 (IIDS Run Date 02/24/2025; EID as of 02/22/2025).</t>
  </si>
  <si>
    <t>FY2024 ICE Final Book Out Data is historic and remains static.</t>
  </si>
  <si>
    <t>In FY2024 ICE began tracking Final Bookouts in lieu of Final Releases due to a change in methodology.</t>
  </si>
  <si>
    <t>All bookouts occurring during ICE detention are reported here.  A bookout may be classified as a final release from ICE custody or an interim bookout which occurs during the detention stay.</t>
  </si>
  <si>
    <t>Bonded Out, Order of Recognizance, Order of Supervision, and Paroled are ICE Final releases from a detention facility. An alien can be currently still in IJ proceedings, have an appeal, or awaiting removal.  Processing Disposition Changed Locally: An IJ has terminated the current proceedings at EOIR's discretion, or the case is being re-processed Release to Remove, an Alien was removed/deported from the U.S. directly from an ICE detention facility. Relief Granted by IJ: Alien was granted a benefit by the IJ and released from an ICE detention facility.  Transfer to US Marshalls or Other LEA: Alien was transferred to another Law Enforcement Agency to address other possible criminal activity. Transferred: Transferred to another AOR or facility, etc.</t>
  </si>
  <si>
    <t>FY2025 ICE Removals</t>
  </si>
  <si>
    <t>FY2025 YTD ICE Removals data are updated through 02/22/2025 (IIDS Run Date 02/24/2025; EID as of 02/22/2025).</t>
  </si>
  <si>
    <t>ICE Departures include aliens processed for Expedited Removal (ER) or Voluntary Return (VR) that are turned over to ERO for detention. As of May 12, 2023, aliens processed for ER that were turned over from Border Patrol to ICE for removal via ICE Air are also included. Aliens processed for ER and not detained by ERO or VR after June 1, 2013 and not detained by ERO are primarily processed by Border Patrol.</t>
  </si>
  <si>
    <t xml:space="preserve">Starting in FY2009, ICE began to "lock" removal statistics on October 5th at the end of each fiscal year and counted only the Aliens whose removal or return was already confirmed.  Aliens removed or returned in that fiscal year but not confirmed until after October 5th were excluded from the locked data and thus from ICE statistics.  To ensure an accurate and complete representation of all removals and returns, ICE will include the removals and returns confirmed after October 5th into the next fiscal year.  </t>
  </si>
  <si>
    <t>ICE National Docket data are a snapshot as of 02/23/2025 (IIDS Run Date 02/24/2025; EID as of 02/23/2025).</t>
  </si>
  <si>
    <t>Processing dispositions of Other may include, but are not limited to, Aliens processed under Administrative Removal, Visa Waiver Program Removal, Stowaway or Crewmember.</t>
  </si>
  <si>
    <t>FY2025 ICE Initial Book-Ins</t>
  </si>
  <si>
    <t>FY2025 YTD ICE Book-ins data is updated through 02/22/2025 (IIDS Run Date 02/24/2025; EID as of 02/22/2025).</t>
  </si>
  <si>
    <t>USCIS Average Time from USCIS Fear Decision Service Date to ICE Release (In Days) &amp; Aliens with USCIS-Established Fear Decisions in an ICE Detention Facility</t>
  </si>
  <si>
    <t>Aliens Currently in ICE Detention Facilities data are a snapshot as 02/23/2025 (IIDS Run Date 02/24/2025; EID as of 02/23/2025).</t>
  </si>
  <si>
    <t>USCIS provided data containing APSO (Asylum Pre Screening Officer) cases clocked during FY2023 - FY2025. Data were received on 02/21/2025.</t>
  </si>
  <si>
    <t>Aliens Currently in ICE Detention Facilities and the Average Time from USCIS Fear Decision Service Date to ICE Release are determined by matching the Alien File Numbers in the data provided by USCIS to ICE Detention data.  Data only include Alien File Numbers from the USCIS data that have USCIS Fear Determinations of Persecution Claim Established or Torture Claim Established.  Data only include ICE Detention Stays for which the USCIS Decision Service Date falls on or after the initial book in date of the current detention stay.  ICE Detention Stays for which the Decision Service Date falls before the initial book in or after release are not included.</t>
  </si>
  <si>
    <t>An Aliens Fear Screening Determination cannot be confirmed as directly related to an ICE Detention Stay, even if the USCIS Decision Service Date falls within the ICE Detention Stay.</t>
  </si>
  <si>
    <t>Of the 441,148 records in the USCIS provided data, the breakdown of the fear screening determinations is as follows; 211,836 positive fear screening determinations, 158,438 negative fear screening determinations and 70,784 without an identified determination. Of the 211,836 with positive fear screening determinations; 127,491 have Persecution Claim Established and 84,345 have Torture Claim Established.</t>
  </si>
  <si>
    <t>Aliens Currently in ICE Detention Facilities and the Average Time from USCIS Fear Decision Service Date to ICE Release include detentions not associated with a removal case.</t>
  </si>
  <si>
    <t>The data provided by USCIS contains multiple records for some Alien File Numbers. There are 441,148 unique fear determinations and 35,618 of those have multiple records in the data provided by USCIS. The Alien File Numbers with multiple USCIS records are treated as follows:                                 
• If an Alien File Number is associated with both positive and negative fear screening determinations, only the most recent screening is included.
• If an Alien File Number is associated with multiple positive fear determinations and only one ICE Detention Stay, only the determinations for which the USCIS Decision Service Date falls within the detention stay are included.
• If an Alien File Number is associated with multiple positive fear determinations and multiple ICE Detention Stays, all determinations for which the USCIS Decision Service Date falls within an ICE Detention Stay are included.
• If an Alien File Number has multiple positive fear determinations for which the USCIS Decision Service Dates fall within a single ICE Detention Stay, this is counted as a single detention.</t>
  </si>
  <si>
    <t xml:space="preserve">Average Time from USCIS Fear Decision Service Date to ICE Release is calculated from the relevant ICE Detention Stays described above, where the USCIS Decision Service Date for a USCIS Fear Determination of Persecution Claim Established or Torture Claim Established falls within an ICE Detention Stay.  The average time for a fiscal year is the average number of days between the USCIS Decision Service Date and the final release from ICE Custody for that fiscal year.  The fiscal year for an ICE Detention Stay in this metric is the fiscal year in which the Alien was released from ICE Custody. </t>
  </si>
  <si>
    <t xml:space="preserve">The two categories the ICLOS and Detainees tab is broken out by are
• Adult Facility Aleins
o Anyone who is in an adult facility and does not have a positive fear determination at the date of the snapshot
• Single Adults with a Positive Fear determination still in custody
o Anyone who is in an adult facility and has a positive fear determination at the date of the snapshot
•	Adult Facility Aliens
o	Anyone who is in an adult facility and does not have a post determined positive fear claim at the date of the snapshot 
•	Single Adults with a Positive Fear Determination Still in Custody
o	Anyone who is in an adult facility and has a post determined positive fear claim at the date of the snapshot </t>
  </si>
  <si>
    <t>ICE ICLOS and Detainees Data are updated through 02/26/2025 (IIDS Run Date 02/27/2025; EID as of 02/26/2025).</t>
  </si>
  <si>
    <t>FY2024 ICE Final Bookouts data is historic and remains static.</t>
  </si>
  <si>
    <t>Bonded Out, Order of Recognizance, Order of Supervision, and Paroled are ICE Final releases from a detention facility. An Alien can be currently still in IJ proceedings, have an appeal, or awaiting removal.  Processing Disposition Changed Locally: An IJ has terminated the current proceedings at EOIR's discretion, or the case is being re-processed Release to Remove, a Alien was removed/deported from the U.S. directly from an ICE detention facility. Relief Granted by IJ: Alien was granted a benefit by the IJ and released from an ICE detention facility.  Transfer to US Marshalls or Other LEA: Alien was transferred to another Law Enforcement Agency to address other possible criminal activity. Transferred: Transferred to another AOR or facility, etc.</t>
  </si>
  <si>
    <t>BMU provided data containing Bonds Posted cases recorded from 01/01/2024 - 02/25/2025. Data were received on 02/25/2025.</t>
  </si>
  <si>
    <t xml:space="preserve">Bond Posted Book Outs (%) is calculated by the sum total count of ICE Final Book Outs of the aliens with bond posted divided by the total count of ICE Final Book Outs. </t>
  </si>
  <si>
    <t xml:space="preserve">Bond Posted Releases (%) is calculated by the sum total count of ICE Final Releases of the aliens with bond posted divided by the total count of ICE Final Releases. </t>
  </si>
  <si>
    <t>FY2025 YTD Encounters data is updated through 02/26/2025 (IIDS Run Date 02/27/2025; EID as of 02/26/2025).</t>
  </si>
  <si>
    <t>EOFY2024 data are historic and static. ICE Arrests data are updated through 09/30/2024 (IIDS Run Date 10/04/2024; EID as of 10/03/2024).</t>
  </si>
  <si>
    <t>EOFY2024 data are historic and static. ICE Detention data are updated through 09/30/2024 (IIDS Run Date 10/04/2024; EID as of 10/03/2024).</t>
  </si>
  <si>
    <t>EOFY2024 data are historic and static. ICE Removals data are updated through 09/30/2024 (IIDS Run Date 10/04/2024; EID as of 10/03/2024).</t>
  </si>
  <si>
    <t>Country of Citizenship is derived from the ICE system of record as it is input by the officer at the time of processing. An "Unknown" Country indicates the alien failed or refused to identify a country of citizenship or the officer lacked documentation to do so.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</si>
</sst>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1" formatCode="_(* #,##0_);_(* \(#,##0\);_(* &quot;-&quot;_);_(@_)"/>
    <numFmt numFmtId="44" formatCode="_(&quot;$&quot;* #,##0.00_);_(&quot;$&quot;* \(#,##0.00\);_(&quot;$&quot;* &quot;-&quot;??_);_(@_)"/>
    <numFmt numFmtId="43" formatCode="_(* #,##0.00_);_(* \(#,##0.00\);_(* &quot;-&quot;??_);_(@_)"/>
    <numFmt numFmtId="164" formatCode="_(* #,##0_);_(* \(#,##0\);_(* &quot;-&quot;??_);_(@_)"/>
    <numFmt numFmtId="165" formatCode="00000"/>
    <numFmt numFmtId="166" formatCode="0.0%"/>
    <numFmt numFmtId="167" formatCode="#,##0.0"/>
    <numFmt numFmtId="168" formatCode="_(* #,##0.0_);_(* \(#,##0.0\);_(* &quot;-&quot;_);_(@_)"/>
    <numFmt numFmtId="169" formatCode="&quot;$&quot;#,##0.00"/>
    <numFmt numFmtId="170" formatCode="0.0"/>
    <numFmt numFmtId="171" formatCode="_(* #,##0.0_);_(* \(#,##0.0\);_(* &quot;-&quot;?_);_(@_)"/>
    <numFmt numFmtId="172" formatCode="mmm\-yyyy"/>
    <numFmt numFmtId="173" formatCode="_(* #,##0_);_(* \(#,##0\);_(* &quot;-&quot;?_);_(@_)"/>
  </numFmts>
  <fonts count="51" x14ac:knownFonts="1">
    <font>
      <sz val="11"/>
      <color theme="1"/>
      <name val="Calibri"/>
      <family val="2"/>
      <scheme val="minor"/>
    </font>
    <font>
      <sz val="12"/>
      <color theme="1"/>
      <name val="Times New Roman"/>
      <family val="2"/>
    </font>
    <font>
      <sz val="10"/>
      <name val="Arial"/>
      <family val="2"/>
    </font>
    <font>
      <b/>
      <sz val="12"/>
      <color indexed="18"/>
      <name val="Times New Roman"/>
      <family val="1"/>
    </font>
    <font>
      <sz val="12"/>
      <color theme="1"/>
      <name val="Times New Roman"/>
      <family val="1"/>
    </font>
    <font>
      <sz val="14"/>
      <color theme="0"/>
      <name val="Times New Roman"/>
      <family val="1"/>
    </font>
    <font>
      <sz val="10"/>
      <color indexed="72"/>
      <name val="MS Sans Serif"/>
      <family val="2"/>
    </font>
    <font>
      <b/>
      <sz val="12"/>
      <color theme="4" tint="-0.499984740745262"/>
      <name val="Calibri"/>
      <family val="2"/>
      <scheme val="minor"/>
    </font>
    <font>
      <b/>
      <sz val="20"/>
      <color theme="4" tint="-0.499984740745262"/>
      <name val="Calibri"/>
      <family val="2"/>
      <scheme val="minor"/>
    </font>
    <font>
      <b/>
      <sz val="24"/>
      <color theme="4" tint="-0.499984740745262"/>
      <name val="Calibri"/>
      <family val="2"/>
      <scheme val="minor"/>
    </font>
    <font>
      <sz val="12"/>
      <name val="Times New Roman"/>
      <family val="1"/>
    </font>
    <font>
      <sz val="10"/>
      <color rgb="FF000000"/>
      <name val="Arial"/>
      <family val="2"/>
    </font>
    <font>
      <b/>
      <sz val="11"/>
      <color theme="1"/>
      <name val="Calibri"/>
      <family val="2"/>
      <scheme val="minor"/>
    </font>
    <font>
      <sz val="11"/>
      <name val="Calibri"/>
      <family val="2"/>
      <scheme val="minor"/>
    </font>
    <font>
      <i/>
      <sz val="11"/>
      <color theme="1"/>
      <name val="Calibri"/>
      <family val="2"/>
      <scheme val="minor"/>
    </font>
    <font>
      <b/>
      <sz val="10"/>
      <name val="Calibri"/>
      <family val="2"/>
      <scheme val="minor"/>
    </font>
    <font>
      <b/>
      <sz val="10"/>
      <color rgb="FF000000"/>
      <name val="Calibri"/>
      <family val="2"/>
    </font>
    <font>
      <b/>
      <i/>
      <sz val="10"/>
      <color rgb="FF000000"/>
      <name val="Calibri"/>
      <family val="2"/>
    </font>
    <font>
      <b/>
      <sz val="11"/>
      <color rgb="FF000000"/>
      <name val="Calibri"/>
      <family val="2"/>
      <scheme val="minor"/>
    </font>
    <font>
      <sz val="11"/>
      <color rgb="FF000000"/>
      <name val="Calibri"/>
      <family val="2"/>
      <scheme val="minor"/>
    </font>
    <font>
      <sz val="11"/>
      <color theme="1"/>
      <name val="Times New Roman"/>
      <family val="1"/>
    </font>
    <font>
      <sz val="11"/>
      <color theme="1"/>
      <name val="Calibri"/>
      <family val="2"/>
      <scheme val="minor"/>
    </font>
    <font>
      <b/>
      <sz val="12"/>
      <color theme="4" tint="-0.499984740745262"/>
      <name val="Times New Roman"/>
      <family val="1"/>
    </font>
    <font>
      <b/>
      <sz val="12"/>
      <color theme="3" tint="-0.499984740745262"/>
      <name val="Times New Roman"/>
      <family val="1"/>
    </font>
    <font>
      <b/>
      <sz val="12"/>
      <color theme="0"/>
      <name val="Times New Roman"/>
      <family val="1"/>
    </font>
    <font>
      <b/>
      <sz val="12"/>
      <name val="Times New Roman"/>
      <family val="1"/>
    </font>
    <font>
      <sz val="12"/>
      <color indexed="8"/>
      <name val="Calibri"/>
      <family val="2"/>
      <scheme val="minor"/>
    </font>
    <font>
      <sz val="12"/>
      <color theme="1"/>
      <name val="Calibri"/>
      <family val="2"/>
      <scheme val="minor"/>
    </font>
    <font>
      <sz val="12"/>
      <name val="Calibri"/>
      <family val="2"/>
      <scheme val="minor"/>
    </font>
    <font>
      <b/>
      <sz val="11"/>
      <color theme="0"/>
      <name val="Calibri"/>
      <family val="2"/>
      <scheme val="minor"/>
    </font>
    <font>
      <b/>
      <sz val="12"/>
      <color theme="1"/>
      <name val="Times New Roman"/>
      <family val="1"/>
    </font>
    <font>
      <b/>
      <sz val="12"/>
      <color indexed="8"/>
      <name val="Times New Roman"/>
      <family val="1"/>
    </font>
    <font>
      <b/>
      <sz val="10"/>
      <name val="Calibri"/>
      <family val="2"/>
    </font>
    <font>
      <sz val="8"/>
      <name val="Calibri"/>
      <family val="2"/>
    </font>
    <font>
      <sz val="8"/>
      <color theme="1"/>
      <name val="Calibri"/>
      <family val="2"/>
      <scheme val="minor"/>
    </font>
    <font>
      <b/>
      <sz val="11"/>
      <color rgb="FF000000"/>
      <name val="Calibri"/>
      <family val="2"/>
    </font>
    <font>
      <sz val="11"/>
      <color rgb="FF000000"/>
      <name val="Calibri"/>
      <family val="2"/>
    </font>
    <font>
      <b/>
      <sz val="11"/>
      <color theme="0"/>
      <name val="Calibri"/>
      <family val="2"/>
    </font>
    <font>
      <b/>
      <sz val="12"/>
      <color rgb="FFFF0000"/>
      <name val="Times New Roman"/>
      <family val="1"/>
    </font>
    <font>
      <b/>
      <sz val="10"/>
      <color theme="1"/>
      <name val="Calibri"/>
      <family val="2"/>
      <scheme val="minor"/>
    </font>
    <font>
      <sz val="9"/>
      <color theme="1"/>
      <name val="Calibri"/>
      <family val="2"/>
      <scheme val="minor"/>
    </font>
    <font>
      <b/>
      <sz val="18"/>
      <color theme="3" tint="-0.499984740745262"/>
      <name val="Calibri"/>
      <family val="2"/>
      <scheme val="minor"/>
    </font>
    <font>
      <b/>
      <sz val="9"/>
      <color theme="0"/>
      <name val="Times New Roman"/>
      <family val="1"/>
    </font>
    <font>
      <b/>
      <sz val="9"/>
      <color theme="1"/>
      <name val="Times New Roman"/>
      <family val="1"/>
    </font>
    <font>
      <b/>
      <sz val="9"/>
      <color theme="1"/>
      <name val="Calibri"/>
      <family val="2"/>
      <scheme val="minor"/>
    </font>
    <font>
      <b/>
      <sz val="9"/>
      <color theme="0"/>
      <name val="Calibri"/>
      <family val="2"/>
      <scheme val="minor"/>
    </font>
    <font>
      <b/>
      <i/>
      <sz val="9"/>
      <color theme="1"/>
      <name val="Calibri"/>
      <family val="2"/>
      <scheme val="minor"/>
    </font>
    <font>
      <i/>
      <sz val="9"/>
      <color theme="1"/>
      <name val="Calibri"/>
      <family val="2"/>
      <scheme val="minor"/>
    </font>
    <font>
      <b/>
      <sz val="11"/>
      <color theme="1"/>
      <name val="Times New Roman"/>
      <family val="1"/>
    </font>
    <font>
      <sz val="9"/>
      <color theme="1"/>
      <name val="Times New Roman"/>
      <family val="1"/>
    </font>
    <font>
      <b/>
      <sz val="14"/>
      <color theme="1"/>
      <name val="Times New Roman"/>
      <family val="1"/>
    </font>
  </fonts>
  <fills count="21">
    <fill>
      <patternFill patternType="none"/>
    </fill>
    <fill>
      <patternFill patternType="gray125"/>
    </fill>
    <fill>
      <patternFill patternType="solid">
        <fgColor theme="0"/>
        <bgColor indexed="64"/>
      </patternFill>
    </fill>
    <fill>
      <patternFill patternType="solid">
        <fgColor rgb="FF002060"/>
        <bgColor indexed="64"/>
      </patternFill>
    </fill>
    <fill>
      <patternFill patternType="solid">
        <fgColor theme="0" tint="-0.14999847407452621"/>
        <bgColor indexed="64"/>
      </patternFill>
    </fill>
    <fill>
      <patternFill patternType="solid">
        <fgColor indexed="9"/>
        <bgColor indexed="64"/>
      </patternFill>
    </fill>
    <fill>
      <patternFill patternType="solid">
        <fgColor theme="4" tint="0.59999389629810485"/>
        <bgColor indexed="64"/>
      </patternFill>
    </fill>
    <fill>
      <patternFill patternType="solid">
        <fgColor rgb="FFFFFFFF"/>
        <bgColor rgb="FF000000"/>
      </patternFill>
    </fill>
    <fill>
      <patternFill patternType="solid">
        <fgColor theme="4" tint="0.59999389629810485"/>
        <bgColor theme="4" tint="0.79998168889431442"/>
      </patternFill>
    </fill>
    <fill>
      <patternFill patternType="solid">
        <fgColor rgb="FFD9E1F2"/>
        <bgColor indexed="64"/>
      </patternFill>
    </fill>
    <fill>
      <patternFill patternType="solid">
        <fgColor theme="0" tint="-0.249977111117893"/>
        <bgColor indexed="64"/>
      </patternFill>
    </fill>
    <fill>
      <patternFill patternType="solid">
        <fgColor theme="4" tint="0.79998168889431442"/>
        <bgColor indexed="64"/>
      </patternFill>
    </fill>
    <fill>
      <patternFill patternType="solid">
        <fgColor rgb="FFD9D9D9"/>
        <bgColor indexed="64"/>
      </patternFill>
    </fill>
    <fill>
      <patternFill patternType="solid">
        <fgColor theme="4" tint="-0.499984740745262"/>
        <bgColor indexed="64"/>
      </patternFill>
    </fill>
    <fill>
      <patternFill patternType="solid">
        <fgColor theme="2"/>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1"/>
        <bgColor indexed="64"/>
      </patternFill>
    </fill>
    <fill>
      <patternFill patternType="solid">
        <fgColor theme="4" tint="0.39997558519241921"/>
        <bgColor indexed="64"/>
      </patternFill>
    </fill>
    <fill>
      <patternFill patternType="solid">
        <fgColor rgb="FFFFFF00"/>
        <bgColor indexed="64"/>
      </patternFill>
    </fill>
  </fills>
  <borders count="55">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top/>
      <bottom/>
      <diagonal/>
    </border>
    <border>
      <left style="medium">
        <color indexed="64"/>
      </left>
      <right style="thin">
        <color indexed="64"/>
      </right>
      <top/>
      <bottom/>
      <diagonal/>
    </border>
    <border>
      <left style="thin">
        <color indexed="64"/>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right/>
      <top/>
      <bottom style="medium">
        <color indexed="64"/>
      </bottom>
      <diagonal/>
    </border>
    <border>
      <left style="thin">
        <color auto="1"/>
      </left>
      <right style="thin">
        <color auto="1"/>
      </right>
      <top style="thin">
        <color auto="1"/>
      </top>
      <bottom style="medium">
        <color auto="1"/>
      </bottom>
      <diagonal/>
    </border>
    <border>
      <left/>
      <right style="medium">
        <color rgb="FF000000"/>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bottom style="medium">
        <color indexed="64"/>
      </bottom>
      <diagonal/>
    </border>
    <border>
      <left style="medium">
        <color indexed="64"/>
      </left>
      <right style="medium">
        <color indexed="64"/>
      </right>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right style="medium">
        <color indexed="64"/>
      </right>
      <top/>
      <bottom/>
      <diagonal/>
    </border>
    <border>
      <left style="thin">
        <color indexed="64"/>
      </left>
      <right style="medium">
        <color indexed="64"/>
      </right>
      <top style="thin">
        <color indexed="64"/>
      </top>
      <bottom/>
      <diagonal/>
    </border>
    <border>
      <left/>
      <right style="thin">
        <color indexed="64"/>
      </right>
      <top/>
      <bottom style="thin">
        <color indexed="64"/>
      </bottom>
      <diagonal/>
    </border>
    <border>
      <left style="thin">
        <color indexed="64"/>
      </left>
      <right/>
      <top/>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right style="thin">
        <color indexed="64"/>
      </right>
      <top style="thin">
        <color indexed="64"/>
      </top>
      <bottom/>
      <diagonal/>
    </border>
    <border>
      <left/>
      <right/>
      <top style="thin">
        <color indexed="64"/>
      </top>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medium">
        <color indexed="64"/>
      </right>
      <top style="thin">
        <color indexed="64"/>
      </top>
      <bottom style="double">
        <color indexed="64"/>
      </bottom>
      <diagonal/>
    </border>
    <border>
      <left/>
      <right style="medium">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style="thin">
        <color indexed="64"/>
      </top>
      <bottom style="double">
        <color indexed="64"/>
      </bottom>
      <diagonal/>
    </border>
    <border>
      <left style="thin">
        <color indexed="64"/>
      </left>
      <right/>
      <top style="thin">
        <color indexed="64"/>
      </top>
      <bottom style="double">
        <color indexed="64"/>
      </bottom>
      <diagonal/>
    </border>
    <border>
      <left/>
      <right style="medium">
        <color indexed="64"/>
      </right>
      <top style="thin">
        <color indexed="64"/>
      </top>
      <bottom/>
      <diagonal/>
    </border>
    <border>
      <left/>
      <right style="medium">
        <color indexed="64"/>
      </right>
      <top/>
      <bottom style="thin">
        <color indexed="64"/>
      </bottom>
      <diagonal/>
    </border>
    <border>
      <left style="medium">
        <color indexed="64"/>
      </left>
      <right/>
      <top/>
      <bottom style="thin">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double">
        <color indexed="64"/>
      </top>
      <bottom style="thin">
        <color indexed="64"/>
      </bottom>
      <diagonal/>
    </border>
    <border>
      <left style="medium">
        <color indexed="64"/>
      </left>
      <right style="thin">
        <color indexed="64"/>
      </right>
      <top style="thin">
        <color indexed="64"/>
      </top>
      <bottom style="medium">
        <color indexed="64"/>
      </bottom>
      <diagonal/>
    </border>
    <border>
      <left/>
      <right style="thin">
        <color indexed="64"/>
      </right>
      <top style="medium">
        <color indexed="64"/>
      </top>
      <bottom style="thin">
        <color indexed="64"/>
      </bottom>
      <diagonal/>
    </border>
    <border>
      <left/>
      <right style="thin">
        <color auto="1"/>
      </right>
      <top style="thin">
        <color auto="1"/>
      </top>
      <bottom style="medium">
        <color auto="1"/>
      </bottom>
      <diagonal/>
    </border>
  </borders>
  <cellStyleXfs count="8">
    <xf numFmtId="0" fontId="0" fillId="0" borderId="0"/>
    <xf numFmtId="0" fontId="1" fillId="0" borderId="0"/>
    <xf numFmtId="0" fontId="2" fillId="0" borderId="0"/>
    <xf numFmtId="0" fontId="6" fillId="0" borderId="0"/>
    <xf numFmtId="0" fontId="11" fillId="0" borderId="0"/>
    <xf numFmtId="43" fontId="21" fillId="0" borderId="0" applyFont="0" applyFill="0" applyBorder="0" applyAlignment="0" applyProtection="0"/>
    <xf numFmtId="44" fontId="21" fillId="0" borderId="0" applyFont="0" applyFill="0" applyBorder="0" applyAlignment="0" applyProtection="0"/>
    <xf numFmtId="9" fontId="21" fillId="0" borderId="0" applyFont="0" applyFill="0" applyBorder="0" applyAlignment="0" applyProtection="0"/>
  </cellStyleXfs>
  <cellXfs count="460">
    <xf numFmtId="0" fontId="0" fillId="0" borderId="0" xfId="0"/>
    <xf numFmtId="0" fontId="0" fillId="0" borderId="0" xfId="0" applyAlignment="1">
      <alignment horizontal="left" vertical="top"/>
    </xf>
    <xf numFmtId="0" fontId="2" fillId="0" borderId="0" xfId="3" applyFont="1" applyAlignment="1">
      <alignment horizontal="left" vertical="center"/>
    </xf>
    <xf numFmtId="0" fontId="3" fillId="5" borderId="0" xfId="2" applyFont="1" applyFill="1" applyAlignment="1">
      <alignment vertical="center" wrapText="1"/>
    </xf>
    <xf numFmtId="0" fontId="7" fillId="5" borderId="7" xfId="2" applyFont="1" applyFill="1" applyBorder="1" applyAlignment="1">
      <alignment vertical="center" wrapText="1"/>
    </xf>
    <xf numFmtId="0" fontId="9" fillId="5" borderId="4" xfId="2" applyFont="1" applyFill="1" applyBorder="1" applyAlignment="1">
      <alignment vertical="center" wrapText="1"/>
    </xf>
    <xf numFmtId="0" fontId="8" fillId="4" borderId="0" xfId="1" applyFont="1" applyFill="1" applyAlignment="1">
      <alignment vertical="top"/>
    </xf>
    <xf numFmtId="0" fontId="0" fillId="2" borderId="0" xfId="0" applyFill="1"/>
    <xf numFmtId="0" fontId="0" fillId="0" borderId="5" xfId="0" applyBorder="1"/>
    <xf numFmtId="0" fontId="5" fillId="3" borderId="8" xfId="0" applyFont="1" applyFill="1" applyBorder="1" applyAlignment="1">
      <alignment horizontal="left" vertical="top" wrapText="1"/>
    </xf>
    <xf numFmtId="0" fontId="5" fillId="3" borderId="9" xfId="0" applyFont="1" applyFill="1" applyBorder="1" applyAlignment="1">
      <alignment horizontal="left" vertical="top" wrapText="1"/>
    </xf>
    <xf numFmtId="0" fontId="4" fillId="0" borderId="11" xfId="0" applyFont="1" applyBorder="1" applyAlignment="1">
      <alignment horizontal="left" vertical="top" wrapText="1"/>
    </xf>
    <xf numFmtId="0" fontId="4" fillId="2" borderId="11" xfId="0" applyFont="1" applyFill="1" applyBorder="1" applyAlignment="1">
      <alignment horizontal="left" vertical="top" wrapText="1"/>
    </xf>
    <xf numFmtId="49" fontId="10" fillId="2" borderId="11" xfId="0" applyNumberFormat="1" applyFont="1" applyFill="1" applyBorder="1" applyAlignment="1">
      <alignment vertical="top" wrapText="1"/>
    </xf>
    <xf numFmtId="49" fontId="10" fillId="0" borderId="11" xfId="0" applyNumberFormat="1" applyFont="1" applyBorder="1" applyAlignment="1">
      <alignment vertical="top" wrapText="1"/>
    </xf>
    <xf numFmtId="0" fontId="0" fillId="0" borderId="1" xfId="0" applyBorder="1" applyAlignment="1">
      <alignment horizontal="left"/>
    </xf>
    <xf numFmtId="0" fontId="3" fillId="0" borderId="0" xfId="2" applyFont="1" applyAlignment="1">
      <alignment vertical="center" wrapText="1"/>
    </xf>
    <xf numFmtId="164" fontId="0" fillId="0" borderId="0" xfId="0" applyNumberFormat="1"/>
    <xf numFmtId="0" fontId="12" fillId="6" borderId="19" xfId="0" applyFont="1" applyFill="1" applyBorder="1"/>
    <xf numFmtId="0" fontId="0" fillId="0" borderId="1" xfId="0" applyBorder="1"/>
    <xf numFmtId="0" fontId="15" fillId="6" borderId="9" xfId="0" applyFont="1" applyFill="1" applyBorder="1" applyAlignment="1">
      <alignment horizontal="center" vertical="center" wrapText="1"/>
    </xf>
    <xf numFmtId="0" fontId="15" fillId="6" borderId="8" xfId="0" applyFont="1" applyFill="1" applyBorder="1" applyAlignment="1">
      <alignment horizontal="center" vertical="center" wrapText="1"/>
    </xf>
    <xf numFmtId="0" fontId="12" fillId="6" borderId="1" xfId="0" applyFont="1" applyFill="1" applyBorder="1"/>
    <xf numFmtId="0" fontId="15" fillId="6" borderId="10" xfId="0" applyFont="1" applyFill="1" applyBorder="1" applyAlignment="1">
      <alignment horizontal="center" vertical="center" wrapText="1"/>
    </xf>
    <xf numFmtId="0" fontId="15" fillId="6" borderId="2" xfId="0" applyFont="1" applyFill="1" applyBorder="1" applyAlignment="1">
      <alignment horizontal="center" vertical="center" wrapText="1"/>
    </xf>
    <xf numFmtId="0" fontId="12" fillId="8" borderId="1" xfId="0" applyFont="1" applyFill="1" applyBorder="1"/>
    <xf numFmtId="0" fontId="12" fillId="8" borderId="1" xfId="0" applyFont="1" applyFill="1" applyBorder="1" applyAlignment="1">
      <alignment horizontal="left"/>
    </xf>
    <xf numFmtId="0" fontId="8" fillId="0" borderId="0" xfId="1" applyFont="1" applyAlignment="1">
      <alignment vertical="top"/>
    </xf>
    <xf numFmtId="0" fontId="14" fillId="0" borderId="0" xfId="0" applyFont="1"/>
    <xf numFmtId="2" fontId="18" fillId="9" borderId="22" xfId="0" applyNumberFormat="1" applyFont="1" applyFill="1" applyBorder="1" applyAlignment="1">
      <alignment horizontal="right" vertical="center"/>
    </xf>
    <xf numFmtId="0" fontId="18" fillId="9" borderId="22" xfId="0" applyFont="1" applyFill="1" applyBorder="1" applyAlignment="1">
      <alignment horizontal="right" vertical="center"/>
    </xf>
    <xf numFmtId="0" fontId="18" fillId="9" borderId="23" xfId="0" applyFont="1" applyFill="1" applyBorder="1" applyAlignment="1">
      <alignment vertical="center"/>
    </xf>
    <xf numFmtId="2" fontId="19" fillId="0" borderId="22" xfId="0" applyNumberFormat="1" applyFont="1" applyBorder="1" applyAlignment="1">
      <alignment horizontal="right" vertical="center"/>
    </xf>
    <xf numFmtId="0" fontId="19" fillId="0" borderId="22" xfId="0" applyFont="1" applyBorder="1" applyAlignment="1">
      <alignment horizontal="right" vertical="center"/>
    </xf>
    <xf numFmtId="0" fontId="19" fillId="0" borderId="23" xfId="0" applyFont="1" applyBorder="1" applyAlignment="1">
      <alignment vertical="center"/>
    </xf>
    <xf numFmtId="0" fontId="19" fillId="0" borderId="23" xfId="0" applyFont="1" applyBorder="1" applyAlignment="1">
      <alignment vertical="center" wrapText="1"/>
    </xf>
    <xf numFmtId="0" fontId="18" fillId="9" borderId="24" xfId="0" applyFont="1" applyFill="1" applyBorder="1" applyAlignment="1">
      <alignment vertical="center" wrapText="1"/>
    </xf>
    <xf numFmtId="0" fontId="18" fillId="9" borderId="15" xfId="0" applyFont="1" applyFill="1" applyBorder="1" applyAlignment="1">
      <alignment vertical="center"/>
    </xf>
    <xf numFmtId="0" fontId="18" fillId="0" borderId="0" xfId="0" applyFont="1" applyAlignment="1">
      <alignment horizontal="left" vertical="center"/>
    </xf>
    <xf numFmtId="0" fontId="18" fillId="0" borderId="5" xfId="0" applyFont="1" applyBorder="1" applyAlignment="1">
      <alignment horizontal="left" vertical="center"/>
    </xf>
    <xf numFmtId="0" fontId="0" fillId="0" borderId="0" xfId="0" applyAlignment="1">
      <alignment vertical="center"/>
    </xf>
    <xf numFmtId="0" fontId="18" fillId="9" borderId="24" xfId="0" applyFont="1" applyFill="1" applyBorder="1" applyAlignment="1">
      <alignment vertical="center"/>
    </xf>
    <xf numFmtId="0" fontId="18" fillId="9" borderId="25" xfId="0" applyFont="1" applyFill="1" applyBorder="1" applyAlignment="1">
      <alignment vertical="center"/>
    </xf>
    <xf numFmtId="0" fontId="4" fillId="0" borderId="0" xfId="0" applyFont="1"/>
    <xf numFmtId="0" fontId="8" fillId="4" borderId="18" xfId="1" applyFont="1" applyFill="1" applyBorder="1" applyAlignment="1">
      <alignment horizontal="center" vertical="top"/>
    </xf>
    <xf numFmtId="0" fontId="4" fillId="0" borderId="26" xfId="0" applyFont="1" applyBorder="1" applyAlignment="1">
      <alignment vertical="center"/>
    </xf>
    <xf numFmtId="0" fontId="4" fillId="0" borderId="1" xfId="0" applyFont="1" applyBorder="1" applyAlignment="1">
      <alignment vertical="center" wrapText="1"/>
    </xf>
    <xf numFmtId="0" fontId="4" fillId="0" borderId="1" xfId="0" applyFont="1" applyBorder="1"/>
    <xf numFmtId="0" fontId="4" fillId="0" borderId="1" xfId="0" applyFont="1" applyBorder="1" applyAlignment="1">
      <alignment wrapText="1"/>
    </xf>
    <xf numFmtId="0" fontId="4" fillId="0" borderId="26" xfId="0" applyFont="1" applyBorder="1" applyAlignment="1">
      <alignment vertical="center" wrapText="1"/>
    </xf>
    <xf numFmtId="0" fontId="4" fillId="0" borderId="11" xfId="0" applyFont="1" applyBorder="1" applyAlignment="1">
      <alignment vertical="center"/>
    </xf>
    <xf numFmtId="49" fontId="10" fillId="0" borderId="11" xfId="0" applyNumberFormat="1" applyFont="1" applyBorder="1" applyAlignment="1">
      <alignment horizontal="left" vertical="top" wrapText="1"/>
    </xf>
    <xf numFmtId="0" fontId="4" fillId="0" borderId="11" xfId="0" applyFont="1" applyBorder="1" applyAlignment="1">
      <alignment wrapText="1"/>
    </xf>
    <xf numFmtId="0" fontId="4" fillId="0" borderId="11" xfId="0" applyFont="1" applyBorder="1" applyAlignment="1">
      <alignment vertical="center" wrapText="1"/>
    </xf>
    <xf numFmtId="0" fontId="4" fillId="2" borderId="27" xfId="0" applyFont="1" applyFill="1" applyBorder="1" applyAlignment="1">
      <alignment horizontal="left" vertical="top" wrapText="1"/>
    </xf>
    <xf numFmtId="0" fontId="4" fillId="2" borderId="14" xfId="0" applyFont="1" applyFill="1" applyBorder="1" applyAlignment="1">
      <alignment horizontal="left" vertical="top" wrapText="1"/>
    </xf>
    <xf numFmtId="0" fontId="12" fillId="0" borderId="0" xfId="0" applyFont="1"/>
    <xf numFmtId="0" fontId="13" fillId="2" borderId="28" xfId="0" applyFont="1" applyFill="1" applyBorder="1" applyAlignment="1">
      <alignment horizontal="left" vertical="center" wrapText="1"/>
    </xf>
    <xf numFmtId="0" fontId="13" fillId="2" borderId="1" xfId="0" applyFont="1" applyFill="1" applyBorder="1" applyAlignment="1">
      <alignment horizontal="right" vertical="center" wrapText="1"/>
    </xf>
    <xf numFmtId="165" fontId="3" fillId="5" borderId="0" xfId="2" applyNumberFormat="1" applyFont="1" applyFill="1" applyAlignment="1">
      <alignment vertical="center" wrapText="1"/>
    </xf>
    <xf numFmtId="1" fontId="3" fillId="5" borderId="0" xfId="2" applyNumberFormat="1" applyFont="1" applyFill="1" applyAlignment="1">
      <alignment vertical="center" wrapText="1"/>
    </xf>
    <xf numFmtId="14" fontId="3" fillId="0" borderId="0" xfId="2" applyNumberFormat="1" applyFont="1" applyAlignment="1">
      <alignment vertical="center" wrapText="1"/>
    </xf>
    <xf numFmtId="0" fontId="23" fillId="2" borderId="29" xfId="0" applyFont="1" applyFill="1" applyBorder="1" applyAlignment="1">
      <alignment vertical="center"/>
    </xf>
    <xf numFmtId="0" fontId="23" fillId="2" borderId="0" xfId="0" applyFont="1" applyFill="1" applyAlignment="1">
      <alignment vertical="center"/>
    </xf>
    <xf numFmtId="165" fontId="23" fillId="2" borderId="0" xfId="0" applyNumberFormat="1" applyFont="1" applyFill="1" applyAlignment="1">
      <alignment vertical="center"/>
    </xf>
    <xf numFmtId="0" fontId="24" fillId="3" borderId="1" xfId="3" applyFont="1" applyFill="1" applyBorder="1" applyAlignment="1">
      <alignment vertical="top" wrapText="1"/>
    </xf>
    <xf numFmtId="165" fontId="24" fillId="3" borderId="1" xfId="3" applyNumberFormat="1" applyFont="1" applyFill="1" applyBorder="1" applyAlignment="1">
      <alignment vertical="top" wrapText="1"/>
    </xf>
    <xf numFmtId="3" fontId="24" fillId="3" borderId="1" xfId="5" applyNumberFormat="1" applyFont="1" applyFill="1" applyBorder="1" applyAlignment="1">
      <alignment vertical="top" wrapText="1"/>
    </xf>
    <xf numFmtId="0" fontId="24" fillId="3" borderId="4" xfId="3" applyFont="1" applyFill="1" applyBorder="1" applyAlignment="1">
      <alignment horizontal="left" vertical="top" wrapText="1"/>
    </xf>
    <xf numFmtId="165" fontId="24" fillId="3" borderId="4" xfId="3" applyNumberFormat="1" applyFont="1" applyFill="1" applyBorder="1" applyAlignment="1">
      <alignment horizontal="left" vertical="top" wrapText="1"/>
    </xf>
    <xf numFmtId="0" fontId="24" fillId="3" borderId="4" xfId="3" applyFont="1" applyFill="1" applyBorder="1" applyAlignment="1">
      <alignment vertical="top" wrapText="1"/>
    </xf>
    <xf numFmtId="3" fontId="24" fillId="3" borderId="4" xfId="5" applyNumberFormat="1" applyFont="1" applyFill="1" applyBorder="1" applyAlignment="1">
      <alignment horizontal="left" vertical="top" wrapText="1"/>
    </xf>
    <xf numFmtId="3" fontId="24" fillId="3" borderId="4" xfId="5" applyNumberFormat="1" applyFont="1" applyFill="1" applyBorder="1" applyAlignment="1">
      <alignment vertical="top" wrapText="1"/>
    </xf>
    <xf numFmtId="1" fontId="24" fillId="3" borderId="4" xfId="5" applyNumberFormat="1" applyFont="1" applyFill="1" applyBorder="1" applyAlignment="1">
      <alignment horizontal="left" vertical="top" wrapText="1"/>
    </xf>
    <xf numFmtId="3" fontId="24" fillId="3" borderId="4" xfId="5" applyNumberFormat="1" applyFont="1" applyFill="1" applyBorder="1" applyAlignment="1">
      <alignment horizontal="right" wrapText="1"/>
    </xf>
    <xf numFmtId="1" fontId="25" fillId="10" borderId="7" xfId="0" applyNumberFormat="1" applyFont="1" applyFill="1" applyBorder="1" applyAlignment="1">
      <alignment horizontal="left" wrapText="1"/>
    </xf>
    <xf numFmtId="165" fontId="25" fillId="10" borderId="7" xfId="0" applyNumberFormat="1" applyFont="1" applyFill="1" applyBorder="1" applyAlignment="1">
      <alignment horizontal="left" wrapText="1"/>
    </xf>
    <xf numFmtId="1" fontId="25" fillId="10" borderId="7" xfId="3" applyNumberFormat="1" applyFont="1" applyFill="1" applyBorder="1" applyAlignment="1">
      <alignment horizontal="left" wrapText="1"/>
    </xf>
    <xf numFmtId="1" fontId="25" fillId="10" borderId="7" xfId="0" applyNumberFormat="1" applyFont="1" applyFill="1" applyBorder="1" applyAlignment="1">
      <alignment horizontal="left" vertical="top" wrapText="1"/>
    </xf>
    <xf numFmtId="14" fontId="25" fillId="10" borderId="7" xfId="0" applyNumberFormat="1" applyFont="1" applyFill="1" applyBorder="1" applyAlignment="1">
      <alignment vertical="top" wrapText="1"/>
    </xf>
    <xf numFmtId="0" fontId="26" fillId="0" borderId="1" xfId="0" applyFont="1" applyBorder="1" applyAlignment="1">
      <alignment vertical="center"/>
    </xf>
    <xf numFmtId="165" fontId="26" fillId="0" borderId="1" xfId="0" applyNumberFormat="1" applyFont="1" applyBorder="1" applyAlignment="1">
      <alignment vertical="center"/>
    </xf>
    <xf numFmtId="3" fontId="26" fillId="0" borderId="1" xfId="5" applyNumberFormat="1" applyFont="1" applyFill="1" applyBorder="1" applyAlignment="1">
      <alignment vertical="center"/>
    </xf>
    <xf numFmtId="3" fontId="26" fillId="0" borderId="1" xfId="0" applyNumberFormat="1" applyFont="1" applyBorder="1" applyAlignment="1">
      <alignment horizontal="right" vertical="center"/>
    </xf>
    <xf numFmtId="3" fontId="27" fillId="0" borderId="1" xfId="0" applyNumberFormat="1" applyFont="1" applyBorder="1" applyAlignment="1">
      <alignment horizontal="right" vertical="center"/>
    </xf>
    <xf numFmtId="0" fontId="28" fillId="0" borderId="1" xfId="0" applyFont="1" applyBorder="1" applyAlignment="1">
      <alignment horizontal="left" vertical="center"/>
    </xf>
    <xf numFmtId="165" fontId="4" fillId="0" borderId="0" xfId="0" applyNumberFormat="1" applyFont="1"/>
    <xf numFmtId="14" fontId="4" fillId="0" borderId="0" xfId="0" applyNumberFormat="1" applyFont="1"/>
    <xf numFmtId="0" fontId="13" fillId="0" borderId="0" xfId="0" applyFont="1" applyAlignment="1">
      <alignment horizontal="left" vertical="top" wrapText="1"/>
    </xf>
    <xf numFmtId="0" fontId="0" fillId="0" borderId="5" xfId="0" applyBorder="1" applyAlignment="1">
      <alignment horizontal="left" vertical="top" wrapText="1"/>
    </xf>
    <xf numFmtId="0" fontId="0" fillId="0" borderId="0" xfId="0" applyAlignment="1">
      <alignment horizontal="left" vertical="top" wrapText="1"/>
    </xf>
    <xf numFmtId="0" fontId="14" fillId="0" borderId="0" xfId="0" applyFont="1" applyAlignment="1">
      <alignment horizontal="left" vertical="center"/>
    </xf>
    <xf numFmtId="0" fontId="4" fillId="0" borderId="3" xfId="0" applyFont="1" applyBorder="1" applyAlignment="1">
      <alignment horizontal="left" vertical="top" wrapText="1"/>
    </xf>
    <xf numFmtId="166" fontId="0" fillId="0" borderId="0" xfId="7" applyNumberFormat="1" applyFont="1" applyBorder="1"/>
    <xf numFmtId="164" fontId="0" fillId="0" borderId="0" xfId="5" applyNumberFormat="1" applyFont="1" applyBorder="1"/>
    <xf numFmtId="2" fontId="4" fillId="0" borderId="15" xfId="0" applyNumberFormat="1" applyFont="1" applyBorder="1"/>
    <xf numFmtId="0" fontId="4" fillId="0" borderId="15" xfId="0" applyFont="1" applyBorder="1"/>
    <xf numFmtId="0" fontId="4" fillId="0" borderId="15" xfId="0" applyFont="1" applyBorder="1" applyAlignment="1">
      <alignment horizontal="left" indent="1"/>
    </xf>
    <xf numFmtId="167" fontId="30" fillId="11" borderId="15" xfId="0" applyNumberFormat="1" applyFont="1" applyFill="1" applyBorder="1"/>
    <xf numFmtId="3" fontId="30" fillId="11" borderId="15" xfId="0" applyNumberFormat="1" applyFont="1" applyFill="1" applyBorder="1"/>
    <xf numFmtId="0" fontId="30" fillId="11" borderId="15" xfId="0" applyFont="1" applyFill="1" applyBorder="1" applyAlignment="1">
      <alignment horizontal="left"/>
    </xf>
    <xf numFmtId="167" fontId="4" fillId="0" borderId="15" xfId="0" applyNumberFormat="1" applyFont="1" applyBorder="1"/>
    <xf numFmtId="3" fontId="4" fillId="0" borderId="15" xfId="0" applyNumberFormat="1" applyFont="1" applyBorder="1"/>
    <xf numFmtId="167" fontId="4" fillId="0" borderId="15" xfId="0" applyNumberFormat="1" applyFont="1" applyBorder="1" applyAlignment="1">
      <alignment vertical="center"/>
    </xf>
    <xf numFmtId="3" fontId="4" fillId="0" borderId="15" xfId="0" applyNumberFormat="1" applyFont="1" applyBorder="1" applyAlignment="1">
      <alignment vertical="center"/>
    </xf>
    <xf numFmtId="0" fontId="4" fillId="0" borderId="15" xfId="0" applyFont="1" applyBorder="1" applyAlignment="1">
      <alignment horizontal="left" vertical="center" indent="1"/>
    </xf>
    <xf numFmtId="2" fontId="0" fillId="0" borderId="0" xfId="0" applyNumberFormat="1"/>
    <xf numFmtId="164" fontId="3" fillId="5" borderId="0" xfId="5" applyNumberFormat="1" applyFont="1" applyFill="1" applyBorder="1" applyAlignment="1">
      <alignment vertical="center" wrapText="1"/>
    </xf>
    <xf numFmtId="166" fontId="3" fillId="5" borderId="0" xfId="7" applyNumberFormat="1" applyFont="1" applyFill="1" applyBorder="1" applyAlignment="1">
      <alignment vertical="center" wrapText="1"/>
    </xf>
    <xf numFmtId="167" fontId="30" fillId="11" borderId="15" xfId="0" applyNumberFormat="1" applyFont="1" applyFill="1" applyBorder="1" applyAlignment="1">
      <alignment vertical="center"/>
    </xf>
    <xf numFmtId="3" fontId="30" fillId="11" borderId="15" xfId="0" applyNumberFormat="1" applyFont="1" applyFill="1" applyBorder="1" applyAlignment="1">
      <alignment vertical="center"/>
    </xf>
    <xf numFmtId="0" fontId="30" fillId="11" borderId="15" xfId="0" applyFont="1" applyFill="1" applyBorder="1" applyAlignment="1">
      <alignment vertical="center"/>
    </xf>
    <xf numFmtId="3" fontId="0" fillId="0" borderId="0" xfId="0" applyNumberFormat="1"/>
    <xf numFmtId="0" fontId="30" fillId="11" borderId="15" xfId="0" applyFont="1" applyFill="1" applyBorder="1"/>
    <xf numFmtId="168" fontId="31" fillId="10" borderId="15" xfId="0" applyNumberFormat="1" applyFont="1" applyFill="1" applyBorder="1" applyAlignment="1">
      <alignment horizontal="center"/>
    </xf>
    <xf numFmtId="41" fontId="31" fillId="10" borderId="15" xfId="0" applyNumberFormat="1" applyFont="1" applyFill="1" applyBorder="1" applyAlignment="1">
      <alignment horizontal="center"/>
    </xf>
    <xf numFmtId="0" fontId="30" fillId="10" borderId="15" xfId="0" applyFont="1" applyFill="1" applyBorder="1"/>
    <xf numFmtId="0" fontId="24" fillId="3" borderId="15" xfId="0" applyFont="1" applyFill="1" applyBorder="1" applyAlignment="1">
      <alignment horizontal="center" vertical="center" wrapText="1"/>
    </xf>
    <xf numFmtId="0" fontId="32" fillId="2" borderId="0" xfId="0" applyFont="1" applyFill="1" applyAlignment="1">
      <alignment horizontal="left" vertical="center" wrapText="1"/>
    </xf>
    <xf numFmtId="166" fontId="0" fillId="0" borderId="0" xfId="7" applyNumberFormat="1" applyFont="1"/>
    <xf numFmtId="164" fontId="0" fillId="0" borderId="0" xfId="5" applyNumberFormat="1" applyFont="1"/>
    <xf numFmtId="3" fontId="3" fillId="5" borderId="0" xfId="2" applyNumberFormat="1" applyFont="1" applyFill="1" applyAlignment="1">
      <alignment vertical="center" wrapText="1"/>
    </xf>
    <xf numFmtId="0" fontId="33" fillId="2" borderId="0" xfId="0" applyFont="1" applyFill="1" applyAlignment="1">
      <alignment horizontal="left" vertical="center" wrapText="1"/>
    </xf>
    <xf numFmtId="164" fontId="32" fillId="2" borderId="0" xfId="5" applyNumberFormat="1" applyFont="1" applyFill="1" applyBorder="1" applyAlignment="1">
      <alignment horizontal="left" vertical="center" wrapText="1"/>
    </xf>
    <xf numFmtId="0" fontId="34" fillId="0" borderId="0" xfId="0" applyFont="1" applyAlignment="1">
      <alignment horizontal="left"/>
    </xf>
    <xf numFmtId="167" fontId="35" fillId="12" borderId="1" xfId="0" applyNumberFormat="1" applyFont="1" applyFill="1" applyBorder="1" applyAlignment="1">
      <alignment vertical="center"/>
    </xf>
    <xf numFmtId="3" fontId="35" fillId="12" borderId="1" xfId="0" applyNumberFormat="1" applyFont="1" applyFill="1" applyBorder="1" applyAlignment="1">
      <alignment vertical="center"/>
    </xf>
    <xf numFmtId="0" fontId="35" fillId="12" borderId="1" xfId="0" applyFont="1" applyFill="1" applyBorder="1" applyAlignment="1">
      <alignment vertical="center"/>
    </xf>
    <xf numFmtId="167" fontId="0" fillId="0" borderId="1" xfId="0" applyNumberFormat="1" applyBorder="1"/>
    <xf numFmtId="0" fontId="36" fillId="0" borderId="1" xfId="0" applyFont="1" applyBorder="1" applyAlignment="1">
      <alignment vertical="center"/>
    </xf>
    <xf numFmtId="166" fontId="35" fillId="12" borderId="1" xfId="7" applyNumberFormat="1" applyFont="1" applyFill="1" applyBorder="1" applyAlignment="1">
      <alignment vertical="center"/>
    </xf>
    <xf numFmtId="164" fontId="35" fillId="12" borderId="1" xfId="5" applyNumberFormat="1" applyFont="1" applyFill="1" applyBorder="1" applyAlignment="1">
      <alignment vertical="center"/>
    </xf>
    <xf numFmtId="3" fontId="0" fillId="0" borderId="1" xfId="0" applyNumberFormat="1" applyBorder="1"/>
    <xf numFmtId="166" fontId="0" fillId="0" borderId="1" xfId="7" applyNumberFormat="1" applyFont="1" applyBorder="1" applyAlignment="1">
      <alignment horizontal="right"/>
    </xf>
    <xf numFmtId="164" fontId="0" fillId="0" borderId="1" xfId="5" applyNumberFormat="1" applyFont="1" applyBorder="1" applyAlignment="1">
      <alignment horizontal="right"/>
    </xf>
    <xf numFmtId="167" fontId="36" fillId="0" borderId="1" xfId="0" applyNumberFormat="1" applyFont="1" applyBorder="1" applyAlignment="1">
      <alignment vertical="center"/>
    </xf>
    <xf numFmtId="3" fontId="36" fillId="0" borderId="1" xfId="0" applyNumberFormat="1" applyFont="1" applyBorder="1" applyAlignment="1">
      <alignment vertical="center"/>
    </xf>
    <xf numFmtId="166" fontId="29" fillId="13" borderId="1" xfId="7" applyNumberFormat="1" applyFont="1" applyFill="1" applyBorder="1" applyAlignment="1">
      <alignment horizontal="right"/>
    </xf>
    <xf numFmtId="164" fontId="29" fillId="13" borderId="1" xfId="5" applyNumberFormat="1" applyFont="1" applyFill="1" applyBorder="1" applyAlignment="1">
      <alignment horizontal="right"/>
    </xf>
    <xf numFmtId="0" fontId="29" fillId="13" borderId="1" xfId="0" applyFont="1" applyFill="1" applyBorder="1" applyAlignment="1">
      <alignment horizontal="left"/>
    </xf>
    <xf numFmtId="0" fontId="37" fillId="13" borderId="1" xfId="0" applyFont="1" applyFill="1" applyBorder="1" applyAlignment="1">
      <alignment horizontal="left" vertical="top"/>
    </xf>
    <xf numFmtId="169" fontId="35" fillId="12" borderId="1" xfId="6" applyNumberFormat="1" applyFont="1" applyFill="1" applyBorder="1" applyAlignment="1">
      <alignment vertical="center"/>
    </xf>
    <xf numFmtId="169" fontId="36" fillId="0" borderId="1" xfId="6" applyNumberFormat="1" applyFont="1" applyBorder="1" applyAlignment="1">
      <alignment vertical="center"/>
    </xf>
    <xf numFmtId="0" fontId="38" fillId="5" borderId="0" xfId="2" applyFont="1" applyFill="1" applyAlignment="1">
      <alignment vertical="center" wrapText="1"/>
    </xf>
    <xf numFmtId="169" fontId="0" fillId="0" borderId="1" xfId="0" applyNumberFormat="1" applyBorder="1"/>
    <xf numFmtId="166" fontId="21" fillId="0" borderId="1" xfId="7" applyNumberFormat="1" applyFont="1" applyFill="1" applyBorder="1" applyAlignment="1">
      <alignment horizontal="right"/>
    </xf>
    <xf numFmtId="164" fontId="0" fillId="0" borderId="1" xfId="5" applyNumberFormat="1" applyFont="1" applyFill="1" applyBorder="1" applyAlignment="1">
      <alignment horizontal="right"/>
    </xf>
    <xf numFmtId="166" fontId="29" fillId="13" borderId="1" xfId="7" applyNumberFormat="1" applyFont="1" applyFill="1" applyBorder="1" applyAlignment="1">
      <alignment horizontal="left"/>
    </xf>
    <xf numFmtId="164" fontId="29" fillId="13" borderId="1" xfId="5" applyNumberFormat="1" applyFont="1" applyFill="1" applyBorder="1" applyAlignment="1">
      <alignment horizontal="left"/>
    </xf>
    <xf numFmtId="0" fontId="3" fillId="2" borderId="0" xfId="2" applyFont="1" applyFill="1" applyAlignment="1">
      <alignment vertical="center" wrapText="1"/>
    </xf>
    <xf numFmtId="0" fontId="8" fillId="4" borderId="0" xfId="1" applyFont="1" applyFill="1" applyAlignment="1">
      <alignment horizontal="left" vertical="top"/>
    </xf>
    <xf numFmtId="14" fontId="28" fillId="0" borderId="30" xfId="0" applyNumberFormat="1" applyFont="1" applyBorder="1" applyAlignment="1">
      <alignment horizontal="right"/>
    </xf>
    <xf numFmtId="14" fontId="28" fillId="0" borderId="1" xfId="0" applyNumberFormat="1" applyFont="1" applyBorder="1" applyAlignment="1">
      <alignment horizontal="right"/>
    </xf>
    <xf numFmtId="0" fontId="40" fillId="2" borderId="0" xfId="0" applyFont="1" applyFill="1"/>
    <xf numFmtId="0" fontId="7" fillId="5" borderId="0" xfId="2" applyFont="1" applyFill="1" applyAlignment="1">
      <alignment vertical="center" wrapText="1"/>
    </xf>
    <xf numFmtId="0" fontId="40" fillId="0" borderId="0" xfId="0" applyFont="1"/>
    <xf numFmtId="0" fontId="3" fillId="4" borderId="0" xfId="2" applyFont="1" applyFill="1" applyAlignment="1">
      <alignment vertical="center" wrapText="1"/>
    </xf>
    <xf numFmtId="0" fontId="42" fillId="2" borderId="0" xfId="0" applyFont="1" applyFill="1"/>
    <xf numFmtId="0" fontId="43" fillId="2" borderId="0" xfId="0" applyFont="1" applyFill="1" applyAlignment="1">
      <alignment horizontal="center"/>
    </xf>
    <xf numFmtId="0" fontId="43" fillId="0" borderId="0" xfId="0" applyFont="1" applyAlignment="1">
      <alignment horizontal="center"/>
    </xf>
    <xf numFmtId="0" fontId="44" fillId="2" borderId="5" xfId="0" applyFont="1" applyFill="1" applyBorder="1" applyAlignment="1">
      <alignment horizontal="center" vertical="center"/>
    </xf>
    <xf numFmtId="0" fontId="44" fillId="2" borderId="0" xfId="0" applyFont="1" applyFill="1" applyAlignment="1">
      <alignment horizontal="center" vertical="center"/>
    </xf>
    <xf numFmtId="0" fontId="44" fillId="2" borderId="0" xfId="0" applyFont="1" applyFill="1" applyAlignment="1">
      <alignment horizontal="center" vertical="center" wrapText="1"/>
    </xf>
    <xf numFmtId="0" fontId="44" fillId="2" borderId="26" xfId="0" applyFont="1" applyFill="1" applyBorder="1" applyAlignment="1">
      <alignment horizontal="center" vertical="center"/>
    </xf>
    <xf numFmtId="0" fontId="44" fillId="2" borderId="0" xfId="0" applyFont="1" applyFill="1" applyAlignment="1">
      <alignment horizontal="center"/>
    </xf>
    <xf numFmtId="0" fontId="44" fillId="2" borderId="0" xfId="0" applyFont="1" applyFill="1" applyAlignment="1">
      <alignment horizontal="left" vertical="center" wrapText="1"/>
    </xf>
    <xf numFmtId="0" fontId="40" fillId="2" borderId="0" xfId="0" applyFont="1" applyFill="1" applyAlignment="1">
      <alignment horizontal="left"/>
    </xf>
    <xf numFmtId="0" fontId="44" fillId="2" borderId="0" xfId="0" applyFont="1" applyFill="1" applyAlignment="1">
      <alignment horizontal="left" vertical="center"/>
    </xf>
    <xf numFmtId="0" fontId="44" fillId="2" borderId="26" xfId="0" applyFont="1" applyFill="1" applyBorder="1" applyAlignment="1">
      <alignment horizontal="left" vertical="center"/>
    </xf>
    <xf numFmtId="0" fontId="44" fillId="2" borderId="0" xfId="0" applyFont="1" applyFill="1" applyAlignment="1">
      <alignment horizontal="left"/>
    </xf>
    <xf numFmtId="3" fontId="40" fillId="2" borderId="0" xfId="0" applyNumberFormat="1" applyFont="1" applyFill="1" applyAlignment="1">
      <alignment horizontal="left"/>
    </xf>
    <xf numFmtId="0" fontId="45" fillId="3" borderId="6" xfId="0" applyFont="1" applyFill="1" applyBorder="1" applyAlignment="1">
      <alignment horizontal="center" vertical="center" wrapText="1"/>
    </xf>
    <xf numFmtId="0" fontId="45" fillId="3" borderId="1" xfId="0" applyFont="1" applyFill="1" applyBorder="1" applyAlignment="1">
      <alignment horizontal="center" vertical="center" wrapText="1"/>
    </xf>
    <xf numFmtId="170" fontId="45" fillId="3" borderId="1" xfId="0" applyNumberFormat="1" applyFont="1" applyFill="1" applyBorder="1" applyAlignment="1">
      <alignment horizontal="center" vertical="center" wrapText="1"/>
    </xf>
    <xf numFmtId="170" fontId="45" fillId="0" borderId="0" xfId="0" applyNumberFormat="1" applyFont="1" applyAlignment="1">
      <alignment horizontal="center" vertical="center" wrapText="1"/>
    </xf>
    <xf numFmtId="0" fontId="45" fillId="3" borderId="1" xfId="0" applyFont="1" applyFill="1" applyBorder="1" applyAlignment="1">
      <alignment vertical="center" wrapText="1"/>
    </xf>
    <xf numFmtId="3" fontId="40" fillId="2" borderId="0" xfId="0" applyNumberFormat="1" applyFont="1" applyFill="1"/>
    <xf numFmtId="0" fontId="40" fillId="4" borderId="34" xfId="0" applyFont="1" applyFill="1" applyBorder="1"/>
    <xf numFmtId="164" fontId="40" fillId="4" borderId="35" xfId="5" applyNumberFormat="1" applyFont="1" applyFill="1" applyBorder="1"/>
    <xf numFmtId="170" fontId="40" fillId="0" borderId="1" xfId="5" applyNumberFormat="1" applyFont="1" applyFill="1" applyBorder="1"/>
    <xf numFmtId="170" fontId="40" fillId="0" borderId="0" xfId="5" applyNumberFormat="1" applyFont="1" applyFill="1" applyBorder="1"/>
    <xf numFmtId="41" fontId="40" fillId="4" borderId="36" xfId="0" applyNumberFormat="1" applyFont="1" applyFill="1" applyBorder="1"/>
    <xf numFmtId="3" fontId="44" fillId="2" borderId="0" xfId="0" applyNumberFormat="1" applyFont="1" applyFill="1" applyAlignment="1">
      <alignment horizontal="center"/>
    </xf>
    <xf numFmtId="164" fontId="40" fillId="2" borderId="2" xfId="5" applyNumberFormat="1" applyFont="1" applyFill="1" applyBorder="1" applyAlignment="1">
      <alignment horizontal="left"/>
    </xf>
    <xf numFmtId="41" fontId="40" fillId="0" borderId="1" xfId="5" applyNumberFormat="1" applyFont="1" applyFill="1" applyBorder="1" applyAlignment="1">
      <alignment horizontal="right"/>
    </xf>
    <xf numFmtId="41" fontId="40" fillId="2" borderId="1" xfId="5" applyNumberFormat="1" applyFont="1" applyFill="1" applyBorder="1" applyAlignment="1">
      <alignment horizontal="right"/>
    </xf>
    <xf numFmtId="170" fontId="40" fillId="2" borderId="0" xfId="5" applyNumberFormat="1" applyFont="1" applyFill="1" applyBorder="1"/>
    <xf numFmtId="164" fontId="40" fillId="0" borderId="1" xfId="5" applyNumberFormat="1" applyFont="1" applyFill="1" applyBorder="1" applyAlignment="1"/>
    <xf numFmtId="164" fontId="40" fillId="2" borderId="3" xfId="5" applyNumberFormat="1" applyFont="1" applyFill="1" applyBorder="1" applyAlignment="1">
      <alignment horizontal="left"/>
    </xf>
    <xf numFmtId="164" fontId="40" fillId="2" borderId="0" xfId="5" applyNumberFormat="1" applyFont="1" applyFill="1" applyBorder="1" applyAlignment="1">
      <alignment horizontal="left"/>
    </xf>
    <xf numFmtId="164" fontId="40" fillId="0" borderId="0" xfId="5" applyNumberFormat="1" applyFont="1" applyFill="1" applyBorder="1" applyAlignment="1"/>
    <xf numFmtId="3" fontId="44" fillId="2" borderId="29" xfId="0" applyNumberFormat="1" applyFont="1" applyFill="1" applyBorder="1" applyAlignment="1">
      <alignment horizontal="center"/>
    </xf>
    <xf numFmtId="0" fontId="44" fillId="2" borderId="29" xfId="0" applyFont="1" applyFill="1" applyBorder="1" applyAlignment="1">
      <alignment horizontal="center"/>
    </xf>
    <xf numFmtId="164" fontId="40" fillId="2" borderId="5" xfId="5" applyNumberFormat="1" applyFont="1" applyFill="1" applyBorder="1" applyAlignment="1">
      <alignment horizontal="left"/>
    </xf>
    <xf numFmtId="0" fontId="40" fillId="2" borderId="0" xfId="0" applyFont="1" applyFill="1" applyAlignment="1">
      <alignment wrapText="1"/>
    </xf>
    <xf numFmtId="0" fontId="44" fillId="2" borderId="0" xfId="0" applyFont="1" applyFill="1" applyAlignment="1">
      <alignment horizontal="center" wrapText="1"/>
    </xf>
    <xf numFmtId="0" fontId="44" fillId="0" borderId="0" xfId="0" applyFont="1" applyAlignment="1">
      <alignment horizontal="center"/>
    </xf>
    <xf numFmtId="16" fontId="44" fillId="0" borderId="0" xfId="0" applyNumberFormat="1" applyFont="1" applyAlignment="1">
      <alignment horizontal="center"/>
    </xf>
    <xf numFmtId="16" fontId="44" fillId="2" borderId="0" xfId="0" applyNumberFormat="1" applyFont="1" applyFill="1" applyAlignment="1">
      <alignment horizontal="center" wrapText="1"/>
    </xf>
    <xf numFmtId="16" fontId="40" fillId="2" borderId="0" xfId="0" applyNumberFormat="1" applyFont="1" applyFill="1" applyAlignment="1">
      <alignment wrapText="1"/>
    </xf>
    <xf numFmtId="16" fontId="40" fillId="0" borderId="0" xfId="0" applyNumberFormat="1" applyFont="1"/>
    <xf numFmtId="3" fontId="40" fillId="0" borderId="0" xfId="0" applyNumberFormat="1" applyFont="1"/>
    <xf numFmtId="9" fontId="40" fillId="4" borderId="35" xfId="7" applyFont="1" applyFill="1" applyBorder="1"/>
    <xf numFmtId="0" fontId="40" fillId="4" borderId="35" xfId="0" applyFont="1" applyFill="1" applyBorder="1"/>
    <xf numFmtId="41" fontId="40" fillId="4" borderId="35" xfId="5" applyNumberFormat="1" applyFont="1" applyFill="1" applyBorder="1"/>
    <xf numFmtId="41" fontId="40" fillId="4" borderId="35" xfId="0" applyNumberFormat="1" applyFont="1" applyFill="1" applyBorder="1"/>
    <xf numFmtId="41" fontId="40" fillId="4" borderId="40" xfId="5" applyNumberFormat="1" applyFont="1" applyFill="1" applyBorder="1"/>
    <xf numFmtId="164" fontId="40" fillId="0" borderId="30" xfId="5" applyNumberFormat="1" applyFont="1" applyFill="1" applyBorder="1" applyAlignment="1">
      <alignment horizontal="left"/>
    </xf>
    <xf numFmtId="9" fontId="40" fillId="2" borderId="30" xfId="7" applyFont="1" applyFill="1" applyBorder="1" applyAlignment="1">
      <alignment horizontal="right"/>
    </xf>
    <xf numFmtId="164" fontId="40" fillId="2" borderId="30" xfId="5" applyNumberFormat="1" applyFont="1" applyFill="1" applyBorder="1" applyAlignment="1">
      <alignment horizontal="left"/>
    </xf>
    <xf numFmtId="41" fontId="40" fillId="0" borderId="30" xfId="5" applyNumberFormat="1" applyFont="1" applyFill="1" applyBorder="1" applyAlignment="1">
      <alignment horizontal="left"/>
    </xf>
    <xf numFmtId="41" fontId="40" fillId="2" borderId="10" xfId="5" applyNumberFormat="1" applyFont="1" applyFill="1" applyBorder="1" applyAlignment="1">
      <alignment horizontal="left"/>
    </xf>
    <xf numFmtId="3" fontId="44" fillId="0" borderId="0" xfId="0" applyNumberFormat="1" applyFont="1" applyAlignment="1">
      <alignment horizontal="center"/>
    </xf>
    <xf numFmtId="164" fontId="40" fillId="0" borderId="1" xfId="5" applyNumberFormat="1" applyFont="1" applyFill="1" applyBorder="1" applyAlignment="1">
      <alignment horizontal="left"/>
    </xf>
    <xf numFmtId="9" fontId="40" fillId="2" borderId="1" xfId="7" applyFont="1" applyFill="1" applyBorder="1" applyAlignment="1">
      <alignment horizontal="right"/>
    </xf>
    <xf numFmtId="164" fontId="40" fillId="2" borderId="1" xfId="5" applyNumberFormat="1" applyFont="1" applyFill="1" applyBorder="1" applyAlignment="1">
      <alignment horizontal="left"/>
    </xf>
    <xf numFmtId="41" fontId="40" fillId="0" borderId="1" xfId="5" applyNumberFormat="1" applyFont="1" applyFill="1" applyBorder="1" applyAlignment="1">
      <alignment horizontal="left"/>
    </xf>
    <xf numFmtId="41" fontId="40" fillId="2" borderId="11" xfId="5" applyNumberFormat="1" applyFont="1" applyFill="1" applyBorder="1" applyAlignment="1">
      <alignment horizontal="left"/>
    </xf>
    <xf numFmtId="0" fontId="44" fillId="2" borderId="26" xfId="0" applyFont="1" applyFill="1" applyBorder="1" applyAlignment="1">
      <alignment horizontal="center"/>
    </xf>
    <xf numFmtId="0" fontId="40" fillId="0" borderId="5" xfId="0" applyFont="1" applyBorder="1"/>
    <xf numFmtId="0" fontId="44" fillId="2" borderId="0" xfId="0" applyFont="1" applyFill="1" applyAlignment="1">
      <alignment vertical="center" wrapText="1"/>
    </xf>
    <xf numFmtId="0" fontId="44" fillId="2" borderId="26" xfId="0" applyFont="1" applyFill="1" applyBorder="1"/>
    <xf numFmtId="0" fontId="44" fillId="2" borderId="0" xfId="0" applyFont="1" applyFill="1"/>
    <xf numFmtId="16" fontId="44" fillId="2" borderId="0" xfId="0" applyNumberFormat="1" applyFont="1" applyFill="1"/>
    <xf numFmtId="16" fontId="40" fillId="2" borderId="0" xfId="0" applyNumberFormat="1" applyFont="1" applyFill="1"/>
    <xf numFmtId="0" fontId="45" fillId="3" borderId="28" xfId="0" applyFont="1" applyFill="1" applyBorder="1" applyAlignment="1">
      <alignment vertical="center" wrapText="1"/>
    </xf>
    <xf numFmtId="0" fontId="44" fillId="0" borderId="26" xfId="0" applyFont="1" applyBorder="1" applyAlignment="1">
      <alignment horizontal="center"/>
    </xf>
    <xf numFmtId="164" fontId="40" fillId="10" borderId="44" xfId="5" applyNumberFormat="1" applyFont="1" applyFill="1" applyBorder="1" applyAlignment="1"/>
    <xf numFmtId="164" fontId="40" fillId="0" borderId="44" xfId="5" applyNumberFormat="1" applyFont="1" applyFill="1" applyBorder="1" applyAlignment="1"/>
    <xf numFmtId="3" fontId="44" fillId="0" borderId="26" xfId="0" applyNumberFormat="1" applyFont="1" applyBorder="1" applyAlignment="1">
      <alignment horizontal="center"/>
    </xf>
    <xf numFmtId="164" fontId="40" fillId="0" borderId="33" xfId="5" applyNumberFormat="1" applyFont="1" applyFill="1" applyBorder="1" applyAlignment="1"/>
    <xf numFmtId="0" fontId="44" fillId="2" borderId="46" xfId="0" applyFont="1" applyFill="1" applyBorder="1" applyAlignment="1">
      <alignment horizontal="center"/>
    </xf>
    <xf numFmtId="16" fontId="44" fillId="2" borderId="0" xfId="0" applyNumberFormat="1" applyFont="1" applyFill="1" applyAlignment="1">
      <alignment horizontal="center"/>
    </xf>
    <xf numFmtId="0" fontId="40" fillId="2" borderId="26" xfId="0" applyFont="1" applyFill="1" applyBorder="1"/>
    <xf numFmtId="0" fontId="45" fillId="3" borderId="3" xfId="0" applyFont="1" applyFill="1" applyBorder="1" applyAlignment="1">
      <alignment horizontal="center" vertical="center" wrapText="1"/>
    </xf>
    <xf numFmtId="0" fontId="44" fillId="4" borderId="34" xfId="0" applyFont="1" applyFill="1" applyBorder="1"/>
    <xf numFmtId="41" fontId="40" fillId="4" borderId="35" xfId="0" applyNumberFormat="1" applyFont="1" applyFill="1" applyBorder="1" applyAlignment="1">
      <alignment horizontal="right"/>
    </xf>
    <xf numFmtId="164" fontId="40" fillId="4" borderId="35" xfId="5" applyNumberFormat="1" applyFont="1" applyFill="1" applyBorder="1" applyAlignment="1">
      <alignment horizontal="right"/>
    </xf>
    <xf numFmtId="3" fontId="40" fillId="2" borderId="26" xfId="0" applyNumberFormat="1" applyFont="1" applyFill="1" applyBorder="1"/>
    <xf numFmtId="164" fontId="44" fillId="14" borderId="30" xfId="5" applyNumberFormat="1" applyFont="1" applyFill="1" applyBorder="1" applyAlignment="1">
      <alignment horizontal="left"/>
    </xf>
    <xf numFmtId="164" fontId="40" fillId="14" borderId="30" xfId="5" applyNumberFormat="1" applyFont="1" applyFill="1" applyBorder="1" applyAlignment="1">
      <alignment horizontal="right"/>
    </xf>
    <xf numFmtId="164" fontId="40" fillId="2" borderId="0" xfId="0" applyNumberFormat="1" applyFont="1" applyFill="1"/>
    <xf numFmtId="164" fontId="40" fillId="0" borderId="30" xfId="5" applyNumberFormat="1" applyFont="1" applyFill="1" applyBorder="1" applyAlignment="1">
      <alignment horizontal="right"/>
    </xf>
    <xf numFmtId="164" fontId="40" fillId="0" borderId="1" xfId="5" applyNumberFormat="1" applyFont="1" applyFill="1" applyBorder="1" applyAlignment="1">
      <alignment horizontal="right"/>
    </xf>
    <xf numFmtId="164" fontId="40" fillId="2" borderId="30" xfId="5" applyNumberFormat="1" applyFont="1" applyFill="1" applyBorder="1" applyAlignment="1">
      <alignment horizontal="right"/>
    </xf>
    <xf numFmtId="164" fontId="46" fillId="14" borderId="1" xfId="5" applyNumberFormat="1" applyFont="1" applyFill="1" applyBorder="1" applyAlignment="1">
      <alignment horizontal="right"/>
    </xf>
    <xf numFmtId="164" fontId="44" fillId="14" borderId="1" xfId="5" applyNumberFormat="1" applyFont="1" applyFill="1" applyBorder="1" applyAlignment="1">
      <alignment horizontal="left"/>
    </xf>
    <xf numFmtId="164" fontId="40" fillId="14" borderId="1" xfId="5" applyNumberFormat="1" applyFont="1" applyFill="1" applyBorder="1" applyAlignment="1">
      <alignment horizontal="right"/>
    </xf>
    <xf numFmtId="164" fontId="47" fillId="2" borderId="1" xfId="5" applyNumberFormat="1" applyFont="1" applyFill="1" applyBorder="1" applyAlignment="1">
      <alignment horizontal="right"/>
    </xf>
    <xf numFmtId="164" fontId="40" fillId="2" borderId="1" xfId="5" applyNumberFormat="1" applyFont="1" applyFill="1" applyBorder="1" applyAlignment="1">
      <alignment horizontal="right"/>
    </xf>
    <xf numFmtId="0" fontId="44" fillId="2" borderId="47" xfId="0" applyFont="1" applyFill="1" applyBorder="1" applyAlignment="1">
      <alignment horizontal="center"/>
    </xf>
    <xf numFmtId="16" fontId="44" fillId="2" borderId="26" xfId="0" applyNumberFormat="1" applyFont="1" applyFill="1" applyBorder="1" applyAlignment="1">
      <alignment horizontal="center"/>
    </xf>
    <xf numFmtId="0" fontId="40" fillId="4" borderId="3" xfId="0" applyFont="1" applyFill="1" applyBorder="1"/>
    <xf numFmtId="41" fontId="40" fillId="12" borderId="1" xfId="5" applyNumberFormat="1" applyFont="1" applyFill="1" applyBorder="1"/>
    <xf numFmtId="41" fontId="40" fillId="12" borderId="1" xfId="0" applyNumberFormat="1" applyFont="1" applyFill="1" applyBorder="1" applyAlignment="1">
      <alignment horizontal="right" vertical="top"/>
    </xf>
    <xf numFmtId="41" fontId="40" fillId="12" borderId="1" xfId="5" applyNumberFormat="1" applyFont="1" applyFill="1" applyBorder="1" applyAlignment="1">
      <alignment horizontal="right" vertical="top"/>
    </xf>
    <xf numFmtId="41" fontId="44" fillId="2" borderId="0" xfId="0" applyNumberFormat="1" applyFont="1" applyFill="1" applyAlignment="1">
      <alignment horizontal="center"/>
    </xf>
    <xf numFmtId="4" fontId="44" fillId="2" borderId="0" xfId="0" applyNumberFormat="1" applyFont="1" applyFill="1" applyAlignment="1">
      <alignment horizontal="center"/>
    </xf>
    <xf numFmtId="4" fontId="44" fillId="2" borderId="26" xfId="0" applyNumberFormat="1" applyFont="1" applyFill="1" applyBorder="1" applyAlignment="1">
      <alignment horizontal="center"/>
    </xf>
    <xf numFmtId="4" fontId="44" fillId="0" borderId="0" xfId="0" applyNumberFormat="1" applyFont="1" applyAlignment="1">
      <alignment horizontal="center"/>
    </xf>
    <xf numFmtId="4" fontId="40" fillId="0" borderId="0" xfId="0" applyNumberFormat="1" applyFont="1"/>
    <xf numFmtId="164" fontId="40" fillId="2" borderId="2" xfId="5" applyNumberFormat="1" applyFont="1" applyFill="1" applyBorder="1" applyAlignment="1">
      <alignment horizontal="right"/>
    </xf>
    <xf numFmtId="41" fontId="40" fillId="0" borderId="1" xfId="5" applyNumberFormat="1" applyFont="1" applyFill="1" applyBorder="1" applyAlignment="1">
      <alignment horizontal="right" vertical="top"/>
    </xf>
    <xf numFmtId="164" fontId="40" fillId="2" borderId="3" xfId="5" applyNumberFormat="1" applyFont="1" applyFill="1" applyBorder="1" applyAlignment="1">
      <alignment horizontal="right"/>
    </xf>
    <xf numFmtId="4" fontId="44" fillId="0" borderId="0" xfId="0" applyNumberFormat="1" applyFont="1"/>
    <xf numFmtId="0" fontId="44" fillId="0" borderId="0" xfId="0" applyFont="1"/>
    <xf numFmtId="168" fontId="40" fillId="12" borderId="1" xfId="5" applyNumberFormat="1" applyFont="1" applyFill="1" applyBorder="1"/>
    <xf numFmtId="168" fontId="40" fillId="12" borderId="1" xfId="0" applyNumberFormat="1" applyFont="1" applyFill="1" applyBorder="1" applyAlignment="1">
      <alignment horizontal="right" vertical="top"/>
    </xf>
    <xf numFmtId="168" fontId="40" fillId="12" borderId="1" xfId="5" applyNumberFormat="1" applyFont="1" applyFill="1" applyBorder="1" applyAlignment="1">
      <alignment horizontal="right" vertical="top"/>
    </xf>
    <xf numFmtId="168" fontId="40" fillId="0" borderId="1" xfId="5" applyNumberFormat="1" applyFont="1" applyFill="1" applyBorder="1" applyAlignment="1">
      <alignment horizontal="left"/>
    </xf>
    <xf numFmtId="168" fontId="40" fillId="0" borderId="1" xfId="5" applyNumberFormat="1" applyFont="1" applyFill="1" applyBorder="1" applyAlignment="1">
      <alignment horizontal="right" vertical="top"/>
    </xf>
    <xf numFmtId="4" fontId="40" fillId="0" borderId="0" xfId="0" applyNumberFormat="1" applyFont="1" applyAlignment="1">
      <alignment horizontal="center" wrapText="1"/>
    </xf>
    <xf numFmtId="0" fontId="40" fillId="0" borderId="0" xfId="0" applyFont="1" applyAlignment="1">
      <alignment horizontal="center" wrapText="1"/>
    </xf>
    <xf numFmtId="4" fontId="40" fillId="2" borderId="26" xfId="0" applyNumberFormat="1" applyFont="1" applyFill="1" applyBorder="1"/>
    <xf numFmtId="4" fontId="40" fillId="2" borderId="0" xfId="0" applyNumberFormat="1" applyFont="1" applyFill="1"/>
    <xf numFmtId="16" fontId="40" fillId="0" borderId="26" xfId="0" applyNumberFormat="1" applyFont="1" applyBorder="1"/>
    <xf numFmtId="168" fontId="40" fillId="2" borderId="0" xfId="5" applyNumberFormat="1" applyFont="1" applyFill="1" applyBorder="1" applyAlignment="1">
      <alignment horizontal="left"/>
    </xf>
    <xf numFmtId="0" fontId="40" fillId="0" borderId="26" xfId="0" applyFont="1" applyBorder="1"/>
    <xf numFmtId="16" fontId="0" fillId="0" borderId="0" xfId="0" applyNumberFormat="1"/>
    <xf numFmtId="41" fontId="40" fillId="2" borderId="0" xfId="5" applyNumberFormat="1" applyFont="1" applyFill="1" applyBorder="1" applyAlignment="1">
      <alignment horizontal="right"/>
    </xf>
    <xf numFmtId="171" fontId="40" fillId="2" borderId="0" xfId="5" applyNumberFormat="1" applyFont="1" applyFill="1" applyBorder="1" applyAlignment="1">
      <alignment horizontal="left"/>
    </xf>
    <xf numFmtId="164" fontId="44" fillId="0" borderId="0" xfId="5" applyNumberFormat="1" applyFont="1" applyFill="1" applyBorder="1" applyAlignment="1">
      <alignment horizontal="left"/>
    </xf>
    <xf numFmtId="0" fontId="45" fillId="3" borderId="4" xfId="0" applyFont="1" applyFill="1" applyBorder="1" applyAlignment="1">
      <alignment horizontal="center" vertical="center" wrapText="1"/>
    </xf>
    <xf numFmtId="164" fontId="40" fillId="2" borderId="4" xfId="5" applyNumberFormat="1" applyFont="1" applyFill="1" applyBorder="1" applyAlignment="1">
      <alignment vertical="center"/>
    </xf>
    <xf numFmtId="164" fontId="40" fillId="2" borderId="1" xfId="5" applyNumberFormat="1" applyFont="1" applyFill="1" applyBorder="1" applyAlignment="1">
      <alignment vertical="center"/>
    </xf>
    <xf numFmtId="164" fontId="40" fillId="2" borderId="0" xfId="5" applyNumberFormat="1" applyFont="1" applyFill="1" applyBorder="1" applyAlignment="1">
      <alignment horizontal="center" vertical="center"/>
    </xf>
    <xf numFmtId="41" fontId="40" fillId="2" borderId="0" xfId="5" applyNumberFormat="1" applyFont="1" applyFill="1" applyBorder="1" applyAlignment="1">
      <alignment horizontal="left"/>
    </xf>
    <xf numFmtId="41" fontId="40" fillId="4" borderId="1" xfId="5" applyNumberFormat="1" applyFont="1" applyFill="1" applyBorder="1" applyAlignment="1">
      <alignment horizontal="left"/>
    </xf>
    <xf numFmtId="0" fontId="40" fillId="10" borderId="49" xfId="0" applyFont="1" applyFill="1" applyBorder="1" applyAlignment="1">
      <alignment horizontal="center" vertical="center"/>
    </xf>
    <xf numFmtId="0" fontId="40" fillId="10" borderId="50" xfId="0" applyFont="1" applyFill="1" applyBorder="1" applyAlignment="1">
      <alignment horizontal="center" vertical="center"/>
    </xf>
    <xf numFmtId="4" fontId="0" fillId="0" borderId="0" xfId="0" applyNumberFormat="1"/>
    <xf numFmtId="0" fontId="45" fillId="3" borderId="8" xfId="0" applyFont="1" applyFill="1" applyBorder="1" applyAlignment="1">
      <alignment horizontal="center" vertical="center" wrapText="1"/>
    </xf>
    <xf numFmtId="0" fontId="45" fillId="3" borderId="31" xfId="0" applyFont="1" applyFill="1" applyBorder="1" applyAlignment="1">
      <alignment horizontal="center" vertical="center" wrapText="1"/>
    </xf>
    <xf numFmtId="16" fontId="45" fillId="3" borderId="9" xfId="0" applyNumberFormat="1" applyFont="1" applyFill="1" applyBorder="1" applyAlignment="1">
      <alignment horizontal="center" vertical="center" wrapText="1"/>
    </xf>
    <xf numFmtId="164" fontId="44" fillId="10" borderId="34" xfId="5" applyNumberFormat="1" applyFont="1" applyFill="1" applyBorder="1" applyAlignment="1">
      <alignment horizontal="left"/>
    </xf>
    <xf numFmtId="164" fontId="44" fillId="10" borderId="35" xfId="5" applyNumberFormat="1" applyFont="1" applyFill="1" applyBorder="1" applyAlignment="1">
      <alignment horizontal="left"/>
    </xf>
    <xf numFmtId="164" fontId="44" fillId="10" borderId="40" xfId="5" applyNumberFormat="1" applyFont="1" applyFill="1" applyBorder="1" applyAlignment="1">
      <alignment horizontal="left"/>
    </xf>
    <xf numFmtId="164" fontId="40" fillId="0" borderId="2" xfId="5" applyNumberFormat="1" applyFont="1" applyFill="1" applyBorder="1" applyAlignment="1">
      <alignment horizontal="left"/>
    </xf>
    <xf numFmtId="164" fontId="40" fillId="0" borderId="51" xfId="5" applyNumberFormat="1" applyFont="1" applyFill="1" applyBorder="1" applyAlignment="1">
      <alignment horizontal="left"/>
    </xf>
    <xf numFmtId="164" fontId="40" fillId="0" borderId="3" xfId="5" applyNumberFormat="1" applyFont="1" applyFill="1" applyBorder="1" applyAlignment="1">
      <alignment horizontal="left"/>
    </xf>
    <xf numFmtId="164" fontId="40" fillId="0" borderId="11" xfId="5" applyNumberFormat="1" applyFont="1" applyFill="1" applyBorder="1" applyAlignment="1">
      <alignment horizontal="left"/>
    </xf>
    <xf numFmtId="0" fontId="40" fillId="0" borderId="3" xfId="0" applyFont="1" applyBorder="1" applyAlignment="1">
      <alignment horizontal="left"/>
    </xf>
    <xf numFmtId="0" fontId="40" fillId="0" borderId="1" xfId="0" applyFont="1" applyBorder="1"/>
    <xf numFmtId="0" fontId="40" fillId="0" borderId="11" xfId="0" applyFont="1" applyBorder="1"/>
    <xf numFmtId="0" fontId="40" fillId="0" borderId="52" xfId="0" applyFont="1" applyBorder="1" applyAlignment="1">
      <alignment horizontal="left"/>
    </xf>
    <xf numFmtId="0" fontId="40" fillId="0" borderId="19" xfId="0" applyFont="1" applyBorder="1"/>
    <xf numFmtId="0" fontId="40" fillId="0" borderId="14" xfId="0" applyFont="1" applyBorder="1"/>
    <xf numFmtId="0" fontId="30" fillId="0" borderId="0" xfId="0" applyFont="1"/>
    <xf numFmtId="0" fontId="20" fillId="15" borderId="32" xfId="0" applyFont="1" applyFill="1" applyBorder="1"/>
    <xf numFmtId="0" fontId="20" fillId="15" borderId="39" xfId="0" applyFont="1" applyFill="1" applyBorder="1"/>
    <xf numFmtId="0" fontId="20" fillId="15" borderId="33" xfId="0" applyFont="1" applyFill="1" applyBorder="1"/>
    <xf numFmtId="0" fontId="20" fillId="16" borderId="39" xfId="0" applyFont="1" applyFill="1" applyBorder="1"/>
    <xf numFmtId="0" fontId="20" fillId="16" borderId="33" xfId="0" applyFont="1" applyFill="1" applyBorder="1"/>
    <xf numFmtId="0" fontId="20" fillId="17" borderId="39" xfId="0" applyFont="1" applyFill="1" applyBorder="1"/>
    <xf numFmtId="0" fontId="20" fillId="17" borderId="33" xfId="0" applyFont="1" applyFill="1" applyBorder="1"/>
    <xf numFmtId="0" fontId="20" fillId="15" borderId="1" xfId="0" applyFont="1" applyFill="1" applyBorder="1" applyAlignment="1">
      <alignment horizontal="center"/>
    </xf>
    <xf numFmtId="0" fontId="20" fillId="16" borderId="1" xfId="0" applyFont="1" applyFill="1" applyBorder="1" applyAlignment="1">
      <alignment horizontal="center"/>
    </xf>
    <xf numFmtId="0" fontId="20" fillId="17" borderId="1" xfId="0" applyFont="1" applyFill="1" applyBorder="1" applyAlignment="1">
      <alignment horizontal="center"/>
    </xf>
    <xf numFmtId="0" fontId="20" fillId="0" borderId="1" xfId="0" applyFont="1" applyBorder="1"/>
    <xf numFmtId="171" fontId="49" fillId="2" borderId="1" xfId="5" applyNumberFormat="1" applyFont="1" applyFill="1" applyBorder="1" applyAlignment="1">
      <alignment horizontal="left"/>
    </xf>
    <xf numFmtId="0" fontId="48" fillId="4" borderId="30" xfId="0" applyFont="1" applyFill="1" applyBorder="1"/>
    <xf numFmtId="171" fontId="49" fillId="2" borderId="30" xfId="5" applyNumberFormat="1" applyFont="1" applyFill="1" applyBorder="1" applyAlignment="1">
      <alignment horizontal="left"/>
    </xf>
    <xf numFmtId="0" fontId="48" fillId="4" borderId="0" xfId="0" applyFont="1" applyFill="1"/>
    <xf numFmtId="0" fontId="20" fillId="4" borderId="0" xfId="0" applyFont="1" applyFill="1"/>
    <xf numFmtId="164" fontId="49" fillId="2" borderId="1" xfId="5" applyNumberFormat="1" applyFont="1" applyFill="1" applyBorder="1" applyAlignment="1">
      <alignment horizontal="left"/>
    </xf>
    <xf numFmtId="164" fontId="49" fillId="2" borderId="19" xfId="5" applyNumberFormat="1" applyFont="1" applyFill="1" applyBorder="1" applyAlignment="1">
      <alignment horizontal="left"/>
    </xf>
    <xf numFmtId="164" fontId="49" fillId="2" borderId="30" xfId="5" applyNumberFormat="1" applyFont="1" applyFill="1" applyBorder="1" applyAlignment="1">
      <alignment horizontal="left"/>
    </xf>
    <xf numFmtId="0" fontId="24" fillId="3" borderId="8" xfId="0" applyFont="1" applyFill="1" applyBorder="1" applyAlignment="1">
      <alignment horizontal="center" vertical="center" wrapText="1"/>
    </xf>
    <xf numFmtId="172" fontId="24" fillId="3" borderId="9" xfId="0" applyNumberFormat="1" applyFont="1" applyFill="1" applyBorder="1" applyAlignment="1">
      <alignment horizontal="center" vertical="center" wrapText="1"/>
    </xf>
    <xf numFmtId="164" fontId="30" fillId="14" borderId="3" xfId="5" applyNumberFormat="1" applyFont="1" applyFill="1" applyBorder="1" applyAlignment="1">
      <alignment horizontal="left"/>
    </xf>
    <xf numFmtId="3" fontId="4" fillId="2" borderId="11" xfId="5" applyNumberFormat="1" applyFont="1" applyFill="1" applyBorder="1" applyAlignment="1">
      <alignment horizontal="right"/>
    </xf>
    <xf numFmtId="164" fontId="30" fillId="14" borderId="52" xfId="5" applyNumberFormat="1" applyFont="1" applyFill="1" applyBorder="1" applyAlignment="1">
      <alignment horizontal="left"/>
    </xf>
    <xf numFmtId="3" fontId="4" fillId="2" borderId="14" xfId="5" applyNumberFormat="1" applyFont="1" applyFill="1" applyBorder="1" applyAlignment="1">
      <alignment horizontal="right"/>
    </xf>
    <xf numFmtId="164" fontId="30" fillId="14" borderId="12" xfId="5" applyNumberFormat="1" applyFont="1" applyFill="1" applyBorder="1" applyAlignment="1">
      <alignment horizontal="left"/>
    </xf>
    <xf numFmtId="3" fontId="4" fillId="2" borderId="27" xfId="5" applyNumberFormat="1" applyFont="1" applyFill="1" applyBorder="1" applyAlignment="1">
      <alignment horizontal="right"/>
    </xf>
    <xf numFmtId="3" fontId="4" fillId="2" borderId="0" xfId="5" applyNumberFormat="1" applyFont="1" applyFill="1" applyBorder="1" applyAlignment="1">
      <alignment horizontal="right"/>
    </xf>
    <xf numFmtId="41" fontId="4" fillId="2" borderId="11" xfId="5" applyNumberFormat="1" applyFont="1" applyFill="1" applyBorder="1" applyAlignment="1">
      <alignment horizontal="right"/>
    </xf>
    <xf numFmtId="41" fontId="4" fillId="2" borderId="14" xfId="5" applyNumberFormat="1" applyFont="1" applyFill="1" applyBorder="1" applyAlignment="1">
      <alignment horizontal="right"/>
    </xf>
    <xf numFmtId="172" fontId="24" fillId="3" borderId="31" xfId="0" applyNumberFormat="1" applyFont="1" applyFill="1" applyBorder="1" applyAlignment="1">
      <alignment horizontal="center" vertical="center" wrapText="1"/>
    </xf>
    <xf numFmtId="41" fontId="4" fillId="18" borderId="1" xfId="5" applyNumberFormat="1" applyFont="1" applyFill="1" applyBorder="1" applyAlignment="1">
      <alignment horizontal="right"/>
    </xf>
    <xf numFmtId="41" fontId="4" fillId="2" borderId="1" xfId="5" applyNumberFormat="1" applyFont="1" applyFill="1" applyBorder="1" applyAlignment="1">
      <alignment horizontal="right"/>
    </xf>
    <xf numFmtId="41" fontId="4" fillId="2" borderId="19" xfId="5" applyNumberFormat="1" applyFont="1" applyFill="1" applyBorder="1" applyAlignment="1">
      <alignment horizontal="right"/>
    </xf>
    <xf numFmtId="164" fontId="30" fillId="0" borderId="0" xfId="5" applyNumberFormat="1" applyFont="1" applyFill="1" applyBorder="1" applyAlignment="1">
      <alignment horizontal="left"/>
    </xf>
    <xf numFmtId="41" fontId="4" fillId="2" borderId="0" xfId="5" applyNumberFormat="1" applyFont="1" applyFill="1" applyBorder="1" applyAlignment="1">
      <alignment horizontal="right"/>
    </xf>
    <xf numFmtId="172" fontId="24" fillId="19" borderId="31" xfId="0" applyNumberFormat="1" applyFont="1" applyFill="1" applyBorder="1" applyAlignment="1">
      <alignment horizontal="center" vertical="center" wrapText="1"/>
    </xf>
    <xf numFmtId="172" fontId="24" fillId="19" borderId="9" xfId="0" applyNumberFormat="1" applyFont="1" applyFill="1" applyBorder="1" applyAlignment="1">
      <alignment horizontal="center" vertical="center" wrapText="1"/>
    </xf>
    <xf numFmtId="172" fontId="24" fillId="3" borderId="53" xfId="0" applyNumberFormat="1" applyFont="1" applyFill="1" applyBorder="1" applyAlignment="1">
      <alignment horizontal="center" vertical="center" wrapText="1"/>
    </xf>
    <xf numFmtId="41" fontId="4" fillId="2" borderId="33" xfId="5" applyNumberFormat="1" applyFont="1" applyFill="1" applyBorder="1" applyAlignment="1">
      <alignment horizontal="right"/>
    </xf>
    <xf numFmtId="166" fontId="4" fillId="2" borderId="1" xfId="5" applyNumberFormat="1" applyFont="1" applyFill="1" applyBorder="1" applyAlignment="1">
      <alignment horizontal="right"/>
    </xf>
    <xf numFmtId="166" fontId="4" fillId="2" borderId="11" xfId="5" applyNumberFormat="1" applyFont="1" applyFill="1" applyBorder="1" applyAlignment="1">
      <alignment horizontal="right"/>
    </xf>
    <xf numFmtId="166" fontId="4" fillId="2" borderId="33" xfId="5" applyNumberFormat="1" applyFont="1" applyFill="1" applyBorder="1" applyAlignment="1">
      <alignment horizontal="right"/>
    </xf>
    <xf numFmtId="173" fontId="4" fillId="2" borderId="1" xfId="5" applyNumberFormat="1" applyFont="1" applyFill="1" applyBorder="1" applyAlignment="1">
      <alignment horizontal="right"/>
    </xf>
    <xf numFmtId="173" fontId="4" fillId="2" borderId="11" xfId="5" applyNumberFormat="1" applyFont="1" applyFill="1" applyBorder="1" applyAlignment="1">
      <alignment horizontal="right"/>
    </xf>
    <xf numFmtId="173" fontId="4" fillId="2" borderId="33" xfId="5" applyNumberFormat="1" applyFont="1" applyFill="1" applyBorder="1" applyAlignment="1">
      <alignment horizontal="right"/>
    </xf>
    <xf numFmtId="171" fontId="4" fillId="2" borderId="19" xfId="5" applyNumberFormat="1" applyFont="1" applyFill="1" applyBorder="1" applyAlignment="1">
      <alignment horizontal="right"/>
    </xf>
    <xf numFmtId="171" fontId="4" fillId="2" borderId="14" xfId="5" applyNumberFormat="1" applyFont="1" applyFill="1" applyBorder="1" applyAlignment="1">
      <alignment horizontal="right"/>
    </xf>
    <xf numFmtId="171" fontId="4" fillId="2" borderId="54" xfId="5" applyNumberFormat="1" applyFont="1" applyFill="1" applyBorder="1" applyAlignment="1">
      <alignment horizontal="right"/>
    </xf>
    <xf numFmtId="0" fontId="4" fillId="20" borderId="27" xfId="0" applyFont="1" applyFill="1" applyBorder="1" applyAlignment="1">
      <alignment horizontal="left" vertical="top" wrapText="1"/>
    </xf>
    <xf numFmtId="0" fontId="34" fillId="0" borderId="0" xfId="0" applyFont="1" applyAlignment="1">
      <alignment horizontal="left"/>
    </xf>
    <xf numFmtId="0" fontId="33" fillId="2" borderId="0" xfId="0" applyFont="1" applyFill="1" applyAlignment="1">
      <alignment horizontal="left" vertical="center" wrapText="1"/>
    </xf>
    <xf numFmtId="0" fontId="32" fillId="2" borderId="0" xfId="0" applyFont="1" applyFill="1" applyAlignment="1">
      <alignment horizontal="left" wrapText="1"/>
    </xf>
    <xf numFmtId="0" fontId="12" fillId="0" borderId="0" xfId="0" applyFont="1" applyAlignment="1">
      <alignment horizontal="center" wrapText="1"/>
    </xf>
    <xf numFmtId="0" fontId="12" fillId="0" borderId="0" xfId="0" applyFont="1" applyAlignment="1">
      <alignment horizontal="center"/>
    </xf>
    <xf numFmtId="0" fontId="32" fillId="2" borderId="0" xfId="0" applyFont="1" applyFill="1" applyAlignment="1">
      <alignment horizontal="left" vertical="center" wrapText="1"/>
    </xf>
    <xf numFmtId="0" fontId="8" fillId="0" borderId="0" xfId="1" applyFont="1" applyAlignment="1">
      <alignment horizontal="center" vertical="top"/>
    </xf>
    <xf numFmtId="0" fontId="7" fillId="5" borderId="0" xfId="2" applyFont="1" applyFill="1" applyAlignment="1">
      <alignment horizontal="center" vertical="center" wrapText="1"/>
    </xf>
    <xf numFmtId="0" fontId="8" fillId="4" borderId="0" xfId="1" applyFont="1" applyFill="1" applyAlignment="1">
      <alignment horizontal="center" vertical="top"/>
    </xf>
    <xf numFmtId="0" fontId="39" fillId="0" borderId="0" xfId="0" applyFont="1" applyAlignment="1">
      <alignment horizontal="center"/>
    </xf>
    <xf numFmtId="164" fontId="40" fillId="2" borderId="4" xfId="5" applyNumberFormat="1" applyFont="1" applyFill="1" applyBorder="1" applyAlignment="1">
      <alignment horizontal="left" vertical="center"/>
    </xf>
    <xf numFmtId="164" fontId="40" fillId="2" borderId="30" xfId="5" applyNumberFormat="1" applyFont="1" applyFill="1" applyBorder="1" applyAlignment="1">
      <alignment horizontal="left" vertical="center"/>
    </xf>
    <xf numFmtId="0" fontId="44" fillId="0" borderId="0" xfId="0" applyFont="1" applyAlignment="1">
      <alignment horizontal="left" vertical="center"/>
    </xf>
    <xf numFmtId="0" fontId="40" fillId="10" borderId="38" xfId="0" applyFont="1" applyFill="1" applyBorder="1" applyAlignment="1">
      <alignment horizontal="center" vertical="center"/>
    </xf>
    <xf numFmtId="0" fontId="40" fillId="10" borderId="39" xfId="0" applyFont="1" applyFill="1" applyBorder="1" applyAlignment="1">
      <alignment horizontal="center" vertical="center"/>
    </xf>
    <xf numFmtId="0" fontId="40" fillId="10" borderId="41" xfId="0" applyFont="1" applyFill="1" applyBorder="1" applyAlignment="1">
      <alignment horizontal="center" vertical="center"/>
    </xf>
    <xf numFmtId="0" fontId="44" fillId="2" borderId="5" xfId="0" applyFont="1" applyFill="1" applyBorder="1" applyAlignment="1">
      <alignment horizontal="left" vertical="center"/>
    </xf>
    <xf numFmtId="0" fontId="44" fillId="2" borderId="0" xfId="0" applyFont="1" applyFill="1" applyAlignment="1">
      <alignment horizontal="left" vertical="center"/>
    </xf>
    <xf numFmtId="0" fontId="44" fillId="10" borderId="38" xfId="0" applyFont="1" applyFill="1" applyBorder="1" applyAlignment="1">
      <alignment horizontal="center" vertical="center"/>
    </xf>
    <xf numFmtId="0" fontId="44" fillId="10" borderId="39" xfId="0" applyFont="1" applyFill="1" applyBorder="1" applyAlignment="1">
      <alignment horizontal="center" vertical="center"/>
    </xf>
    <xf numFmtId="0" fontId="44" fillId="10" borderId="41" xfId="0" applyFont="1" applyFill="1" applyBorder="1" applyAlignment="1">
      <alignment horizontal="center" vertical="center"/>
    </xf>
    <xf numFmtId="0" fontId="44" fillId="2" borderId="5" xfId="0" applyFont="1" applyFill="1" applyBorder="1" applyAlignment="1">
      <alignment horizontal="left" vertical="center" wrapText="1"/>
    </xf>
    <xf numFmtId="0" fontId="44" fillId="2" borderId="0" xfId="0" applyFont="1" applyFill="1" applyAlignment="1">
      <alignment horizontal="left" vertical="center" wrapText="1"/>
    </xf>
    <xf numFmtId="0" fontId="40" fillId="10" borderId="32" xfId="0" applyFont="1" applyFill="1" applyBorder="1" applyAlignment="1">
      <alignment horizontal="center" vertical="center"/>
    </xf>
    <xf numFmtId="0" fontId="40" fillId="10" borderId="33" xfId="0" applyFont="1" applyFill="1" applyBorder="1" applyAlignment="1">
      <alignment horizontal="center" vertical="center"/>
    </xf>
    <xf numFmtId="0" fontId="44" fillId="0" borderId="48" xfId="0" applyFont="1" applyBorder="1" applyAlignment="1">
      <alignment horizontal="left" vertical="center"/>
    </xf>
    <xf numFmtId="0" fontId="44" fillId="0" borderId="43" xfId="0" applyFont="1" applyBorder="1" applyAlignment="1">
      <alignment horizontal="left" vertical="center"/>
    </xf>
    <xf numFmtId="0" fontId="45" fillId="3" borderId="1" xfId="0" applyFont="1" applyFill="1" applyBorder="1" applyAlignment="1">
      <alignment horizontal="center" vertical="center" wrapText="1"/>
    </xf>
    <xf numFmtId="0" fontId="45" fillId="3" borderId="42" xfId="0" applyFont="1" applyFill="1" applyBorder="1" applyAlignment="1">
      <alignment horizontal="center" vertical="center" wrapText="1"/>
    </xf>
    <xf numFmtId="0" fontId="45" fillId="3" borderId="43" xfId="0" applyFont="1" applyFill="1" applyBorder="1" applyAlignment="1">
      <alignment horizontal="center" vertical="center" wrapText="1"/>
    </xf>
    <xf numFmtId="0" fontId="40" fillId="4" borderId="35" xfId="0" applyFont="1" applyFill="1" applyBorder="1" applyAlignment="1">
      <alignment horizontal="left"/>
    </xf>
    <xf numFmtId="0" fontId="40" fillId="4" borderId="45" xfId="0" applyFont="1" applyFill="1" applyBorder="1" applyAlignment="1">
      <alignment horizontal="center"/>
    </xf>
    <xf numFmtId="0" fontId="40" fillId="4" borderId="44" xfId="0" applyFont="1" applyFill="1" applyBorder="1" applyAlignment="1">
      <alignment horizontal="center"/>
    </xf>
    <xf numFmtId="164" fontId="40" fillId="2" borderId="1" xfId="5" applyNumberFormat="1" applyFont="1" applyFill="1" applyBorder="1" applyAlignment="1">
      <alignment horizontal="left"/>
    </xf>
    <xf numFmtId="0" fontId="44" fillId="0" borderId="5" xfId="0" applyFont="1" applyBorder="1" applyAlignment="1">
      <alignment horizontal="left" vertical="center" wrapText="1"/>
    </xf>
    <xf numFmtId="0" fontId="44" fillId="0" borderId="0" xfId="0" applyFont="1" applyAlignment="1">
      <alignment horizontal="left" vertical="center" wrapText="1"/>
    </xf>
    <xf numFmtId="0" fontId="44" fillId="2" borderId="26" xfId="0" applyFont="1" applyFill="1" applyBorder="1" applyAlignment="1">
      <alignment horizontal="left" vertical="center"/>
    </xf>
    <xf numFmtId="0" fontId="44" fillId="2" borderId="5" xfId="0" applyFont="1" applyFill="1" applyBorder="1" applyAlignment="1">
      <alignment vertical="center" wrapText="1"/>
    </xf>
    <xf numFmtId="0" fontId="44" fillId="2" borderId="0" xfId="0" applyFont="1" applyFill="1" applyAlignment="1">
      <alignment vertical="center" wrapText="1"/>
    </xf>
    <xf numFmtId="0" fontId="44" fillId="0" borderId="0" xfId="0" applyFont="1" applyAlignment="1">
      <alignment vertical="center" wrapText="1"/>
    </xf>
    <xf numFmtId="0" fontId="40" fillId="2" borderId="1" xfId="0" applyFont="1" applyFill="1" applyBorder="1"/>
    <xf numFmtId="0" fontId="40" fillId="4" borderId="32" xfId="0" applyFont="1" applyFill="1" applyBorder="1" applyAlignment="1">
      <alignment horizontal="left"/>
    </xf>
    <xf numFmtId="0" fontId="40" fillId="4" borderId="33" xfId="0" applyFont="1" applyFill="1" applyBorder="1" applyAlignment="1">
      <alignment horizontal="left"/>
    </xf>
    <xf numFmtId="0" fontId="40" fillId="2" borderId="0" xfId="0" applyFont="1" applyFill="1"/>
    <xf numFmtId="0" fontId="40" fillId="2" borderId="37" xfId="0" applyFont="1" applyFill="1" applyBorder="1"/>
    <xf numFmtId="164" fontId="40" fillId="2" borderId="32" xfId="5" applyNumberFormat="1" applyFont="1" applyFill="1" applyBorder="1" applyAlignment="1">
      <alignment horizontal="left"/>
    </xf>
    <xf numFmtId="164" fontId="40" fillId="2" borderId="33" xfId="5" applyNumberFormat="1" applyFont="1" applyFill="1" applyBorder="1" applyAlignment="1">
      <alignment horizontal="left"/>
    </xf>
    <xf numFmtId="164" fontId="40" fillId="2" borderId="0" xfId="5" applyNumberFormat="1" applyFont="1" applyFill="1" applyBorder="1" applyAlignment="1">
      <alignment horizontal="left"/>
    </xf>
    <xf numFmtId="0" fontId="41" fillId="2" borderId="0" xfId="0" applyFont="1" applyFill="1" applyAlignment="1">
      <alignment horizontal="left" vertical="center"/>
    </xf>
    <xf numFmtId="0" fontId="43" fillId="10" borderId="8" xfId="0" applyFont="1" applyFill="1" applyBorder="1" applyAlignment="1">
      <alignment horizontal="center" vertical="center"/>
    </xf>
    <xf numFmtId="0" fontId="43" fillId="10" borderId="31" xfId="0" applyFont="1" applyFill="1" applyBorder="1" applyAlignment="1">
      <alignment horizontal="center" vertical="center"/>
    </xf>
    <xf numFmtId="0" fontId="43" fillId="10" borderId="9" xfId="0" applyFont="1" applyFill="1" applyBorder="1" applyAlignment="1">
      <alignment horizontal="center" vertical="center"/>
    </xf>
    <xf numFmtId="0" fontId="45" fillId="3" borderId="32" xfId="0" applyFont="1" applyFill="1" applyBorder="1" applyAlignment="1">
      <alignment horizontal="center" vertical="center" wrapText="1"/>
    </xf>
    <xf numFmtId="0" fontId="45" fillId="3" borderId="33" xfId="0" applyFont="1" applyFill="1" applyBorder="1" applyAlignment="1">
      <alignment horizontal="center" vertical="center" wrapText="1"/>
    </xf>
    <xf numFmtId="0" fontId="8" fillId="0" borderId="0" xfId="1" applyFont="1" applyAlignment="1">
      <alignment horizontal="left" vertical="top"/>
    </xf>
    <xf numFmtId="0" fontId="7" fillId="5" borderId="0" xfId="2" applyFont="1" applyFill="1" applyAlignment="1">
      <alignment horizontal="left" vertical="center" wrapText="1"/>
    </xf>
    <xf numFmtId="0" fontId="8" fillId="4" borderId="0" xfId="1" applyFont="1" applyFill="1" applyAlignment="1">
      <alignment horizontal="left" vertical="top"/>
    </xf>
    <xf numFmtId="0" fontId="20" fillId="17" borderId="42" xfId="0" applyFont="1" applyFill="1" applyBorder="1" applyAlignment="1">
      <alignment horizontal="center"/>
    </xf>
    <xf numFmtId="0" fontId="20" fillId="17" borderId="28" xfId="0" applyFont="1" applyFill="1" applyBorder="1" applyAlignment="1">
      <alignment horizontal="center"/>
    </xf>
    <xf numFmtId="0" fontId="20" fillId="16" borderId="42" xfId="0" applyFont="1" applyFill="1" applyBorder="1" applyAlignment="1">
      <alignment horizontal="center"/>
    </xf>
    <xf numFmtId="0" fontId="20" fillId="16" borderId="28" xfId="0" applyFont="1" applyFill="1" applyBorder="1" applyAlignment="1">
      <alignment horizontal="center"/>
    </xf>
    <xf numFmtId="0" fontId="20" fillId="15" borderId="42" xfId="0" applyFont="1" applyFill="1" applyBorder="1" applyAlignment="1">
      <alignment horizontal="center"/>
    </xf>
    <xf numFmtId="0" fontId="20" fillId="15" borderId="28" xfId="0" applyFont="1" applyFill="1" applyBorder="1" applyAlignment="1">
      <alignment horizontal="center"/>
    </xf>
    <xf numFmtId="0" fontId="48" fillId="4" borderId="1" xfId="0" applyFont="1" applyFill="1" applyBorder="1" applyAlignment="1">
      <alignment horizontal="center" vertical="center"/>
    </xf>
    <xf numFmtId="0" fontId="48" fillId="10" borderId="1" xfId="0" applyFont="1" applyFill="1" applyBorder="1" applyAlignment="1">
      <alignment horizontal="center" vertical="center"/>
    </xf>
    <xf numFmtId="0" fontId="50" fillId="0" borderId="0" xfId="0" applyFont="1" applyAlignment="1">
      <alignment wrapText="1"/>
    </xf>
    <xf numFmtId="0" fontId="30" fillId="0" borderId="0" xfId="0" applyFont="1" applyAlignment="1">
      <alignment wrapText="1"/>
    </xf>
    <xf numFmtId="0" fontId="22" fillId="0" borderId="0" xfId="1" applyFont="1" applyAlignment="1">
      <alignment horizontal="left" vertical="top"/>
    </xf>
    <xf numFmtId="0" fontId="22" fillId="5" borderId="0" xfId="2" applyFont="1" applyFill="1" applyAlignment="1">
      <alignment horizontal="left" vertical="center" wrapText="1"/>
    </xf>
    <xf numFmtId="0" fontId="22" fillId="4" borderId="0" xfId="1" applyFont="1" applyFill="1" applyAlignment="1">
      <alignment horizontal="left" vertical="top"/>
    </xf>
    <xf numFmtId="0" fontId="24" fillId="3" borderId="1" xfId="3" applyFont="1" applyFill="1" applyBorder="1" applyAlignment="1">
      <alignment horizontal="left" vertical="top" wrapText="1"/>
    </xf>
    <xf numFmtId="3" fontId="24" fillId="3" borderId="1" xfId="5" applyNumberFormat="1" applyFont="1" applyFill="1" applyBorder="1" applyAlignment="1">
      <alignment horizontal="left" vertical="top" wrapText="1"/>
    </xf>
    <xf numFmtId="0" fontId="16" fillId="7" borderId="21" xfId="0" applyFont="1" applyFill="1" applyBorder="1" applyAlignment="1">
      <alignment vertical="top" wrapText="1"/>
    </xf>
    <xf numFmtId="0" fontId="16" fillId="7" borderId="20" xfId="0" applyFont="1" applyFill="1" applyBorder="1" applyAlignment="1">
      <alignment vertical="top" wrapText="1"/>
    </xf>
    <xf numFmtId="0" fontId="8" fillId="0" borderId="18" xfId="1" applyFont="1" applyBorder="1" applyAlignment="1">
      <alignment horizontal="center" vertical="top"/>
    </xf>
    <xf numFmtId="0" fontId="16" fillId="7" borderId="17" xfId="0" applyFont="1" applyFill="1" applyBorder="1" applyAlignment="1">
      <alignment horizontal="left" vertical="top" wrapText="1"/>
    </xf>
    <xf numFmtId="0" fontId="16" fillId="7" borderId="16" xfId="0" applyFont="1" applyFill="1" applyBorder="1" applyAlignment="1">
      <alignment horizontal="left" vertical="top" wrapText="1"/>
    </xf>
    <xf numFmtId="0" fontId="18" fillId="9" borderId="21" xfId="0" applyFont="1" applyFill="1" applyBorder="1" applyAlignment="1">
      <alignment horizontal="center" vertical="center"/>
    </xf>
    <xf numFmtId="0" fontId="18" fillId="9" borderId="25" xfId="0" applyFont="1" applyFill="1" applyBorder="1" applyAlignment="1">
      <alignment horizontal="center" vertical="center"/>
    </xf>
    <xf numFmtId="0" fontId="18" fillId="9" borderId="24" xfId="0" applyFont="1" applyFill="1" applyBorder="1" applyAlignment="1">
      <alignment horizontal="center" vertical="center"/>
    </xf>
    <xf numFmtId="0" fontId="0" fillId="0" borderId="21" xfId="0" applyBorder="1" applyAlignment="1">
      <alignment horizontal="left" vertical="top" wrapText="1"/>
    </xf>
    <xf numFmtId="0" fontId="0" fillId="0" borderId="25" xfId="0" applyBorder="1" applyAlignment="1">
      <alignment horizontal="left" vertical="top" wrapText="1"/>
    </xf>
    <xf numFmtId="0" fontId="0" fillId="0" borderId="24" xfId="0" applyBorder="1" applyAlignment="1">
      <alignment horizontal="left" vertical="top" wrapText="1"/>
    </xf>
    <xf numFmtId="0" fontId="14" fillId="0" borderId="0" xfId="0" applyFont="1" applyAlignment="1">
      <alignment horizontal="left" vertical="center"/>
    </xf>
    <xf numFmtId="0" fontId="13" fillId="0" borderId="5" xfId="0" applyFont="1" applyBorder="1" applyAlignment="1">
      <alignment horizontal="left" vertical="top" wrapText="1"/>
    </xf>
    <xf numFmtId="0" fontId="13" fillId="0" borderId="0" xfId="0" applyFont="1" applyAlignment="1">
      <alignment horizontal="left" vertical="top" wrapText="1"/>
    </xf>
    <xf numFmtId="0" fontId="18" fillId="9" borderId="5" xfId="0" applyFont="1" applyFill="1" applyBorder="1" applyAlignment="1">
      <alignment horizontal="center" vertical="center"/>
    </xf>
    <xf numFmtId="0" fontId="18" fillId="9" borderId="0" xfId="0" applyFont="1" applyFill="1" applyAlignment="1">
      <alignment horizontal="center" vertical="center"/>
    </xf>
    <xf numFmtId="0" fontId="0" fillId="0" borderId="5" xfId="0" applyBorder="1" applyAlignment="1">
      <alignment horizontal="left" vertical="top" wrapText="1"/>
    </xf>
    <xf numFmtId="0" fontId="0" fillId="0" borderId="0" xfId="0" applyAlignment="1">
      <alignment horizontal="left" vertical="top" wrapText="1"/>
    </xf>
    <xf numFmtId="0" fontId="4" fillId="2" borderId="3" xfId="0" applyFont="1" applyFill="1" applyBorder="1" applyAlignment="1">
      <alignment horizontal="center" vertical="top" wrapText="1"/>
    </xf>
    <xf numFmtId="0" fontId="4" fillId="0" borderId="3" xfId="0" applyFont="1" applyBorder="1" applyAlignment="1">
      <alignment horizontal="center" vertical="top"/>
    </xf>
    <xf numFmtId="0" fontId="4" fillId="0" borderId="3" xfId="0" applyFont="1" applyBorder="1" applyAlignment="1">
      <alignment horizontal="center" vertical="top" wrapText="1"/>
    </xf>
    <xf numFmtId="0" fontId="20" fillId="0" borderId="12" xfId="0" applyFont="1" applyBorder="1" applyAlignment="1">
      <alignment horizontal="center" vertical="top" wrapText="1"/>
    </xf>
    <xf numFmtId="0" fontId="20" fillId="0" borderId="6" xfId="0" applyFont="1" applyBorder="1" applyAlignment="1">
      <alignment horizontal="center" vertical="top" wrapText="1"/>
    </xf>
    <xf numFmtId="0" fontId="20" fillId="0" borderId="2" xfId="0" applyFont="1" applyBorder="1" applyAlignment="1">
      <alignment horizontal="center" vertical="top" wrapText="1"/>
    </xf>
    <xf numFmtId="0" fontId="20" fillId="0" borderId="12" xfId="0" applyFont="1" applyBorder="1" applyAlignment="1">
      <alignment vertical="top" wrapText="1"/>
    </xf>
    <xf numFmtId="0" fontId="20" fillId="0" borderId="6" xfId="0" applyFont="1" applyBorder="1" applyAlignment="1">
      <alignment vertical="top" wrapText="1"/>
    </xf>
    <xf numFmtId="0" fontId="20" fillId="0" borderId="13" xfId="0" applyFont="1" applyBorder="1" applyAlignment="1">
      <alignment vertical="top" wrapText="1"/>
    </xf>
    <xf numFmtId="0" fontId="4" fillId="0" borderId="3" xfId="0" applyFont="1" applyBorder="1" applyAlignment="1">
      <alignment horizontal="left" vertical="top" wrapText="1"/>
    </xf>
    <xf numFmtId="0" fontId="4" fillId="0" borderId="12" xfId="0" applyFont="1" applyBorder="1" applyAlignment="1">
      <alignment horizontal="center" vertical="top" wrapText="1"/>
    </xf>
    <xf numFmtId="0" fontId="4" fillId="0" borderId="6" xfId="0" applyFont="1" applyBorder="1" applyAlignment="1">
      <alignment horizontal="center" vertical="top" wrapText="1"/>
    </xf>
  </cellXfs>
  <cellStyles count="8">
    <cellStyle name="Comma" xfId="5" builtinId="3"/>
    <cellStyle name="Currency" xfId="6" builtinId="4"/>
    <cellStyle name="Normal" xfId="0" builtinId="0"/>
    <cellStyle name="Normal 2" xfId="3" xr:uid="{00000000-0005-0000-0000-000002000000}"/>
    <cellStyle name="Normal 2 2" xfId="4" xr:uid="{A4A51A68-C48F-49A0-AF6C-5F5C7DBA2DBD}"/>
    <cellStyle name="Normal 5" xfId="1" xr:uid="{00000000-0005-0000-0000-000003000000}"/>
    <cellStyle name="Normal_FLQuickRefGuide_4.27.09" xfId="2" xr:uid="{00000000-0005-0000-0000-000004000000}"/>
    <cellStyle name="Percent" xfId="7" builtinId="5"/>
  </cellStyles>
  <dxfs count="33">
    <dxf>
      <font>
        <strike val="0"/>
        <outline val="0"/>
        <shadow val="0"/>
        <u val="none"/>
        <vertAlign val="baseline"/>
        <sz val="12"/>
        <color auto="1"/>
        <name val="Calibri"/>
        <family val="2"/>
        <scheme val="minor"/>
      </font>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auto="1"/>
        <name val="Calibri"/>
        <family val="2"/>
        <scheme val="minor"/>
      </font>
      <numFmt numFmtId="19" formatCode="m/d/yyyy"/>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Calibri"/>
        <family val="2"/>
        <scheme val="minor"/>
      </font>
      <numFmt numFmtId="19" formatCode="m/d/yyyy"/>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auto="1"/>
        <name val="Calibri"/>
        <family val="2"/>
        <scheme val="minor"/>
      </font>
      <numFmt numFmtId="19" formatCode="m/d/yyyy"/>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auto="1"/>
        <name val="Calibri"/>
        <family val="2"/>
        <scheme val="minor"/>
      </font>
      <fill>
        <patternFill patternType="none">
          <fgColor indexed="64"/>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auto="1"/>
        <name val="Arial"/>
        <family val="2"/>
        <scheme val="none"/>
      </font>
      <numFmt numFmtId="3" formatCode="#,##0"/>
      <fill>
        <patternFill patternType="none">
          <fgColor indexed="64"/>
          <bgColor auto="1"/>
        </patternFill>
      </fill>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indexed="8"/>
        <name val="Arial"/>
        <family val="2"/>
        <scheme val="none"/>
      </font>
      <numFmt numFmtId="3" formatCode="#,##0"/>
      <fill>
        <patternFill patternType="none">
          <fgColor indexed="64"/>
          <bgColor auto="1"/>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color indexed="8"/>
        <name val="Arial"/>
        <family val="2"/>
        <scheme val="none"/>
      </font>
      <numFmt numFmtId="3" formatCode="#,##0"/>
      <fill>
        <patternFill patternType="none">
          <fgColor indexed="64"/>
          <bgColor auto="1"/>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color indexed="8"/>
        <name val="Arial"/>
        <family val="2"/>
        <scheme val="none"/>
      </font>
      <numFmt numFmtId="3" formatCode="#,##0"/>
      <fill>
        <patternFill patternType="none">
          <fgColor indexed="64"/>
          <bgColor auto="1"/>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color indexed="8"/>
        <name val="Arial"/>
        <family val="2"/>
        <scheme val="none"/>
      </font>
      <numFmt numFmtId="3" formatCode="#,##0"/>
      <fill>
        <patternFill patternType="none">
          <fgColor indexed="64"/>
          <bgColor auto="1"/>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color indexed="8"/>
        <name val="Arial"/>
        <family val="2"/>
        <scheme val="none"/>
      </font>
      <numFmt numFmtId="3" formatCode="#,##0"/>
      <fill>
        <patternFill patternType="none">
          <fgColor indexed="64"/>
          <bgColor auto="1"/>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color indexed="8"/>
        <name val="Arial"/>
        <family val="2"/>
        <scheme val="none"/>
      </font>
      <numFmt numFmtId="3" formatCode="#,##0"/>
      <fill>
        <patternFill patternType="none">
          <fgColor indexed="64"/>
          <bgColor auto="1"/>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color indexed="8"/>
        <name val="Arial"/>
        <family val="2"/>
        <scheme val="none"/>
      </font>
      <numFmt numFmtId="3" formatCode="#,##0"/>
      <fill>
        <patternFill patternType="none">
          <fgColor indexed="64"/>
          <bgColor auto="1"/>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color indexed="8"/>
        <name val="Arial"/>
        <family val="2"/>
        <scheme val="none"/>
      </font>
      <numFmt numFmtId="3" formatCode="#,##0"/>
      <fill>
        <patternFill patternType="none">
          <fgColor indexed="64"/>
          <bgColor auto="1"/>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color indexed="8"/>
        <name val="Arial"/>
        <family val="2"/>
        <scheme val="none"/>
      </font>
      <numFmt numFmtId="3" formatCode="#,##0"/>
      <fill>
        <patternFill patternType="none">
          <fgColor indexed="64"/>
          <bgColor auto="1"/>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color indexed="8"/>
        <name val="Arial"/>
        <family val="2"/>
        <scheme val="none"/>
      </font>
      <numFmt numFmtId="3" formatCode="#,##0"/>
      <fill>
        <patternFill patternType="none">
          <fgColor indexed="64"/>
          <bgColor auto="1"/>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color indexed="8"/>
        <name val="Arial"/>
        <family val="2"/>
        <scheme val="none"/>
      </font>
      <numFmt numFmtId="3" formatCode="#,##0"/>
      <fill>
        <patternFill patternType="none">
          <fgColor indexed="64"/>
          <bgColor auto="1"/>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color indexed="8"/>
        <name val="Arial"/>
        <family val="2"/>
        <scheme val="none"/>
      </font>
      <numFmt numFmtId="3" formatCode="#,##0"/>
      <fill>
        <patternFill patternType="none">
          <fgColor indexed="64"/>
          <bgColor auto="1"/>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color indexed="8"/>
        <name val="Arial"/>
        <family val="2"/>
        <scheme val="none"/>
      </font>
      <numFmt numFmtId="3" formatCode="#,##0"/>
      <fill>
        <patternFill patternType="none">
          <fgColor indexed="64"/>
          <bgColor auto="1"/>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color indexed="8"/>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color indexed="8"/>
        <name val="Arial"/>
        <family val="2"/>
        <scheme val="none"/>
      </font>
      <fill>
        <patternFill patternType="none">
          <fgColor indexed="64"/>
          <bgColor auto="1"/>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color indexed="8"/>
        <name val="Arial"/>
        <family val="2"/>
        <scheme val="none"/>
      </font>
      <fill>
        <patternFill patternType="none">
          <fgColor indexed="64"/>
          <bgColor auto="1"/>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color indexed="8"/>
        <name val="Arial"/>
        <family val="2"/>
        <scheme val="none"/>
      </font>
      <fill>
        <patternFill patternType="none">
          <fgColor indexed="64"/>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indexed="8"/>
        <name val="Arial"/>
        <family val="2"/>
        <scheme val="none"/>
      </font>
      <numFmt numFmtId="165" formatCode="00000"/>
      <fill>
        <patternFill patternType="none">
          <fgColor indexed="64"/>
          <bgColor auto="1"/>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0"/>
        <color indexed="8"/>
        <name val="Arial"/>
        <family val="2"/>
        <scheme val="none"/>
      </font>
      <fill>
        <patternFill patternType="none">
          <fgColor indexed="64"/>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indexed="8"/>
        <name val="Arial"/>
        <family val="2"/>
        <scheme val="none"/>
      </font>
      <fill>
        <patternFill patternType="none">
          <fgColor indexed="64"/>
          <bgColor auto="1"/>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2"/>
        <color indexed="8"/>
        <name val="Arial"/>
        <family val="2"/>
        <scheme val="none"/>
      </font>
      <fill>
        <patternFill patternType="none">
          <fgColor indexed="64"/>
          <bgColor auto="1"/>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10"/>
        <color indexed="8"/>
        <name val="Arial"/>
        <family val="2"/>
        <scheme val="none"/>
      </font>
      <fill>
        <patternFill patternType="none">
          <fgColor indexed="64"/>
          <bgColor auto="1"/>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2"/>
        <name val="Times New Roman"/>
        <family val="1"/>
        <scheme val="none"/>
      </font>
      <numFmt numFmtId="1" formatCode="0"/>
      <border diagonalUp="0" diagonalDown="0" outline="0">
        <left style="thin">
          <color indexed="64"/>
        </left>
        <right style="thin">
          <color indexed="64"/>
        </right>
        <top/>
        <bottom/>
      </border>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12"/>
        <color auto="1"/>
        <name val="Times New Roman"/>
        <family val="1"/>
        <scheme val="none"/>
      </font>
      <numFmt numFmtId="1" formatCode="0"/>
      <fill>
        <patternFill patternType="none">
          <fgColor indexed="64"/>
          <bgColor auto="1"/>
        </patternFill>
      </fill>
    </dxf>
    <dxf>
      <border>
        <bottom style="thin">
          <color indexed="64"/>
        </bottom>
      </border>
    </dxf>
    <dxf>
      <font>
        <b/>
        <i val="0"/>
        <strike val="0"/>
        <condense val="0"/>
        <extend val="0"/>
        <outline val="0"/>
        <shadow val="0"/>
        <u val="none"/>
        <vertAlign val="baseline"/>
        <sz val="12"/>
        <color auto="1"/>
        <name val="Times New Roman"/>
        <family val="1"/>
        <scheme val="none"/>
      </font>
      <numFmt numFmtId="1" formatCode="0"/>
      <fill>
        <patternFill patternType="solid">
          <fgColor indexed="64"/>
          <bgColor theme="0" tint="-0.249977111117893"/>
        </patternFill>
      </fill>
      <alignment horizontal="left" vertical="bottom"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colors>
    <mruColors>
      <color rgb="FFB2B2B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18" Type="http://schemas.openxmlformats.org/officeDocument/2006/relationships/customXml" Target="../customXml/item4.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customXml" Target="../customXml/item5.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4608619</xdr:colOff>
      <xdr:row>0</xdr:row>
      <xdr:rowOff>83608</xdr:rowOff>
    </xdr:from>
    <xdr:to>
      <xdr:col>0</xdr:col>
      <xdr:colOff>6893560</xdr:colOff>
      <xdr:row>0</xdr:row>
      <xdr:rowOff>1359320</xdr:rowOff>
    </xdr:to>
    <xdr:pic>
      <xdr:nvPicPr>
        <xdr:cNvPr id="3" name="Picture 2">
          <a:extLst>
            <a:ext uri="{FF2B5EF4-FFF2-40B4-BE49-F238E27FC236}">
              <a16:creationId xmlns:a16="http://schemas.microsoft.com/office/drawing/2014/main" id="{4F9C0D97-4F26-44E2-ACA1-F68B45CE10D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608619" y="83608"/>
          <a:ext cx="2284941" cy="1275712"/>
        </a:xfrm>
        <a:prstGeom prst="rect">
          <a:avLst/>
        </a:prstGeom>
      </xdr:spPr>
    </xdr:pic>
    <xdr:clientData/>
  </xdr:twoCellAnchor>
</xdr:wsDr>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98B570B6-0632-4A1D-9CCF-B056DE625A43}">
    <nsvFilter filterId="{61BD7780-12DE-4870-B406-61B4C7C077E2}" ref="A7:AB129" tableId="1">
      <columnFilter colId="5" id="{F2A50B49-C027-4207-BE23-3CA9FDE60447}">
        <filter colId="5">
          <x:filters>
            <x:filter val="DAL"/>
            <x:filter val="ELP"/>
            <x:filter val="HLG"/>
            <x:filter val="HOU"/>
            <x:filter val="SNA"/>
            <x:filter val="SPM"/>
          </x:filters>
        </filter>
      </columnFilter>
      <sortRules>
        <sortRule colId="0" id="{6BEFD6BE-9CF1-4406-A460-8A795BE68DE8}">
          <sortCondition ref="A7:A129"/>
        </sortRule>
      </sortRules>
    </nsvFilter>
  </namedSheetView>
</namedSheetView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8504885-EF3F-4F3C-AA66-A3B5CF9820AA}" name="Table_Facility_List_Staging_8_26_2013.accdb_11432" displayName="Table_Facility_List_Staging_8_26_2013.accdb_11432" ref="A7:AB129" headerRowDxfId="32" dataDxfId="30" totalsRowDxfId="28" headerRowBorderDxfId="31" tableBorderDxfId="29">
  <autoFilter ref="A7:AB129" xr:uid="{61BD7780-12DE-4870-B406-61B4C7C077E2}"/>
  <sortState xmlns:xlrd2="http://schemas.microsoft.com/office/spreadsheetml/2017/richdata2" ref="A8:AB129">
    <sortCondition ref="A7:A129"/>
  </sortState>
  <tableColumns count="28">
    <tableColumn id="2" xr3:uid="{6BEFD6BE-9CF1-4406-A460-8A795BE68DE8}" name="Name" dataDxfId="27"/>
    <tableColumn id="3" xr3:uid="{E40FBC42-9A55-4CD1-AFFB-BCAD88ECC45B}" name="Address" dataDxfId="26"/>
    <tableColumn id="4" xr3:uid="{F4B175D2-9F7A-485C-87AC-830F979B2E53}" name="City" dataDxfId="25"/>
    <tableColumn id="6" xr3:uid="{7CB8DD89-F7CF-434B-8ECF-6D70943BF530}" name="State" dataDxfId="24"/>
    <tableColumn id="7" xr3:uid="{BAF4FD7A-ECBF-4073-8025-BC1029EA8DB0}" name="Zip" dataDxfId="23"/>
    <tableColumn id="9" xr3:uid="{F2A50B49-C027-4207-BE23-3CA9FDE60447}" name="AOR" dataDxfId="22"/>
    <tableColumn id="12" xr3:uid="{818351B8-1E01-4EE2-8A89-8E703E73A633}" name="Type Detailed" dataDxfId="21"/>
    <tableColumn id="81" xr3:uid="{9E2443AA-873D-48CB-8786-DC44A7A38377}" name="Male/Female" dataDxfId="20"/>
    <tableColumn id="43" xr3:uid="{146BED58-808D-40E6-B4AA-C52A174518E7}" name="FY25 ALOS" dataDxfId="19"/>
    <tableColumn id="67" xr3:uid="{E0A89CE1-8847-4228-80E6-3884F7851DD2}" name="Level A" dataDxfId="18"/>
    <tableColumn id="68" xr3:uid="{3E2287BA-0092-4E75-BB1E-285BAAF26D51}" name="Level B" dataDxfId="17"/>
    <tableColumn id="69" xr3:uid="{8A4DF449-9EB0-4A17-BCF2-9E2BB96D8429}" name="Level C" dataDxfId="16"/>
    <tableColumn id="70" xr3:uid="{D8E3E1B4-F414-44A9-BEF2-9937B934E569}" name="Level D" dataDxfId="15"/>
    <tableColumn id="71" xr3:uid="{FD3FF04A-1F45-4ED7-941A-4DE97B00F263}" name="Male Crim" dataDxfId="14"/>
    <tableColumn id="72" xr3:uid="{45201D24-BD47-4EAF-B470-642B6B12175B}" name="Male Non-Crim" dataDxfId="13"/>
    <tableColumn id="73" xr3:uid="{3C511409-0F6E-4ED0-8FA7-E94797908882}" name="Female Crim" dataDxfId="12"/>
    <tableColumn id="74" xr3:uid="{C7352DEB-1891-49EE-A339-5B3B4DE3AEF1}" name="Female Non-Crim" dataDxfId="11"/>
    <tableColumn id="75" xr3:uid="{6735C54E-D04B-4FDE-8CFA-3AF9AE33CFD5}" name="ICE Threat Level 1" dataDxfId="10"/>
    <tableColumn id="76" xr3:uid="{E8C8B9A2-EE51-4CEF-87DB-C08875632A92}" name="ICE Threat Level 2" dataDxfId="9"/>
    <tableColumn id="77" xr3:uid="{A4FE6552-7455-4024-ADA6-E086E6EB529C}" name="ICE Threat Level 3" dataDxfId="8"/>
    <tableColumn id="78" xr3:uid="{E588D369-CF2C-480B-8AE9-D3B1814376A1}" name="No ICE Threat Level" dataDxfId="7"/>
    <tableColumn id="79" xr3:uid="{E2B1900B-69BA-466B-B1E9-1BD1CFFDCFE5}" name="Mandatory" dataDxfId="6"/>
    <tableColumn id="86" xr3:uid="{4A15D919-7B74-4230-B40C-36AFEEA77793}" name="Guaranteed Minimum" dataDxfId="5"/>
    <tableColumn id="124" xr3:uid="{D2C84094-1DD7-41D4-9F68-989690839188}" name="Last Inspection Type" dataDxfId="4"/>
    <tableColumn id="10" xr3:uid="{9BCFD770-A7D6-476E-914F-F546A2262FA4}" name="Last Inspection End Date" dataDxfId="3"/>
    <tableColumn id="5" xr3:uid="{E8EF3EEF-D988-44DF-A6D8-CCC2D7E8E931}" name="Pending FY25 Inspection" dataDxfId="2"/>
    <tableColumn id="1" xr3:uid="{7C944B88-2E7F-4537-B949-E16BAF0B5E18}" name="Last Inspection Standard" dataDxfId="1"/>
    <tableColumn id="8" xr3:uid="{5C21C0DC-032F-456F-94E2-B3D4FADBEAFB}" name="Last Final Rating" dataDxfId="0"/>
  </tableColumns>
  <tableStyleInfo showFirstColumn="0" showLastColumn="0" showRowStripes="0"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microsoft.com/office/2019/04/relationships/namedSheetView" Target="../namedSheetViews/namedSheetView1.xml"/><Relationship Id="rId2" Type="http://schemas.openxmlformats.org/officeDocument/2006/relationships/table" Target="../tables/table1.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6"/>
  <sheetViews>
    <sheetView zoomScale="80" zoomScaleNormal="80" workbookViewId="0"/>
  </sheetViews>
  <sheetFormatPr defaultColWidth="0" defaultRowHeight="15" zeroHeight="1" x14ac:dyDescent="0.25"/>
  <cols>
    <col min="1" max="1" width="110.42578125" customWidth="1"/>
    <col min="2" max="16384" width="8.85546875" hidden="1"/>
  </cols>
  <sheetData>
    <row r="1" spans="1:1" ht="119.1" customHeight="1" x14ac:dyDescent="0.25">
      <c r="A1" s="5" t="s">
        <v>0</v>
      </c>
    </row>
    <row r="2" spans="1:1" ht="51.75" customHeight="1" x14ac:dyDescent="0.25">
      <c r="A2" s="4" t="s">
        <v>1</v>
      </c>
    </row>
    <row r="3" spans="1:1" ht="76.349999999999994" customHeight="1" x14ac:dyDescent="0.25">
      <c r="A3" s="4" t="s">
        <v>2</v>
      </c>
    </row>
    <row r="4" spans="1:1" ht="22.5" customHeight="1" x14ac:dyDescent="0.25">
      <c r="A4" s="4" t="s">
        <v>3</v>
      </c>
    </row>
    <row r="5" spans="1:1" ht="36.75" customHeight="1" x14ac:dyDescent="0.25">
      <c r="A5" s="4" t="s">
        <v>4</v>
      </c>
    </row>
    <row r="6" spans="1:1" x14ac:dyDescent="0.25"/>
  </sheetData>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198F7A-9CB3-4DB1-85B9-F6456A378C28}">
  <sheetPr>
    <tabColor theme="0"/>
  </sheetPr>
  <dimension ref="A1:BC172"/>
  <sheetViews>
    <sheetView showGridLines="0" tabSelected="1" zoomScaleNormal="100" zoomScalePageLayoutView="110" workbookViewId="0">
      <selection activeCell="C8" sqref="C8"/>
    </sheetView>
  </sheetViews>
  <sheetFormatPr defaultRowHeight="15.75" x14ac:dyDescent="0.25"/>
  <cols>
    <col min="1" max="1" width="17.5703125" bestFit="1" customWidth="1"/>
    <col min="2" max="2" width="9.85546875" bestFit="1" customWidth="1"/>
    <col min="3" max="3" width="16.5703125" bestFit="1" customWidth="1"/>
    <col min="4" max="4" width="11.5703125" customWidth="1"/>
    <col min="5" max="5" width="20.5703125" customWidth="1"/>
    <col min="6" max="6" width="13.42578125" style="94" customWidth="1"/>
    <col min="7" max="7" width="15.85546875" style="93" customWidth="1"/>
    <col min="8" max="8" width="19.5703125" customWidth="1"/>
    <col min="9" max="9" width="15" customWidth="1"/>
    <col min="12" max="12" width="8.7109375" style="3"/>
  </cols>
  <sheetData>
    <row r="1" spans="1:55" ht="38.450000000000003" customHeight="1" x14ac:dyDescent="0.25">
      <c r="A1" s="364" t="s">
        <v>489</v>
      </c>
      <c r="B1" s="364"/>
      <c r="C1" s="364"/>
      <c r="D1" s="364"/>
      <c r="E1" s="364"/>
      <c r="F1" s="364"/>
      <c r="G1" s="364"/>
      <c r="H1" s="3"/>
      <c r="I1" s="3"/>
      <c r="J1" s="3"/>
      <c r="K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row>
    <row r="2" spans="1:55" ht="15.6" customHeight="1" x14ac:dyDescent="0.25">
      <c r="A2" s="365" t="s">
        <v>1</v>
      </c>
      <c r="B2" s="365"/>
      <c r="C2" s="365"/>
      <c r="D2" s="365"/>
      <c r="E2" s="365"/>
      <c r="F2" s="365"/>
      <c r="G2" s="365"/>
      <c r="H2" s="3"/>
      <c r="I2" s="3"/>
      <c r="J2" s="3"/>
      <c r="K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row>
    <row r="3" spans="1:55" ht="15" customHeight="1" x14ac:dyDescent="0.25">
      <c r="A3" s="365"/>
      <c r="B3" s="365"/>
      <c r="C3" s="365"/>
      <c r="D3" s="365"/>
      <c r="E3" s="365"/>
      <c r="F3" s="365"/>
      <c r="G3" s="365"/>
      <c r="H3" s="3"/>
      <c r="I3" s="3"/>
      <c r="J3" s="3"/>
      <c r="K3" s="3"/>
      <c r="M3" s="3"/>
      <c r="N3" s="3"/>
      <c r="O3" s="3"/>
      <c r="P3" s="3"/>
      <c r="Q3" s="3"/>
      <c r="R3" s="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row>
    <row r="4" spans="1:55" ht="26.25" x14ac:dyDescent="0.25">
      <c r="A4" s="366" t="s">
        <v>760</v>
      </c>
      <c r="B4" s="366"/>
      <c r="C4" s="366"/>
      <c r="D4" s="366"/>
      <c r="E4" s="366"/>
      <c r="F4" s="366"/>
      <c r="G4" s="366"/>
      <c r="H4" s="149"/>
      <c r="I4" s="3"/>
      <c r="J4" s="3"/>
      <c r="K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row>
    <row r="5" spans="1:55" ht="26.25" x14ac:dyDescent="0.25">
      <c r="A5" s="150"/>
      <c r="B5" s="150"/>
      <c r="C5" s="150"/>
      <c r="D5" s="150"/>
      <c r="E5" s="150"/>
      <c r="F5" s="150"/>
      <c r="G5" s="150"/>
      <c r="H5" s="149"/>
      <c r="I5" s="3"/>
      <c r="J5" s="3"/>
      <c r="K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row>
    <row r="6" spans="1:55" x14ac:dyDescent="0.25">
      <c r="A6" s="118"/>
      <c r="B6" s="118"/>
      <c r="C6" s="118"/>
      <c r="D6" s="3"/>
      <c r="E6" s="3"/>
      <c r="F6" s="107"/>
      <c r="G6" s="108"/>
      <c r="H6" s="3"/>
      <c r="I6" s="3"/>
      <c r="J6" s="3"/>
      <c r="K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row>
    <row r="7" spans="1:55" x14ac:dyDescent="0.25">
      <c r="A7" s="360" t="s">
        <v>759</v>
      </c>
      <c r="B7" s="360"/>
      <c r="C7" s="360"/>
      <c r="D7" s="143"/>
      <c r="E7" s="3"/>
      <c r="F7" s="107"/>
      <c r="G7" s="108"/>
      <c r="H7" s="3"/>
      <c r="I7" s="3"/>
      <c r="J7" s="3"/>
      <c r="K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row>
    <row r="8" spans="1:55" x14ac:dyDescent="0.25">
      <c r="A8" s="140" t="s">
        <v>758</v>
      </c>
      <c r="B8" s="140" t="s">
        <v>736</v>
      </c>
      <c r="C8" s="140" t="s">
        <v>757</v>
      </c>
      <c r="D8" s="3"/>
      <c r="E8" s="367" t="s">
        <v>756</v>
      </c>
      <c r="F8" s="367"/>
      <c r="G8" s="367"/>
      <c r="H8" s="3"/>
      <c r="I8" s="3"/>
      <c r="J8" s="3"/>
      <c r="K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row>
    <row r="9" spans="1:55" x14ac:dyDescent="0.25">
      <c r="A9" s="129" t="s">
        <v>706</v>
      </c>
      <c r="B9" s="132">
        <v>160515</v>
      </c>
      <c r="C9" s="144">
        <v>154094.40000018981</v>
      </c>
      <c r="D9" s="3"/>
      <c r="E9" s="139" t="s">
        <v>749</v>
      </c>
      <c r="F9" s="148" t="s">
        <v>736</v>
      </c>
      <c r="G9" s="147" t="s">
        <v>748</v>
      </c>
      <c r="H9" s="3"/>
      <c r="I9" s="3"/>
      <c r="J9" s="3"/>
      <c r="K9" s="3"/>
      <c r="M9" s="3"/>
      <c r="N9" s="3"/>
      <c r="O9" s="3"/>
      <c r="P9" s="3"/>
      <c r="Q9" s="3"/>
      <c r="R9" s="3"/>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row>
    <row r="10" spans="1:55" x14ac:dyDescent="0.25">
      <c r="A10" s="129" t="s">
        <v>704</v>
      </c>
      <c r="B10" s="136">
        <v>17827</v>
      </c>
      <c r="C10" s="142">
        <v>48845.979999996482</v>
      </c>
      <c r="D10" s="3"/>
      <c r="E10" s="15" t="s">
        <v>746</v>
      </c>
      <c r="F10" s="134">
        <v>26571</v>
      </c>
      <c r="G10" s="133">
        <v>0.98699999999999999</v>
      </c>
      <c r="H10" s="3"/>
      <c r="I10" s="121"/>
      <c r="J10" s="3"/>
      <c r="K10" s="3"/>
      <c r="M10" s="3"/>
      <c r="N10" s="3"/>
      <c r="O10" s="3"/>
      <c r="P10" s="3"/>
      <c r="Q10" s="3"/>
      <c r="R10" s="3"/>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row>
    <row r="11" spans="1:55" x14ac:dyDescent="0.25">
      <c r="A11" s="129" t="s">
        <v>703</v>
      </c>
      <c r="B11" s="132">
        <v>5383</v>
      </c>
      <c r="C11" s="144">
        <v>24223.5</v>
      </c>
      <c r="D11" s="3"/>
      <c r="E11" s="15" t="s">
        <v>744</v>
      </c>
      <c r="F11" s="146">
        <v>357</v>
      </c>
      <c r="G11" s="145">
        <v>1.2999999999999999E-2</v>
      </c>
      <c r="H11" s="3"/>
      <c r="I11" s="3"/>
      <c r="J11" s="3"/>
      <c r="K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row>
    <row r="12" spans="1:55" x14ac:dyDescent="0.25">
      <c r="A12" s="129" t="s">
        <v>708</v>
      </c>
      <c r="B12" s="132">
        <v>1676</v>
      </c>
      <c r="C12" s="144">
        <v>301.68000000000887</v>
      </c>
      <c r="D12" s="3"/>
      <c r="E12" s="127" t="s">
        <v>734</v>
      </c>
      <c r="F12" s="131">
        <v>26928</v>
      </c>
      <c r="G12" s="130">
        <v>1</v>
      </c>
      <c r="H12" s="3"/>
      <c r="I12" s="3"/>
      <c r="J12" s="3"/>
      <c r="K12" s="3"/>
      <c r="M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row>
    <row r="13" spans="1:55" x14ac:dyDescent="0.25">
      <c r="A13" s="129" t="s">
        <v>705</v>
      </c>
      <c r="B13" s="132">
        <v>108</v>
      </c>
      <c r="C13" s="144">
        <v>399.59999999999923</v>
      </c>
      <c r="D13" s="143"/>
      <c r="E13" s="124" t="s">
        <v>755</v>
      </c>
      <c r="F13" s="124"/>
      <c r="G13" s="124"/>
      <c r="H13" s="3"/>
      <c r="I13" s="3"/>
      <c r="J13" s="3"/>
      <c r="K13" s="3"/>
      <c r="M13" s="3"/>
      <c r="N13" s="3"/>
      <c r="O13" s="3"/>
      <c r="P13" s="3"/>
      <c r="Q13" s="3"/>
      <c r="R13" s="3"/>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row>
    <row r="14" spans="1:55" x14ac:dyDescent="0.25">
      <c r="A14" s="129" t="s">
        <v>720</v>
      </c>
      <c r="B14" s="136">
        <v>2</v>
      </c>
      <c r="C14" s="142">
        <v>0</v>
      </c>
      <c r="D14" s="3"/>
      <c r="E14" s="358" t="s">
        <v>740</v>
      </c>
      <c r="F14" s="358"/>
      <c r="G14" s="358"/>
      <c r="H14" s="3"/>
      <c r="I14" s="3"/>
      <c r="J14" s="3"/>
      <c r="K14" s="3"/>
      <c r="M14" s="3"/>
      <c r="N14" s="3"/>
      <c r="O14" s="3"/>
      <c r="P14" s="3"/>
      <c r="Q14" s="3"/>
      <c r="R14" s="3"/>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row>
    <row r="15" spans="1:55" x14ac:dyDescent="0.25">
      <c r="A15" s="127" t="s">
        <v>734</v>
      </c>
      <c r="B15" s="126">
        <v>185511</v>
      </c>
      <c r="C15" s="141">
        <v>227865.15999979328</v>
      </c>
      <c r="D15" s="3"/>
      <c r="E15" s="124"/>
      <c r="F15" s="124"/>
      <c r="G15" s="124"/>
      <c r="H15" s="3"/>
      <c r="I15" s="3"/>
      <c r="J15" s="3"/>
      <c r="K15" s="3"/>
      <c r="M15" s="3"/>
      <c r="N15" s="3"/>
      <c r="O15" s="3"/>
      <c r="P15" s="3"/>
      <c r="Q15" s="3"/>
      <c r="R15" s="3"/>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row>
    <row r="16" spans="1:55" ht="20.100000000000001" customHeight="1" x14ac:dyDescent="0.25">
      <c r="A16" s="359" t="s">
        <v>754</v>
      </c>
      <c r="B16" s="359"/>
      <c r="C16" s="359"/>
      <c r="E16" s="124"/>
      <c r="F16" s="124"/>
      <c r="G16" s="124"/>
      <c r="H16" s="3"/>
      <c r="I16" s="121"/>
      <c r="J16" s="3"/>
      <c r="K16" s="3"/>
      <c r="M16" s="3"/>
      <c r="N16" s="3"/>
      <c r="O16" s="3"/>
      <c r="P16" s="3"/>
      <c r="Q16" s="3"/>
      <c r="R16" s="3"/>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row>
    <row r="17" spans="1:55" ht="48.6" customHeight="1" x14ac:dyDescent="0.25">
      <c r="A17" s="359" t="s">
        <v>753</v>
      </c>
      <c r="B17" s="359"/>
      <c r="C17" s="359"/>
      <c r="D17" s="3"/>
      <c r="E17" s="124"/>
      <c r="F17" s="124"/>
      <c r="G17" s="124"/>
      <c r="H17" s="3"/>
      <c r="I17" s="3"/>
      <c r="J17" s="3"/>
      <c r="K17" s="3"/>
      <c r="M17" s="3"/>
      <c r="N17" s="3"/>
      <c r="O17" s="3"/>
      <c r="P17" s="3"/>
      <c r="Q17" s="3"/>
      <c r="R17" s="3"/>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row>
    <row r="18" spans="1:55" ht="13.5" customHeight="1" x14ac:dyDescent="0.25">
      <c r="A18" s="122"/>
      <c r="B18" s="122"/>
      <c r="C18" s="122"/>
      <c r="D18" s="3"/>
      <c r="E18" s="358"/>
      <c r="F18" s="358"/>
      <c r="G18" s="358"/>
      <c r="H18" s="3"/>
      <c r="I18" s="3"/>
      <c r="J18" s="3"/>
      <c r="K18" s="3"/>
      <c r="M18" s="3"/>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row>
    <row r="19" spans="1:55" ht="31.5" customHeight="1" x14ac:dyDescent="0.25">
      <c r="A19" s="360" t="s">
        <v>752</v>
      </c>
      <c r="B19" s="360"/>
      <c r="C19" s="360"/>
      <c r="D19" s="3"/>
      <c r="E19" s="361" t="s">
        <v>751</v>
      </c>
      <c r="F19" s="362"/>
      <c r="G19" s="362"/>
      <c r="H19" s="121"/>
      <c r="I19" s="3"/>
      <c r="J19" s="3"/>
      <c r="K19" s="3"/>
      <c r="M19" s="3"/>
      <c r="N19" s="3"/>
      <c r="O19" s="3"/>
      <c r="P19" s="3"/>
      <c r="Q19" s="3"/>
      <c r="R19" s="3"/>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row>
    <row r="20" spans="1:55" ht="15" customHeight="1" x14ac:dyDescent="0.25">
      <c r="A20" s="140" t="s">
        <v>750</v>
      </c>
      <c r="B20" s="140" t="s">
        <v>736</v>
      </c>
      <c r="C20" s="140" t="s">
        <v>575</v>
      </c>
      <c r="D20" s="3"/>
      <c r="E20" s="139" t="s">
        <v>749</v>
      </c>
      <c r="F20" s="138" t="s">
        <v>736</v>
      </c>
      <c r="G20" s="137" t="s">
        <v>748</v>
      </c>
      <c r="H20" s="3"/>
      <c r="I20" s="121"/>
      <c r="J20" s="3"/>
      <c r="K20" s="3"/>
      <c r="M20" s="3"/>
      <c r="N20" s="3"/>
      <c r="O20" s="3"/>
      <c r="P20" s="3"/>
      <c r="Q20" s="3"/>
      <c r="R20" s="3"/>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row>
    <row r="21" spans="1:55" x14ac:dyDescent="0.25">
      <c r="A21" s="129" t="s">
        <v>747</v>
      </c>
      <c r="B21" s="136">
        <v>87058</v>
      </c>
      <c r="C21" s="135">
        <v>656.45730432585174</v>
      </c>
      <c r="D21" s="3"/>
      <c r="E21" s="15" t="s">
        <v>746</v>
      </c>
      <c r="F21" s="134">
        <v>2688</v>
      </c>
      <c r="G21" s="133">
        <v>0.88300000000000001</v>
      </c>
      <c r="H21" s="3"/>
      <c r="I21" s="3"/>
      <c r="J21" s="3"/>
      <c r="K21" s="3"/>
      <c r="M21" s="3"/>
      <c r="N21" s="3"/>
      <c r="O21" s="3"/>
      <c r="P21" s="3"/>
      <c r="Q21" s="3"/>
      <c r="R21" s="3"/>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row>
    <row r="22" spans="1:55" x14ac:dyDescent="0.25">
      <c r="A22" s="129" t="s">
        <v>745</v>
      </c>
      <c r="B22" s="136">
        <v>2</v>
      </c>
      <c r="C22" s="135">
        <v>1286.5</v>
      </c>
      <c r="D22" s="3"/>
      <c r="E22" s="15" t="s">
        <v>744</v>
      </c>
      <c r="F22" s="134">
        <v>357</v>
      </c>
      <c r="G22" s="133">
        <v>0.11700000000000001</v>
      </c>
      <c r="H22" s="3"/>
      <c r="I22" s="3"/>
      <c r="J22" s="3"/>
      <c r="K22" s="3"/>
      <c r="M22" s="3"/>
      <c r="N22" s="3"/>
      <c r="O22" s="3"/>
      <c r="P22" s="3"/>
      <c r="Q22" s="3"/>
      <c r="R22" s="3"/>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row>
    <row r="23" spans="1:55" x14ac:dyDescent="0.25">
      <c r="A23" s="129" t="s">
        <v>743</v>
      </c>
      <c r="B23" s="132">
        <v>98450</v>
      </c>
      <c r="C23" s="128">
        <v>614.12686642965969</v>
      </c>
      <c r="D23" s="3"/>
      <c r="E23" s="127" t="s">
        <v>734</v>
      </c>
      <c r="F23" s="131">
        <v>3045</v>
      </c>
      <c r="G23" s="130">
        <v>1</v>
      </c>
      <c r="H23" s="3"/>
      <c r="I23" s="3"/>
      <c r="J23" s="3"/>
      <c r="K23" s="3"/>
      <c r="M23" s="3"/>
      <c r="N23" s="3"/>
      <c r="O23" s="3"/>
      <c r="P23" s="3"/>
      <c r="Q23" s="3"/>
      <c r="R23" s="3"/>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row>
    <row r="24" spans="1:55" x14ac:dyDescent="0.25">
      <c r="A24" s="129" t="s">
        <v>742</v>
      </c>
      <c r="B24">
        <v>1</v>
      </c>
      <c r="C24" s="128">
        <v>1325</v>
      </c>
      <c r="D24" s="3"/>
      <c r="E24" s="358" t="s">
        <v>741</v>
      </c>
      <c r="F24" s="358"/>
      <c r="G24" s="358"/>
      <c r="H24" s="3"/>
      <c r="I24" s="121"/>
      <c r="J24" s="3"/>
      <c r="K24" s="3"/>
      <c r="M24" s="3"/>
      <c r="N24" s="3"/>
      <c r="O24" s="3"/>
      <c r="P24" s="3"/>
      <c r="Q24" s="3"/>
      <c r="R24" s="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row>
    <row r="25" spans="1:55" ht="17.45" customHeight="1" x14ac:dyDescent="0.25">
      <c r="A25" s="127" t="s">
        <v>734</v>
      </c>
      <c r="B25" s="126">
        <v>185511</v>
      </c>
      <c r="C25" s="125">
        <v>634.00309415614163</v>
      </c>
      <c r="D25" s="3"/>
      <c r="E25" s="358" t="s">
        <v>740</v>
      </c>
      <c r="F25" s="358"/>
      <c r="G25" s="358"/>
      <c r="H25" s="3"/>
      <c r="I25" s="3"/>
      <c r="J25" s="3"/>
      <c r="K25" s="3"/>
      <c r="M25" s="3"/>
      <c r="N25" s="3"/>
      <c r="O25" s="3"/>
      <c r="P25" s="3"/>
      <c r="Q25" s="3"/>
      <c r="R25" s="3"/>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row>
    <row r="26" spans="1:55" x14ac:dyDescent="0.25">
      <c r="A26" s="359" t="str">
        <f>A16</f>
        <v>Data from BI Inc. Participants Report, 2.21.2025</v>
      </c>
      <c r="B26" s="359"/>
      <c r="C26" s="359"/>
      <c r="D26" s="121"/>
      <c r="E26" s="118"/>
      <c r="F26" s="123"/>
      <c r="G26" s="108"/>
      <c r="I26" s="3"/>
      <c r="J26" s="3"/>
      <c r="K26" s="3"/>
      <c r="M26" s="3"/>
      <c r="N26" s="3"/>
      <c r="O26" s="3"/>
      <c r="P26" s="3"/>
      <c r="Q26" s="3"/>
      <c r="R26" s="3"/>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row>
    <row r="27" spans="1:55" x14ac:dyDescent="0.25">
      <c r="A27" s="359" t="s">
        <v>739</v>
      </c>
      <c r="B27" s="359"/>
      <c r="C27" s="359"/>
      <c r="D27" s="121"/>
      <c r="F27" s="120"/>
      <c r="G27" s="119"/>
      <c r="H27" s="3"/>
      <c r="I27" s="3"/>
      <c r="J27" s="3"/>
      <c r="K27" s="3"/>
      <c r="M27" s="3"/>
      <c r="N27" s="3"/>
      <c r="O27" s="3"/>
      <c r="P27" s="3"/>
      <c r="Q27" s="3"/>
      <c r="R27" s="3"/>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row>
    <row r="28" spans="1:55" x14ac:dyDescent="0.25">
      <c r="A28" s="363"/>
      <c r="B28" s="363"/>
      <c r="C28" s="363"/>
      <c r="D28" s="3"/>
      <c r="E28" s="3"/>
      <c r="F28" s="107"/>
      <c r="G28" s="108"/>
      <c r="H28" s="3"/>
      <c r="I28" s="3"/>
      <c r="J28" s="3"/>
      <c r="K28" s="3"/>
      <c r="M28" s="3"/>
      <c r="N28" s="3"/>
      <c r="O28" s="3"/>
      <c r="P28" s="3"/>
      <c r="Q28" s="3"/>
      <c r="R28" s="3"/>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row>
    <row r="29" spans="1:55" ht="10.5" customHeight="1" x14ac:dyDescent="0.25">
      <c r="A29" s="363"/>
      <c r="B29" s="363"/>
      <c r="C29" s="363"/>
      <c r="D29" s="3"/>
      <c r="E29" s="3"/>
      <c r="F29" s="107"/>
      <c r="G29" s="108"/>
      <c r="H29" s="3"/>
      <c r="I29" s="3"/>
      <c r="J29" s="3"/>
      <c r="K29" s="3"/>
      <c r="M29" s="3"/>
      <c r="N29" s="3"/>
      <c r="O29" s="3"/>
      <c r="P29" s="3"/>
      <c r="Q29" s="3"/>
      <c r="R29" s="3"/>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row>
    <row r="30" spans="1:55" ht="36.6" customHeight="1" thickBot="1" x14ac:dyDescent="0.3">
      <c r="A30" s="363" t="s">
        <v>738</v>
      </c>
      <c r="B30" s="363"/>
      <c r="C30" s="363"/>
      <c r="D30" s="3"/>
      <c r="E30" s="3"/>
      <c r="F30" s="107"/>
      <c r="G30" s="108"/>
      <c r="H30" s="3"/>
      <c r="I30" s="3"/>
      <c r="J30" s="3"/>
      <c r="K30" s="3"/>
      <c r="M30" s="3"/>
      <c r="N30" s="3"/>
      <c r="O30" s="3"/>
      <c r="P30" s="3"/>
      <c r="Q30" s="3"/>
      <c r="R30" s="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row>
    <row r="31" spans="1:55" ht="32.25" thickBot="1" x14ac:dyDescent="0.3">
      <c r="A31" s="117" t="s">
        <v>737</v>
      </c>
      <c r="B31" s="117" t="s">
        <v>736</v>
      </c>
      <c r="C31" s="117" t="s">
        <v>735</v>
      </c>
      <c r="D31" s="3"/>
      <c r="E31" s="3"/>
      <c r="F31" s="107"/>
      <c r="G31" s="108"/>
      <c r="H31" s="3"/>
      <c r="I31" s="3"/>
      <c r="J31" s="3"/>
      <c r="K31" s="3"/>
      <c r="M31" s="3"/>
      <c r="N31" s="3"/>
      <c r="O31" s="3"/>
      <c r="P31" s="3"/>
      <c r="Q31" s="3"/>
      <c r="R31" s="3"/>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row>
    <row r="32" spans="1:55" ht="16.5" thickBot="1" x14ac:dyDescent="0.3">
      <c r="A32" s="116" t="s">
        <v>734</v>
      </c>
      <c r="B32" s="115">
        <v>185511</v>
      </c>
      <c r="C32" s="114">
        <v>634.00309415614163</v>
      </c>
      <c r="D32" s="112"/>
      <c r="E32" s="3"/>
      <c r="F32" s="107"/>
      <c r="G32" s="108"/>
      <c r="H32" s="3"/>
      <c r="I32" s="3"/>
      <c r="J32" s="3"/>
      <c r="K32" s="3"/>
      <c r="M32" s="3"/>
      <c r="N32" s="3"/>
      <c r="O32" s="3"/>
      <c r="P32" s="3"/>
      <c r="Q32" s="3"/>
      <c r="R32" s="3"/>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row>
    <row r="33" spans="1:55" ht="16.5" thickBot="1" x14ac:dyDescent="0.3">
      <c r="A33" s="111" t="s">
        <v>733</v>
      </c>
      <c r="B33" s="110">
        <v>6278</v>
      </c>
      <c r="C33" s="109">
        <v>582.73080598916852</v>
      </c>
      <c r="E33" s="3"/>
      <c r="F33" s="107"/>
      <c r="G33" s="108"/>
      <c r="H33" s="3"/>
      <c r="I33" s="3"/>
      <c r="J33" s="3"/>
      <c r="K33" s="3"/>
      <c r="M33" s="3"/>
      <c r="N33" s="3"/>
      <c r="O33" s="3"/>
      <c r="P33" s="3"/>
      <c r="Q33" s="3"/>
      <c r="R33" s="3"/>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row>
    <row r="34" spans="1:55" ht="16.5" thickBot="1" x14ac:dyDescent="0.3">
      <c r="A34" s="97" t="s">
        <v>706</v>
      </c>
      <c r="B34" s="102">
        <v>5541</v>
      </c>
      <c r="C34" s="101">
        <v>620.01173073452446</v>
      </c>
      <c r="E34" s="106"/>
      <c r="F34" s="107"/>
      <c r="G34" s="108"/>
      <c r="H34" s="3"/>
      <c r="I34" s="3"/>
      <c r="J34" s="3"/>
      <c r="K34" s="3"/>
      <c r="M34" s="3"/>
      <c r="N34" s="3"/>
      <c r="O34" s="3"/>
      <c r="P34" s="3"/>
      <c r="Q34" s="3"/>
      <c r="R34" s="3"/>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row>
    <row r="35" spans="1:55" ht="16.5" thickBot="1" x14ac:dyDescent="0.3">
      <c r="A35" s="97" t="s">
        <v>708</v>
      </c>
      <c r="B35" s="102">
        <v>9</v>
      </c>
      <c r="C35" s="101">
        <v>2743.2222222222222</v>
      </c>
      <c r="E35" s="106"/>
      <c r="F35" s="107"/>
      <c r="G35" s="108"/>
      <c r="H35" s="3"/>
      <c r="I35" s="3"/>
      <c r="J35" s="3"/>
      <c r="K35" s="3"/>
      <c r="M35" s="3"/>
      <c r="N35" s="3"/>
      <c r="O35" s="3"/>
      <c r="P35" s="3"/>
      <c r="Q35" s="3"/>
      <c r="R35" s="3"/>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row>
    <row r="36" spans="1:55" ht="16.5" thickBot="1" x14ac:dyDescent="0.3">
      <c r="A36" s="97" t="s">
        <v>704</v>
      </c>
      <c r="B36" s="102">
        <v>613</v>
      </c>
      <c r="C36" s="101">
        <v>271.87601957585645</v>
      </c>
      <c r="E36" s="106"/>
      <c r="F36" s="107"/>
      <c r="G36" s="108"/>
      <c r="H36" s="3"/>
      <c r="I36" s="3"/>
      <c r="J36" s="3"/>
      <c r="K36" s="3"/>
      <c r="M36" s="3"/>
      <c r="N36" s="3"/>
      <c r="O36" s="3"/>
      <c r="P36" s="3"/>
      <c r="Q36" s="3"/>
      <c r="R36" s="3"/>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row>
    <row r="37" spans="1:55" ht="16.5" thickBot="1" x14ac:dyDescent="0.3">
      <c r="A37" s="97" t="s">
        <v>703</v>
      </c>
      <c r="B37" s="102">
        <v>115</v>
      </c>
      <c r="C37" s="101">
        <v>274.3478260869565</v>
      </c>
      <c r="E37" s="106"/>
      <c r="F37" s="107"/>
      <c r="G37" s="108"/>
      <c r="H37" s="3"/>
      <c r="I37" s="3"/>
      <c r="J37" s="3"/>
      <c r="K37" s="3"/>
      <c r="M37" s="3"/>
      <c r="N37" s="3"/>
      <c r="O37" s="3"/>
      <c r="P37" s="3"/>
      <c r="Q37" s="3"/>
      <c r="R37" s="3"/>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row>
    <row r="38" spans="1:55" ht="16.5" thickBot="1" x14ac:dyDescent="0.3">
      <c r="A38" s="111" t="s">
        <v>732</v>
      </c>
      <c r="B38" s="110">
        <v>3751</v>
      </c>
      <c r="C38" s="109">
        <v>540.88456411623565</v>
      </c>
      <c r="E38" s="106"/>
      <c r="F38" s="107"/>
      <c r="G38" s="108"/>
      <c r="H38" s="3"/>
      <c r="I38" s="3"/>
      <c r="J38" s="3"/>
      <c r="K38" s="3"/>
      <c r="M38" s="3"/>
      <c r="N38" s="3"/>
      <c r="O38" s="3"/>
      <c r="P38" s="3"/>
      <c r="Q38" s="3"/>
      <c r="R38" s="3"/>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row>
    <row r="39" spans="1:55" ht="16.5" thickBot="1" x14ac:dyDescent="0.3">
      <c r="A39" s="97" t="s">
        <v>706</v>
      </c>
      <c r="B39" s="102">
        <v>3451</v>
      </c>
      <c r="C39" s="101">
        <v>552.62648507678932</v>
      </c>
      <c r="E39" s="106"/>
      <c r="F39" s="107"/>
      <c r="G39" s="108"/>
      <c r="H39" s="3"/>
      <c r="I39" s="3"/>
      <c r="J39" s="3"/>
      <c r="K39" s="3"/>
      <c r="M39" s="3"/>
      <c r="N39" s="3"/>
      <c r="O39" s="3"/>
      <c r="P39" s="3"/>
      <c r="Q39" s="3"/>
      <c r="R39" s="3"/>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row>
    <row r="40" spans="1:55" ht="16.5" thickBot="1" x14ac:dyDescent="0.3">
      <c r="A40" s="97" t="s">
        <v>705</v>
      </c>
      <c r="B40" s="102">
        <v>4</v>
      </c>
      <c r="C40" s="101">
        <v>78.5</v>
      </c>
      <c r="E40" s="106"/>
      <c r="F40" s="107"/>
      <c r="G40" s="108"/>
      <c r="H40" s="3"/>
      <c r="I40" s="3"/>
      <c r="J40" s="3"/>
      <c r="K40" s="3"/>
      <c r="M40" s="3"/>
      <c r="N40" s="3"/>
      <c r="O40" s="3"/>
      <c r="P40" s="3"/>
      <c r="Q40" s="3"/>
      <c r="R40" s="3"/>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row>
    <row r="41" spans="1:55" ht="16.5" thickBot="1" x14ac:dyDescent="0.3">
      <c r="A41" s="97" t="s">
        <v>704</v>
      </c>
      <c r="B41" s="102">
        <v>175</v>
      </c>
      <c r="C41" s="101">
        <v>395.13142857142856</v>
      </c>
      <c r="D41" s="112"/>
      <c r="E41" s="106"/>
      <c r="F41" s="107"/>
      <c r="G41" s="108"/>
      <c r="H41" s="3"/>
      <c r="I41" s="3"/>
      <c r="J41" s="3"/>
      <c r="K41" s="3"/>
      <c r="M41" s="3"/>
      <c r="N41" s="3"/>
      <c r="O41" s="3"/>
      <c r="P41" s="3"/>
      <c r="Q41" s="3"/>
      <c r="R41" s="3"/>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row>
    <row r="42" spans="1:55" ht="16.5" thickBot="1" x14ac:dyDescent="0.3">
      <c r="A42" s="97" t="s">
        <v>703</v>
      </c>
      <c r="B42" s="102">
        <v>121</v>
      </c>
      <c r="C42" s="101">
        <v>432.08264462809916</v>
      </c>
      <c r="E42" s="106"/>
      <c r="F42" s="107"/>
      <c r="G42" s="108"/>
      <c r="H42" s="3"/>
      <c r="I42" s="3"/>
      <c r="J42" s="3"/>
      <c r="K42" s="3"/>
      <c r="M42" s="3"/>
      <c r="N42" s="3"/>
      <c r="O42" s="3"/>
      <c r="P42" s="3"/>
      <c r="Q42" s="3"/>
      <c r="R42" s="3"/>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row>
    <row r="43" spans="1:55" ht="16.5" thickBot="1" x14ac:dyDescent="0.3">
      <c r="A43" s="111" t="s">
        <v>731</v>
      </c>
      <c r="B43" s="99">
        <v>8474</v>
      </c>
      <c r="C43" s="98">
        <v>632.69317913618124</v>
      </c>
      <c r="E43" s="106"/>
      <c r="F43" s="107"/>
      <c r="G43" s="108"/>
      <c r="H43" s="3"/>
      <c r="I43" s="3"/>
      <c r="J43" s="3"/>
      <c r="K43" s="3"/>
      <c r="M43" s="3"/>
      <c r="N43" s="3"/>
      <c r="O43" s="3"/>
      <c r="P43" s="3"/>
      <c r="Q43" s="3"/>
      <c r="R43" s="3"/>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row>
    <row r="44" spans="1:55" ht="16.5" thickBot="1" x14ac:dyDescent="0.3">
      <c r="A44" s="97" t="s">
        <v>706</v>
      </c>
      <c r="B44" s="102">
        <v>7552</v>
      </c>
      <c r="C44" s="101">
        <v>671.47378177966107</v>
      </c>
      <c r="E44" s="106"/>
      <c r="F44" s="107"/>
      <c r="G44" s="108"/>
      <c r="H44" s="3"/>
      <c r="I44" s="3"/>
      <c r="J44" s="3"/>
      <c r="K44" s="3"/>
      <c r="M44" s="3"/>
      <c r="N44" s="3"/>
      <c r="O44" s="3"/>
      <c r="P44" s="3"/>
      <c r="Q44" s="3"/>
      <c r="R44" s="3"/>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row>
    <row r="45" spans="1:55" ht="16.5" thickBot="1" x14ac:dyDescent="0.3">
      <c r="A45" s="97" t="s">
        <v>708</v>
      </c>
      <c r="B45" s="102">
        <v>2</v>
      </c>
      <c r="C45" s="101">
        <v>1477</v>
      </c>
      <c r="E45" s="106"/>
      <c r="F45" s="107"/>
      <c r="G45" s="108"/>
      <c r="H45" s="3"/>
      <c r="I45" s="3"/>
      <c r="J45" s="3"/>
      <c r="K45" s="3"/>
      <c r="M45" s="3"/>
      <c r="N45" s="3"/>
      <c r="O45" s="3"/>
      <c r="P45" s="3"/>
      <c r="Q45" s="3"/>
      <c r="R45" s="3"/>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row>
    <row r="46" spans="1:55" ht="16.5" thickBot="1" x14ac:dyDescent="0.3">
      <c r="A46" s="97" t="s">
        <v>705</v>
      </c>
      <c r="B46" s="102">
        <v>3</v>
      </c>
      <c r="C46" s="101">
        <v>150.66666666666666</v>
      </c>
      <c r="E46" s="106"/>
      <c r="F46" s="107"/>
      <c r="G46" s="108"/>
      <c r="H46" s="3"/>
      <c r="I46" s="3"/>
      <c r="J46" s="3"/>
      <c r="K46" s="3"/>
      <c r="M46" s="3"/>
      <c r="N46" s="3"/>
      <c r="O46" s="3"/>
      <c r="P46" s="3"/>
      <c r="Q46" s="3"/>
      <c r="R46" s="3"/>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row>
    <row r="47" spans="1:55" ht="16.5" thickBot="1" x14ac:dyDescent="0.3">
      <c r="A47" s="97" t="s">
        <v>704</v>
      </c>
      <c r="B47" s="102">
        <v>587</v>
      </c>
      <c r="C47" s="101">
        <v>283.236797274276</v>
      </c>
      <c r="E47" s="106"/>
      <c r="F47" s="107"/>
      <c r="G47" s="108"/>
      <c r="H47" s="3"/>
      <c r="I47" s="3"/>
      <c r="J47" s="3"/>
      <c r="K47" s="3"/>
      <c r="M47" s="3"/>
      <c r="N47" s="3"/>
      <c r="O47" s="3"/>
      <c r="P47" s="3"/>
      <c r="Q47" s="3"/>
      <c r="R47" s="3"/>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row>
    <row r="48" spans="1:55" ht="16.5" thickBot="1" x14ac:dyDescent="0.3">
      <c r="A48" s="97" t="s">
        <v>703</v>
      </c>
      <c r="B48" s="102">
        <v>330</v>
      </c>
      <c r="C48" s="101">
        <v>366.07878787878786</v>
      </c>
      <c r="E48" s="106"/>
      <c r="F48" s="107"/>
      <c r="G48" s="108"/>
      <c r="H48" s="3"/>
      <c r="I48" s="3"/>
      <c r="J48" s="3"/>
      <c r="K48" s="3"/>
      <c r="M48" s="3"/>
      <c r="N48" s="3"/>
      <c r="O48" s="3"/>
      <c r="P48" s="3"/>
      <c r="Q48" s="3"/>
      <c r="R48" s="3"/>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row>
    <row r="49" spans="1:55" ht="16.5" thickBot="1" x14ac:dyDescent="0.3">
      <c r="A49" s="111" t="s">
        <v>730</v>
      </c>
      <c r="B49" s="110">
        <v>944</v>
      </c>
      <c r="C49" s="109">
        <v>795.40360169491521</v>
      </c>
      <c r="E49" s="106"/>
      <c r="F49" s="107"/>
      <c r="G49" s="108"/>
      <c r="H49" s="3"/>
      <c r="I49" s="3"/>
      <c r="J49" s="3"/>
      <c r="K49" s="3"/>
      <c r="M49" s="3"/>
      <c r="N49" s="3"/>
      <c r="O49" s="3"/>
      <c r="P49" s="3"/>
      <c r="Q49" s="3"/>
      <c r="R49" s="3"/>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row>
    <row r="50" spans="1:55" ht="16.5" thickBot="1" x14ac:dyDescent="0.3">
      <c r="A50" s="97" t="s">
        <v>706</v>
      </c>
      <c r="B50" s="102">
        <v>776</v>
      </c>
      <c r="C50" s="101">
        <v>584.25128865979377</v>
      </c>
      <c r="E50" s="106"/>
      <c r="F50" s="107"/>
      <c r="G50" s="108"/>
      <c r="H50" s="3"/>
      <c r="I50" s="3"/>
      <c r="J50" s="3"/>
      <c r="K50" s="3"/>
      <c r="M50" s="3"/>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row>
    <row r="51" spans="1:55" ht="16.5" thickBot="1" x14ac:dyDescent="0.3">
      <c r="A51" s="97" t="s">
        <v>708</v>
      </c>
      <c r="B51" s="102">
        <v>124</v>
      </c>
      <c r="C51" s="101">
        <v>2360.4919354838707</v>
      </c>
      <c r="E51" s="106"/>
      <c r="F51" s="107"/>
      <c r="G51" s="108"/>
      <c r="H51" s="3"/>
      <c r="I51" s="3"/>
      <c r="J51" s="3"/>
      <c r="K51" s="3"/>
      <c r="M51" s="3"/>
      <c r="N51" s="3"/>
      <c r="O51" s="3"/>
      <c r="P51" s="3"/>
      <c r="Q51" s="3"/>
      <c r="R51" s="3"/>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row>
    <row r="52" spans="1:55" ht="16.5" thickBot="1" x14ac:dyDescent="0.3">
      <c r="A52" s="97" t="s">
        <v>705</v>
      </c>
      <c r="B52" s="102">
        <v>7</v>
      </c>
      <c r="C52" s="101">
        <v>50.571428571428569</v>
      </c>
      <c r="E52" s="106"/>
      <c r="F52" s="107"/>
      <c r="G52" s="108"/>
      <c r="H52" s="3"/>
      <c r="I52" s="3"/>
      <c r="J52" s="3"/>
      <c r="K52" s="3"/>
      <c r="M52" s="3"/>
      <c r="N52" s="3"/>
      <c r="O52" s="3"/>
      <c r="P52" s="3"/>
      <c r="Q52" s="3"/>
      <c r="R52" s="3"/>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row>
    <row r="53" spans="1:55" ht="16.5" thickBot="1" x14ac:dyDescent="0.3">
      <c r="A53" s="97" t="s">
        <v>704</v>
      </c>
      <c r="B53" s="102">
        <v>34</v>
      </c>
      <c r="C53" s="101">
        <v>118.5</v>
      </c>
      <c r="E53" s="106"/>
      <c r="F53" s="107"/>
      <c r="G53" s="108"/>
      <c r="H53" s="3"/>
      <c r="I53" s="3"/>
      <c r="J53" s="3"/>
      <c r="K53" s="3"/>
      <c r="M53" s="3"/>
      <c r="N53" s="3"/>
      <c r="O53" s="3"/>
      <c r="P53" s="3"/>
      <c r="Q53" s="3"/>
      <c r="R53" s="3"/>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row>
    <row r="54" spans="1:55" ht="16.5" thickBot="1" x14ac:dyDescent="0.3">
      <c r="A54" s="97" t="s">
        <v>703</v>
      </c>
      <c r="B54" s="102">
        <v>3</v>
      </c>
      <c r="C54" s="101">
        <v>132.66666666666666</v>
      </c>
      <c r="D54" s="112"/>
      <c r="E54" s="106"/>
      <c r="F54" s="107"/>
      <c r="G54" s="108"/>
      <c r="H54" s="3"/>
      <c r="I54" s="3"/>
      <c r="J54" s="3"/>
      <c r="K54" s="3"/>
      <c r="M54" s="3"/>
      <c r="N54" s="3"/>
      <c r="O54" s="3"/>
      <c r="P54" s="3"/>
      <c r="Q54" s="3"/>
      <c r="R54" s="3"/>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row>
    <row r="55" spans="1:55" ht="16.5" thickBot="1" x14ac:dyDescent="0.3">
      <c r="A55" s="111" t="s">
        <v>729</v>
      </c>
      <c r="B55" s="99">
        <v>19731</v>
      </c>
      <c r="C55" s="98">
        <v>749.10774922710459</v>
      </c>
      <c r="E55" s="106"/>
      <c r="F55" s="107"/>
      <c r="G55" s="108"/>
      <c r="H55" s="3"/>
      <c r="I55" s="3"/>
      <c r="J55" s="3"/>
      <c r="K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row>
    <row r="56" spans="1:55" ht="16.5" thickBot="1" x14ac:dyDescent="0.3">
      <c r="A56" s="105" t="s">
        <v>706</v>
      </c>
      <c r="B56" s="104">
        <v>16137</v>
      </c>
      <c r="C56" s="103">
        <v>792.23207535477479</v>
      </c>
      <c r="E56" s="106"/>
      <c r="F56" s="107"/>
      <c r="G56" s="108"/>
      <c r="H56" s="3"/>
      <c r="I56" s="3"/>
      <c r="J56" s="3"/>
      <c r="K56" s="3"/>
      <c r="M56" s="3"/>
      <c r="N56" s="3"/>
      <c r="O56" s="3"/>
      <c r="P56" s="3"/>
      <c r="Q56" s="3"/>
      <c r="R56" s="3"/>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row>
    <row r="57" spans="1:55" ht="16.5" thickBot="1" x14ac:dyDescent="0.3">
      <c r="A57" s="97" t="s">
        <v>708</v>
      </c>
      <c r="B57" s="102">
        <v>367</v>
      </c>
      <c r="C57" s="101">
        <v>2940.0217983651228</v>
      </c>
      <c r="E57" s="106"/>
      <c r="F57" s="107"/>
      <c r="G57" s="108"/>
      <c r="H57" s="3"/>
      <c r="I57" s="3"/>
      <c r="J57" s="3"/>
      <c r="K57" s="3"/>
      <c r="M57" s="3"/>
      <c r="N57" s="3"/>
      <c r="O57" s="3"/>
      <c r="P57" s="3"/>
      <c r="Q57" s="3"/>
      <c r="R57" s="3"/>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row>
    <row r="58" spans="1:55" ht="16.5" thickBot="1" x14ac:dyDescent="0.3">
      <c r="A58" s="97" t="s">
        <v>705</v>
      </c>
      <c r="B58" s="102">
        <v>16</v>
      </c>
      <c r="C58" s="101">
        <v>172.5625</v>
      </c>
      <c r="E58" s="106"/>
      <c r="F58" s="107"/>
      <c r="G58" s="108"/>
      <c r="H58" s="3"/>
      <c r="I58" s="3"/>
      <c r="J58" s="3"/>
      <c r="K58" s="3"/>
      <c r="M58" s="3"/>
      <c r="N58" s="3"/>
      <c r="O58" s="3"/>
      <c r="P58" s="3"/>
      <c r="Q58" s="3"/>
      <c r="R58" s="3"/>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row>
    <row r="59" spans="1:55" ht="16.5" thickBot="1" x14ac:dyDescent="0.3">
      <c r="A59" s="97" t="s">
        <v>704</v>
      </c>
      <c r="B59" s="102">
        <v>2854</v>
      </c>
      <c r="C59" s="101">
        <v>292.52487736510159</v>
      </c>
      <c r="E59" s="106"/>
      <c r="F59" s="107"/>
      <c r="G59" s="108"/>
      <c r="H59" s="3"/>
      <c r="I59" s="3"/>
      <c r="J59" s="3"/>
      <c r="K59" s="3"/>
      <c r="M59" s="3"/>
      <c r="N59" s="3"/>
      <c r="O59" s="3"/>
      <c r="P59" s="3"/>
      <c r="Q59" s="3"/>
      <c r="R59" s="3"/>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row>
    <row r="60" spans="1:55" ht="16.5" thickBot="1" x14ac:dyDescent="0.3">
      <c r="A60" s="97" t="s">
        <v>703</v>
      </c>
      <c r="B60" s="102">
        <v>357</v>
      </c>
      <c r="C60" s="101">
        <v>223.47619047619048</v>
      </c>
      <c r="E60" s="106"/>
      <c r="F60" s="107"/>
      <c r="G60" s="108"/>
      <c r="H60" s="3"/>
      <c r="I60" s="3"/>
      <c r="J60" s="3"/>
      <c r="K60" s="3"/>
      <c r="M60" s="3"/>
      <c r="N60" s="3"/>
      <c r="O60" s="3"/>
      <c r="P60" s="3"/>
      <c r="Q60" s="3"/>
      <c r="R60" s="3"/>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row>
    <row r="61" spans="1:55" ht="16.5" thickBot="1" x14ac:dyDescent="0.3">
      <c r="A61" s="111" t="s">
        <v>728</v>
      </c>
      <c r="B61" s="110">
        <v>2841</v>
      </c>
      <c r="C61" s="109">
        <v>446.50017599436819</v>
      </c>
      <c r="E61" s="106"/>
      <c r="F61" s="107"/>
      <c r="G61" s="108"/>
      <c r="H61" s="3"/>
      <c r="I61" s="3"/>
      <c r="J61" s="3"/>
      <c r="K61" s="3"/>
      <c r="M61" s="3"/>
      <c r="N61" s="3"/>
      <c r="O61" s="3"/>
      <c r="P61" s="3"/>
      <c r="Q61" s="3"/>
      <c r="R61" s="3"/>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row>
    <row r="62" spans="1:55" ht="16.5" thickBot="1" x14ac:dyDescent="0.3">
      <c r="A62" s="97" t="s">
        <v>706</v>
      </c>
      <c r="B62" s="102">
        <v>2052</v>
      </c>
      <c r="C62" s="101">
        <v>561.24902534113062</v>
      </c>
      <c r="E62" s="106"/>
      <c r="F62" s="107"/>
      <c r="G62" s="108"/>
      <c r="H62" s="3"/>
      <c r="I62" s="3"/>
      <c r="J62" s="3"/>
      <c r="K62" s="3"/>
      <c r="M62" s="3"/>
      <c r="N62" s="3"/>
      <c r="O62" s="3"/>
      <c r="P62" s="3"/>
      <c r="Q62" s="3"/>
      <c r="R62" s="3"/>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row>
    <row r="63" spans="1:55" ht="16.5" thickBot="1" x14ac:dyDescent="0.3">
      <c r="A63" s="97" t="s">
        <v>705</v>
      </c>
      <c r="B63" s="102">
        <v>6</v>
      </c>
      <c r="C63" s="101">
        <v>90.5</v>
      </c>
      <c r="E63" s="106"/>
      <c r="F63" s="107"/>
      <c r="G63" s="108"/>
      <c r="H63" s="3"/>
      <c r="I63" s="3"/>
      <c r="J63" s="3"/>
      <c r="K63" s="3"/>
      <c r="M63" s="3"/>
      <c r="N63" s="3"/>
      <c r="O63" s="3"/>
      <c r="P63" s="3"/>
      <c r="Q63" s="3"/>
      <c r="R63" s="3"/>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row>
    <row r="64" spans="1:55" ht="16.5" thickBot="1" x14ac:dyDescent="0.3">
      <c r="A64" s="97" t="s">
        <v>704</v>
      </c>
      <c r="B64" s="102">
        <v>673</v>
      </c>
      <c r="C64" s="101">
        <v>145.77563150074295</v>
      </c>
      <c r="E64" s="106"/>
      <c r="F64" s="107"/>
      <c r="G64" s="108"/>
      <c r="H64" s="3"/>
      <c r="I64" s="3"/>
      <c r="J64" s="3"/>
      <c r="K64" s="3"/>
      <c r="M64" s="3"/>
      <c r="N64" s="3"/>
      <c r="O64" s="3"/>
      <c r="P64" s="3"/>
      <c r="Q64" s="3"/>
      <c r="R64" s="3"/>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row>
    <row r="65" spans="1:55" ht="16.5" thickBot="1" x14ac:dyDescent="0.3">
      <c r="A65" s="97" t="s">
        <v>703</v>
      </c>
      <c r="B65" s="102">
        <v>110</v>
      </c>
      <c r="C65" s="101">
        <v>165.21818181818182</v>
      </c>
      <c r="E65" s="106"/>
      <c r="F65" s="107"/>
      <c r="G65" s="108"/>
      <c r="H65" s="3"/>
      <c r="I65" s="3"/>
      <c r="J65" s="3"/>
      <c r="K65" s="3"/>
      <c r="M65" s="3"/>
      <c r="N65" s="3"/>
      <c r="O65" s="3"/>
      <c r="P65" s="3"/>
      <c r="Q65" s="3"/>
      <c r="R65" s="3"/>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row>
    <row r="66" spans="1:55" ht="16.5" thickBot="1" x14ac:dyDescent="0.3">
      <c r="A66" s="111" t="s">
        <v>727</v>
      </c>
      <c r="B66" s="110">
        <v>3956</v>
      </c>
      <c r="C66" s="109">
        <v>592.01794742163804</v>
      </c>
      <c r="E66" s="106"/>
      <c r="F66" s="107"/>
      <c r="G66" s="108"/>
      <c r="H66" s="3"/>
      <c r="I66" s="3"/>
      <c r="J66" s="3"/>
      <c r="K66" s="3"/>
      <c r="M66" s="3"/>
      <c r="N66" s="3"/>
      <c r="O66" s="3"/>
      <c r="P66" s="3"/>
      <c r="Q66" s="3"/>
      <c r="R66" s="3"/>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row>
    <row r="67" spans="1:55" ht="16.5" thickBot="1" x14ac:dyDescent="0.3">
      <c r="A67" s="97" t="s">
        <v>706</v>
      </c>
      <c r="B67" s="102">
        <v>3697</v>
      </c>
      <c r="C67" s="101">
        <v>599.68947795509871</v>
      </c>
      <c r="E67" s="106"/>
      <c r="F67" s="107"/>
      <c r="G67" s="108"/>
      <c r="H67" s="3"/>
      <c r="I67" s="3"/>
      <c r="J67" s="3"/>
      <c r="K67" s="3"/>
      <c r="M67" s="3"/>
      <c r="N67" s="3"/>
      <c r="O67" s="3"/>
      <c r="P67" s="3"/>
      <c r="Q67" s="3"/>
      <c r="R67" s="3"/>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row>
    <row r="68" spans="1:55" ht="17.45" customHeight="1" thickBot="1" x14ac:dyDescent="0.3">
      <c r="A68" s="97" t="s">
        <v>708</v>
      </c>
      <c r="B68" s="102">
        <v>18</v>
      </c>
      <c r="C68" s="101">
        <v>2622.3888888888887</v>
      </c>
      <c r="E68" s="106"/>
      <c r="F68" s="107"/>
      <c r="G68" s="108"/>
      <c r="H68" s="3"/>
      <c r="I68" s="3"/>
      <c r="J68" s="3"/>
      <c r="K68" s="3"/>
      <c r="M68" s="3"/>
      <c r="N68" s="3"/>
      <c r="O68" s="3"/>
      <c r="P68" s="3"/>
      <c r="Q68" s="3"/>
      <c r="R68" s="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row>
    <row r="69" spans="1:55" ht="16.5" thickBot="1" x14ac:dyDescent="0.3">
      <c r="A69" s="97" t="s">
        <v>705</v>
      </c>
      <c r="B69" s="102">
        <v>9</v>
      </c>
      <c r="C69" s="101">
        <v>172.55555555555554</v>
      </c>
      <c r="E69" s="106"/>
      <c r="F69" s="107"/>
      <c r="G69" s="108"/>
      <c r="H69" s="3"/>
      <c r="I69" s="3"/>
      <c r="J69" s="3"/>
      <c r="K69" s="3"/>
      <c r="M69" s="3"/>
      <c r="N69" s="3"/>
      <c r="O69" s="3"/>
      <c r="P69" s="3"/>
      <c r="Q69" s="3"/>
      <c r="R69" s="3"/>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row>
    <row r="70" spans="1:55" ht="16.5" thickBot="1" x14ac:dyDescent="0.3">
      <c r="A70" s="97" t="s">
        <v>704</v>
      </c>
      <c r="B70" s="102">
        <v>102</v>
      </c>
      <c r="C70" s="101">
        <v>365.4019607843137</v>
      </c>
      <c r="E70" s="106"/>
      <c r="F70" s="107"/>
      <c r="G70" s="108"/>
      <c r="H70" s="3"/>
      <c r="I70" s="3"/>
      <c r="J70" s="3"/>
      <c r="K70" s="3"/>
      <c r="M70" s="3"/>
      <c r="N70" s="3"/>
      <c r="O70" s="3"/>
      <c r="P70" s="3"/>
      <c r="Q70" s="3"/>
      <c r="R70" s="3"/>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row>
    <row r="71" spans="1:55" ht="16.5" thickBot="1" x14ac:dyDescent="0.3">
      <c r="A71" s="97" t="s">
        <v>703</v>
      </c>
      <c r="B71" s="102">
        <v>130</v>
      </c>
      <c r="C71" s="101">
        <v>299.56923076923078</v>
      </c>
      <c r="E71" s="106"/>
      <c r="F71" s="107"/>
      <c r="G71" s="108"/>
      <c r="H71" s="3"/>
      <c r="I71" s="3"/>
      <c r="J71" s="3"/>
      <c r="K71" s="3"/>
      <c r="M71" s="3"/>
      <c r="N71" s="3"/>
      <c r="O71" s="3"/>
      <c r="P71" s="3"/>
      <c r="Q71" s="3"/>
      <c r="R71" s="3"/>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row>
    <row r="72" spans="1:55" ht="16.5" thickBot="1" x14ac:dyDescent="0.3">
      <c r="A72" s="111" t="s">
        <v>726</v>
      </c>
      <c r="B72" s="99">
        <v>8026</v>
      </c>
      <c r="C72" s="98">
        <v>853.75442312484427</v>
      </c>
      <c r="E72" s="106"/>
      <c r="F72" s="107"/>
      <c r="G72" s="108"/>
      <c r="H72" s="3"/>
      <c r="I72" s="3"/>
      <c r="J72" s="3"/>
      <c r="K72" s="3"/>
      <c r="M72" s="3"/>
      <c r="N72" s="3"/>
      <c r="O72" s="3"/>
      <c r="P72" s="3"/>
      <c r="Q72" s="3"/>
      <c r="R72" s="3"/>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3"/>
    </row>
    <row r="73" spans="1:55" ht="16.5" thickBot="1" x14ac:dyDescent="0.3">
      <c r="A73" s="97" t="s">
        <v>706</v>
      </c>
      <c r="B73" s="102">
        <v>7631</v>
      </c>
      <c r="C73" s="101">
        <v>852.61027388284629</v>
      </c>
      <c r="E73" s="106"/>
      <c r="F73" s="107"/>
      <c r="G73" s="108"/>
      <c r="H73" s="3"/>
      <c r="I73" s="3"/>
      <c r="J73" s="3"/>
      <c r="K73" s="3"/>
      <c r="M73" s="3"/>
      <c r="N73" s="3"/>
      <c r="O73" s="3"/>
      <c r="P73" s="3"/>
      <c r="Q73" s="3"/>
      <c r="R73" s="3"/>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3"/>
    </row>
    <row r="74" spans="1:55" ht="16.5" thickBot="1" x14ac:dyDescent="0.3">
      <c r="A74" s="97" t="s">
        <v>708</v>
      </c>
      <c r="B74" s="102">
        <v>88</v>
      </c>
      <c r="C74" s="101">
        <v>2942.2613636363635</v>
      </c>
      <c r="E74" s="106"/>
      <c r="F74" s="107"/>
      <c r="G74" s="108"/>
      <c r="H74" s="3"/>
      <c r="I74" s="3"/>
      <c r="J74" s="3"/>
      <c r="K74" s="3"/>
      <c r="M74" s="3"/>
      <c r="N74" s="3"/>
      <c r="O74" s="3"/>
      <c r="P74" s="3"/>
      <c r="Q74" s="3"/>
      <c r="R74" s="3"/>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c r="BC74" s="3"/>
    </row>
    <row r="75" spans="1:55" ht="16.5" thickBot="1" x14ac:dyDescent="0.3">
      <c r="A75" s="97" t="s">
        <v>705</v>
      </c>
      <c r="B75" s="102">
        <v>2</v>
      </c>
      <c r="C75" s="101">
        <v>47</v>
      </c>
      <c r="E75" s="106"/>
      <c r="F75" s="107"/>
      <c r="G75" s="108"/>
      <c r="H75" s="3"/>
      <c r="I75" s="3"/>
      <c r="J75" s="3"/>
      <c r="K75" s="3"/>
      <c r="M75" s="3"/>
      <c r="N75" s="3"/>
      <c r="O75" s="3"/>
      <c r="P75" s="3"/>
      <c r="Q75" s="3"/>
      <c r="R75" s="3"/>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c r="BC75" s="3"/>
    </row>
    <row r="76" spans="1:55" ht="16.5" thickBot="1" x14ac:dyDescent="0.3">
      <c r="A76" s="97" t="s">
        <v>704</v>
      </c>
      <c r="B76" s="102">
        <v>289</v>
      </c>
      <c r="C76" s="101">
        <v>288.28027681660899</v>
      </c>
      <c r="E76" s="106"/>
      <c r="F76" s="107"/>
      <c r="G76" s="108"/>
      <c r="H76" s="3"/>
      <c r="I76" s="3"/>
      <c r="J76" s="3"/>
      <c r="K76" s="3"/>
      <c r="M76" s="3"/>
      <c r="N76" s="3"/>
      <c r="O76" s="3"/>
      <c r="P76" s="3"/>
      <c r="Q76" s="3"/>
      <c r="R76" s="3"/>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c r="BC76" s="3"/>
    </row>
    <row r="77" spans="1:55" ht="16.5" thickBot="1" x14ac:dyDescent="0.3">
      <c r="A77" s="97" t="s">
        <v>703</v>
      </c>
      <c r="B77" s="104">
        <v>16</v>
      </c>
      <c r="C77" s="103">
        <v>227.375</v>
      </c>
      <c r="E77" s="106"/>
      <c r="F77" s="107"/>
      <c r="G77" s="108"/>
      <c r="H77" s="3"/>
      <c r="I77" s="3"/>
      <c r="J77" s="3"/>
      <c r="K77" s="3"/>
      <c r="M77" s="3"/>
      <c r="N77" s="3"/>
      <c r="O77" s="3"/>
      <c r="P77" s="3"/>
      <c r="Q77" s="3"/>
      <c r="R77" s="3"/>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c r="BC77" s="3"/>
    </row>
    <row r="78" spans="1:55" ht="16.5" thickBot="1" x14ac:dyDescent="0.3">
      <c r="A78" s="113" t="s">
        <v>725</v>
      </c>
      <c r="B78" s="110">
        <v>2338</v>
      </c>
      <c r="C78" s="109">
        <v>320.87082976903338</v>
      </c>
      <c r="D78" s="112"/>
      <c r="E78" s="106"/>
      <c r="F78" s="107"/>
      <c r="G78" s="108"/>
      <c r="H78" s="3"/>
      <c r="I78" s="3"/>
      <c r="J78" s="3"/>
      <c r="K78" s="3"/>
      <c r="M78" s="3"/>
      <c r="N78" s="3"/>
      <c r="O78" s="3"/>
      <c r="P78" s="3"/>
      <c r="Q78" s="3"/>
      <c r="R78" s="3"/>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c r="BA78" s="3"/>
      <c r="BB78" s="3"/>
      <c r="BC78" s="3"/>
    </row>
    <row r="79" spans="1:55" ht="16.5" thickBot="1" x14ac:dyDescent="0.3">
      <c r="A79" s="97" t="s">
        <v>706</v>
      </c>
      <c r="B79" s="102">
        <v>1225</v>
      </c>
      <c r="C79" s="101">
        <v>467.80244897959182</v>
      </c>
      <c r="E79" s="106"/>
      <c r="F79" s="107"/>
      <c r="G79" s="108"/>
      <c r="H79" s="3"/>
      <c r="I79" s="3"/>
      <c r="J79" s="3"/>
      <c r="K79" s="3"/>
      <c r="M79" s="3"/>
      <c r="N79" s="3"/>
      <c r="O79" s="3"/>
      <c r="P79" s="3"/>
      <c r="Q79" s="3"/>
      <c r="R79" s="3"/>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c r="BC79" s="3"/>
    </row>
    <row r="80" spans="1:55" ht="16.5" thickBot="1" x14ac:dyDescent="0.3">
      <c r="A80" s="97" t="s">
        <v>704</v>
      </c>
      <c r="B80" s="102">
        <v>674</v>
      </c>
      <c r="C80" s="101">
        <v>182.15430267062314</v>
      </c>
      <c r="E80" s="106"/>
      <c r="F80" s="107"/>
      <c r="G80" s="108"/>
      <c r="H80" s="3"/>
      <c r="I80" s="3"/>
      <c r="J80" s="3"/>
      <c r="K80" s="3"/>
      <c r="M80" s="3"/>
      <c r="N80" s="3"/>
      <c r="O80" s="3"/>
      <c r="P80" s="3"/>
      <c r="Q80" s="3"/>
      <c r="R80" s="3"/>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c r="BC80" s="3"/>
    </row>
    <row r="81" spans="1:55" ht="16.5" thickBot="1" x14ac:dyDescent="0.3">
      <c r="A81" s="105" t="s">
        <v>703</v>
      </c>
      <c r="B81" s="104">
        <v>439</v>
      </c>
      <c r="C81" s="103">
        <v>123.84054669703872</v>
      </c>
      <c r="E81" s="106"/>
      <c r="F81" s="107"/>
      <c r="G81" s="108"/>
      <c r="H81" s="3"/>
      <c r="I81" s="3"/>
      <c r="J81" s="3"/>
      <c r="K81" s="3"/>
      <c r="M81" s="3"/>
      <c r="N81" s="3"/>
      <c r="O81" s="3"/>
      <c r="P81" s="3"/>
      <c r="Q81" s="3"/>
      <c r="R81" s="3"/>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c r="BC81" s="3"/>
    </row>
    <row r="82" spans="1:55" ht="16.5" thickBot="1" x14ac:dyDescent="0.3">
      <c r="A82" s="100" t="s">
        <v>724</v>
      </c>
      <c r="B82" s="99">
        <v>3010</v>
      </c>
      <c r="C82" s="98">
        <v>529.76976744186049</v>
      </c>
      <c r="E82" s="106"/>
      <c r="F82" s="107"/>
      <c r="G82" s="108"/>
      <c r="H82" s="3"/>
      <c r="I82" s="3"/>
      <c r="J82" s="3"/>
      <c r="K82" s="3"/>
      <c r="M82" s="3"/>
      <c r="N82" s="3"/>
      <c r="O82" s="3"/>
      <c r="P82" s="3"/>
      <c r="Q82" s="3"/>
      <c r="R82" s="3"/>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c r="BC82" s="3"/>
    </row>
    <row r="83" spans="1:55" ht="16.5" thickBot="1" x14ac:dyDescent="0.3">
      <c r="A83" s="97" t="s">
        <v>706</v>
      </c>
      <c r="B83" s="102">
        <v>2053</v>
      </c>
      <c r="C83" s="101">
        <v>704.2791037506089</v>
      </c>
      <c r="E83" s="106"/>
      <c r="F83" s="107"/>
      <c r="G83" s="108"/>
      <c r="H83" s="3"/>
      <c r="I83" s="3"/>
      <c r="J83" s="3"/>
      <c r="K83" s="3"/>
      <c r="M83" s="3"/>
      <c r="N83" s="3"/>
      <c r="O83" s="3"/>
      <c r="P83" s="3"/>
      <c r="Q83" s="3"/>
      <c r="R83" s="3"/>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c r="BA83" s="3"/>
      <c r="BB83" s="3"/>
      <c r="BC83" s="3"/>
    </row>
    <row r="84" spans="1:55" ht="16.5" thickBot="1" x14ac:dyDescent="0.3">
      <c r="A84" s="97" t="s">
        <v>705</v>
      </c>
      <c r="B84" s="102">
        <v>1</v>
      </c>
      <c r="C84" s="101">
        <v>42</v>
      </c>
      <c r="E84" s="106"/>
      <c r="F84" s="107"/>
      <c r="G84" s="108"/>
      <c r="H84" s="3"/>
      <c r="I84" s="3"/>
      <c r="J84" s="3"/>
      <c r="K84" s="3"/>
      <c r="M84" s="3"/>
      <c r="N84" s="3"/>
      <c r="O84" s="3"/>
      <c r="P84" s="3"/>
      <c r="Q84" s="3"/>
      <c r="R84" s="3"/>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c r="BC84" s="3"/>
    </row>
    <row r="85" spans="1:55" ht="16.5" thickBot="1" x14ac:dyDescent="0.3">
      <c r="A85" s="97" t="s">
        <v>704</v>
      </c>
      <c r="B85" s="102">
        <v>812</v>
      </c>
      <c r="C85" s="101">
        <v>148.45689655172413</v>
      </c>
      <c r="E85" s="106"/>
      <c r="F85" s="107"/>
      <c r="G85" s="108"/>
      <c r="H85" s="3"/>
      <c r="I85" s="3"/>
      <c r="J85" s="3"/>
      <c r="K85" s="3"/>
      <c r="M85" s="3"/>
      <c r="N85" s="3"/>
      <c r="O85" s="3"/>
      <c r="P85" s="3"/>
      <c r="Q85" s="3"/>
      <c r="R85" s="3"/>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c r="BC85" s="3"/>
    </row>
    <row r="86" spans="1:55" ht="16.5" thickBot="1" x14ac:dyDescent="0.3">
      <c r="A86" s="97" t="s">
        <v>703</v>
      </c>
      <c r="B86" s="102">
        <v>144</v>
      </c>
      <c r="C86" s="101">
        <v>195.36805555555554</v>
      </c>
      <c r="E86" s="106"/>
      <c r="F86" s="107"/>
      <c r="G86" s="108"/>
      <c r="H86" s="3"/>
      <c r="I86" s="3"/>
      <c r="J86" s="3"/>
      <c r="K86" s="3"/>
      <c r="M86" s="3"/>
      <c r="N86" s="3"/>
      <c r="O86" s="3"/>
      <c r="P86" s="3"/>
      <c r="Q86" s="3"/>
      <c r="R86" s="3"/>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c r="BC86" s="3"/>
    </row>
    <row r="87" spans="1:55" ht="16.5" thickBot="1" x14ac:dyDescent="0.3">
      <c r="A87" s="100" t="s">
        <v>723</v>
      </c>
      <c r="B87" s="99">
        <v>3338</v>
      </c>
      <c r="C87" s="98">
        <v>405.01827441581787</v>
      </c>
      <c r="E87" s="106"/>
      <c r="F87" s="107"/>
      <c r="G87" s="108"/>
      <c r="H87" s="3"/>
      <c r="I87" s="3"/>
      <c r="J87" s="3"/>
      <c r="K87" s="3"/>
      <c r="M87" s="3"/>
      <c r="N87" s="3"/>
      <c r="O87" s="3"/>
      <c r="P87" s="3"/>
      <c r="Q87" s="3"/>
      <c r="R87" s="3"/>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3"/>
      <c r="BA87" s="3"/>
      <c r="BB87" s="3"/>
      <c r="BC87" s="3"/>
    </row>
    <row r="88" spans="1:55" ht="16.5" thickBot="1" x14ac:dyDescent="0.3">
      <c r="A88" s="97" t="s">
        <v>706</v>
      </c>
      <c r="B88" s="102">
        <v>2773</v>
      </c>
      <c r="C88" s="101">
        <v>424.9639379733141</v>
      </c>
      <c r="E88" s="106"/>
      <c r="F88" s="107"/>
      <c r="G88" s="108"/>
      <c r="H88" s="3"/>
      <c r="I88" s="3"/>
      <c r="J88" s="3"/>
      <c r="K88" s="3"/>
      <c r="M88" s="3"/>
      <c r="N88" s="3"/>
      <c r="O88" s="3"/>
      <c r="P88" s="3"/>
      <c r="Q88" s="3"/>
      <c r="R88" s="3"/>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3"/>
      <c r="AY88" s="3"/>
      <c r="AZ88" s="3"/>
      <c r="BA88" s="3"/>
      <c r="BB88" s="3"/>
      <c r="BC88" s="3"/>
    </row>
    <row r="89" spans="1:55" ht="16.5" thickBot="1" x14ac:dyDescent="0.3">
      <c r="A89" s="97" t="s">
        <v>705</v>
      </c>
      <c r="B89" s="102">
        <v>10</v>
      </c>
      <c r="C89" s="101">
        <v>47.3</v>
      </c>
      <c r="E89" s="106"/>
      <c r="F89" s="107"/>
      <c r="G89" s="108"/>
      <c r="H89" s="3"/>
      <c r="I89" s="3"/>
      <c r="J89" s="3"/>
      <c r="K89" s="3"/>
      <c r="M89" s="3"/>
      <c r="N89" s="3"/>
      <c r="O89" s="3"/>
      <c r="P89" s="3"/>
      <c r="Q89" s="3"/>
      <c r="R89" s="3"/>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c r="BC89" s="3"/>
    </row>
    <row r="90" spans="1:55" ht="16.5" thickBot="1" x14ac:dyDescent="0.3">
      <c r="A90" s="97" t="s">
        <v>704</v>
      </c>
      <c r="B90" s="102">
        <v>504</v>
      </c>
      <c r="C90" s="101">
        <v>320.70436507936506</v>
      </c>
      <c r="E90" s="106"/>
      <c r="F90" s="107"/>
      <c r="G90" s="108"/>
      <c r="H90" s="3"/>
      <c r="I90" s="3"/>
      <c r="J90" s="3"/>
      <c r="K90" s="3"/>
      <c r="M90" s="3"/>
      <c r="N90" s="3"/>
      <c r="O90" s="3"/>
      <c r="P90" s="3"/>
      <c r="Q90" s="3"/>
      <c r="R90" s="3"/>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c r="BC90" s="3"/>
    </row>
    <row r="91" spans="1:55" ht="16.5" thickBot="1" x14ac:dyDescent="0.3">
      <c r="A91" s="105" t="s">
        <v>703</v>
      </c>
      <c r="B91" s="104">
        <v>51</v>
      </c>
      <c r="C91" s="103">
        <v>223.88235294117646</v>
      </c>
      <c r="E91" s="106"/>
      <c r="F91" s="107"/>
      <c r="G91" s="108"/>
      <c r="H91" s="3"/>
      <c r="I91" s="3"/>
      <c r="J91" s="3"/>
      <c r="K91" s="3"/>
      <c r="M91" s="3"/>
      <c r="N91" s="3"/>
      <c r="O91" s="3"/>
      <c r="P91" s="3"/>
      <c r="Q91" s="3"/>
      <c r="R91" s="3"/>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c r="BC91" s="3"/>
    </row>
    <row r="92" spans="1:55" ht="16.5" thickBot="1" x14ac:dyDescent="0.3">
      <c r="A92" s="100" t="s">
        <v>722</v>
      </c>
      <c r="B92" s="99">
        <v>16284</v>
      </c>
      <c r="C92" s="98">
        <v>513.39977892409729</v>
      </c>
      <c r="E92" s="106"/>
      <c r="F92" s="107"/>
      <c r="G92" s="108"/>
      <c r="H92" s="3"/>
      <c r="I92" s="3"/>
      <c r="J92" s="3"/>
      <c r="K92" s="3"/>
      <c r="M92" s="3"/>
      <c r="N92" s="3"/>
      <c r="O92" s="3"/>
      <c r="P92" s="3"/>
      <c r="Q92" s="3"/>
      <c r="R92" s="3"/>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c r="BC92" s="3"/>
    </row>
    <row r="93" spans="1:55" ht="16.5" thickBot="1" x14ac:dyDescent="0.3">
      <c r="A93" s="97" t="s">
        <v>706</v>
      </c>
      <c r="B93" s="102">
        <v>13772</v>
      </c>
      <c r="C93" s="101">
        <v>523.30997676444963</v>
      </c>
      <c r="E93" s="106"/>
      <c r="F93" s="107"/>
      <c r="G93" s="108"/>
      <c r="H93" s="3"/>
      <c r="I93" s="3"/>
      <c r="J93" s="3"/>
      <c r="K93" s="3"/>
      <c r="M93" s="3"/>
      <c r="N93" s="3"/>
      <c r="O93" s="3"/>
      <c r="P93" s="3"/>
      <c r="Q93" s="3"/>
      <c r="R93" s="3"/>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3"/>
      <c r="AY93" s="3"/>
      <c r="AZ93" s="3"/>
      <c r="BA93" s="3"/>
      <c r="BB93" s="3"/>
      <c r="BC93" s="3"/>
    </row>
    <row r="94" spans="1:55" ht="16.5" thickBot="1" x14ac:dyDescent="0.3">
      <c r="A94" s="97" t="s">
        <v>708</v>
      </c>
      <c r="B94" s="102">
        <v>270</v>
      </c>
      <c r="C94" s="101">
        <v>2030.6148148148147</v>
      </c>
      <c r="E94" s="106"/>
      <c r="F94" s="107"/>
      <c r="G94" s="108"/>
      <c r="H94" s="3"/>
      <c r="I94" s="3"/>
      <c r="J94" s="3"/>
      <c r="K94" s="3"/>
      <c r="M94" s="3"/>
      <c r="N94" s="3"/>
      <c r="O94" s="3"/>
      <c r="P94" s="3"/>
      <c r="Q94" s="3"/>
      <c r="R94" s="3"/>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c r="BC94" s="3"/>
    </row>
    <row r="95" spans="1:55" ht="16.5" thickBot="1" x14ac:dyDescent="0.3">
      <c r="A95" s="97" t="s">
        <v>705</v>
      </c>
      <c r="B95" s="102">
        <v>2</v>
      </c>
      <c r="C95" s="101">
        <v>70</v>
      </c>
      <c r="E95" s="106"/>
      <c r="F95" s="107"/>
      <c r="G95" s="108"/>
      <c r="H95" s="3"/>
      <c r="I95" s="3"/>
      <c r="J95" s="3"/>
      <c r="K95" s="3"/>
      <c r="M95" s="3"/>
      <c r="N95" s="3"/>
      <c r="O95" s="3"/>
      <c r="P95" s="3"/>
      <c r="Q95" s="3"/>
      <c r="R95" s="3"/>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c r="AT95" s="3"/>
      <c r="AU95" s="3"/>
      <c r="AV95" s="3"/>
      <c r="AW95" s="3"/>
      <c r="AX95" s="3"/>
      <c r="AY95" s="3"/>
      <c r="AZ95" s="3"/>
      <c r="BA95" s="3"/>
      <c r="BB95" s="3"/>
      <c r="BC95" s="3"/>
    </row>
    <row r="96" spans="1:55" ht="16.5" thickBot="1" x14ac:dyDescent="0.3">
      <c r="A96" s="97" t="s">
        <v>704</v>
      </c>
      <c r="B96" s="102">
        <v>1439</v>
      </c>
      <c r="C96" s="101">
        <v>247.08825573314803</v>
      </c>
      <c r="E96" s="106"/>
      <c r="F96" s="107"/>
      <c r="G96" s="108"/>
      <c r="H96" s="3"/>
      <c r="I96" s="3"/>
      <c r="J96" s="3"/>
      <c r="K96" s="3"/>
      <c r="M96" s="3"/>
      <c r="N96" s="3"/>
      <c r="O96" s="3"/>
      <c r="P96" s="3"/>
      <c r="Q96" s="3"/>
      <c r="R96" s="3"/>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c r="AU96" s="3"/>
      <c r="AV96" s="3"/>
      <c r="AW96" s="3"/>
      <c r="AX96" s="3"/>
      <c r="AY96" s="3"/>
      <c r="AZ96" s="3"/>
      <c r="BA96" s="3"/>
      <c r="BB96" s="3"/>
      <c r="BC96" s="3"/>
    </row>
    <row r="97" spans="1:55" ht="16.5" thickBot="1" x14ac:dyDescent="0.3">
      <c r="A97" s="97" t="s">
        <v>703</v>
      </c>
      <c r="B97" s="102">
        <v>801</v>
      </c>
      <c r="C97" s="101">
        <v>311.12484394506868</v>
      </c>
      <c r="E97" s="106"/>
      <c r="F97" s="107"/>
      <c r="G97" s="108"/>
      <c r="H97" s="3"/>
      <c r="I97" s="3"/>
      <c r="J97" s="3"/>
      <c r="K97" s="3"/>
      <c r="M97" s="3"/>
      <c r="N97" s="3"/>
      <c r="O97" s="3"/>
      <c r="P97" s="3"/>
      <c r="Q97" s="3"/>
      <c r="R97" s="3"/>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c r="AT97" s="3"/>
      <c r="AU97" s="3"/>
      <c r="AV97" s="3"/>
      <c r="AW97" s="3"/>
      <c r="AX97" s="3"/>
      <c r="AY97" s="3"/>
      <c r="AZ97" s="3"/>
      <c r="BA97" s="3"/>
      <c r="BB97" s="3"/>
      <c r="BC97" s="3"/>
    </row>
    <row r="98" spans="1:55" ht="16.5" thickBot="1" x14ac:dyDescent="0.3">
      <c r="A98" s="100" t="s">
        <v>721</v>
      </c>
      <c r="B98" s="99">
        <v>15773</v>
      </c>
      <c r="C98" s="98">
        <v>549.8830279591707</v>
      </c>
      <c r="E98" s="106"/>
      <c r="F98" s="107"/>
      <c r="G98" s="108"/>
      <c r="H98" s="3"/>
      <c r="I98" s="3"/>
      <c r="J98" s="3"/>
      <c r="K98" s="3"/>
      <c r="M98" s="3"/>
      <c r="N98" s="3"/>
      <c r="O98" s="3"/>
      <c r="P98" s="3"/>
      <c r="Q98" s="3"/>
      <c r="R98" s="3"/>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c r="AT98" s="3"/>
      <c r="AU98" s="3"/>
      <c r="AV98" s="3"/>
      <c r="AW98" s="3"/>
      <c r="AX98" s="3"/>
      <c r="AY98" s="3"/>
      <c r="AZ98" s="3"/>
      <c r="BA98" s="3"/>
      <c r="BB98" s="3"/>
      <c r="BC98" s="3"/>
    </row>
    <row r="99" spans="1:55" ht="16.5" thickBot="1" x14ac:dyDescent="0.3">
      <c r="A99" s="97" t="s">
        <v>706</v>
      </c>
      <c r="B99" s="102">
        <v>13966</v>
      </c>
      <c r="C99" s="101">
        <v>591.520693111843</v>
      </c>
      <c r="E99" s="106"/>
      <c r="F99" s="107"/>
      <c r="G99" s="108"/>
      <c r="H99" s="3"/>
      <c r="I99" s="3"/>
      <c r="J99" s="3"/>
      <c r="K99" s="3"/>
      <c r="M99" s="3"/>
      <c r="N99" s="3"/>
      <c r="O99" s="3"/>
      <c r="P99" s="3"/>
      <c r="Q99" s="3"/>
      <c r="R99" s="3"/>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c r="AT99" s="3"/>
      <c r="AU99" s="3"/>
      <c r="AV99" s="3"/>
      <c r="AW99" s="3"/>
      <c r="AX99" s="3"/>
      <c r="AY99" s="3"/>
      <c r="AZ99" s="3"/>
      <c r="BA99" s="3"/>
      <c r="BB99" s="3"/>
      <c r="BC99" s="3"/>
    </row>
    <row r="100" spans="1:55" ht="16.5" thickBot="1" x14ac:dyDescent="0.3">
      <c r="A100" s="97" t="s">
        <v>720</v>
      </c>
      <c r="B100" s="102">
        <v>2</v>
      </c>
      <c r="C100" s="101">
        <v>665</v>
      </c>
      <c r="E100" s="106"/>
      <c r="F100" s="107"/>
      <c r="G100" s="108"/>
      <c r="H100" s="3"/>
      <c r="I100" s="3"/>
      <c r="J100" s="3"/>
      <c r="K100" s="3"/>
      <c r="M100" s="3"/>
      <c r="N100" s="3"/>
      <c r="O100" s="3"/>
      <c r="P100" s="3"/>
      <c r="Q100" s="3"/>
      <c r="R100" s="3"/>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c r="BC100" s="3"/>
    </row>
    <row r="101" spans="1:55" ht="16.5" thickBot="1" x14ac:dyDescent="0.3">
      <c r="A101" s="97" t="s">
        <v>708</v>
      </c>
      <c r="B101" s="102">
        <v>2</v>
      </c>
      <c r="C101" s="101">
        <v>917</v>
      </c>
      <c r="E101" s="106"/>
      <c r="F101" s="107"/>
      <c r="G101" s="108"/>
      <c r="H101" s="3"/>
      <c r="I101" s="3"/>
      <c r="J101" s="3"/>
      <c r="K101" s="3"/>
      <c r="M101" s="3"/>
      <c r="N101" s="3"/>
      <c r="O101" s="3"/>
      <c r="P101" s="3"/>
      <c r="Q101" s="3"/>
      <c r="R101" s="3"/>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row>
    <row r="102" spans="1:55" ht="16.5" thickBot="1" x14ac:dyDescent="0.3">
      <c r="A102" s="97" t="s">
        <v>705</v>
      </c>
      <c r="B102" s="102">
        <v>2</v>
      </c>
      <c r="C102" s="101">
        <v>117.5</v>
      </c>
      <c r="E102" s="106"/>
      <c r="F102" s="107"/>
      <c r="G102" s="108"/>
      <c r="H102" s="3"/>
      <c r="I102" s="3"/>
      <c r="J102" s="3"/>
      <c r="K102" s="3"/>
      <c r="M102" s="3"/>
      <c r="N102" s="3"/>
      <c r="O102" s="3"/>
      <c r="P102" s="3"/>
      <c r="Q102" s="3"/>
      <c r="R102" s="3"/>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3"/>
      <c r="AY102" s="3"/>
      <c r="AZ102" s="3"/>
      <c r="BA102" s="3"/>
      <c r="BB102" s="3"/>
      <c r="BC102" s="3"/>
    </row>
    <row r="103" spans="1:55" ht="16.5" thickBot="1" x14ac:dyDescent="0.3">
      <c r="A103" s="97" t="s">
        <v>704</v>
      </c>
      <c r="B103" s="102">
        <v>1450</v>
      </c>
      <c r="C103" s="101">
        <v>230.19448275862069</v>
      </c>
      <c r="E103" s="106"/>
      <c r="F103" s="107"/>
      <c r="G103" s="108"/>
      <c r="H103" s="3"/>
      <c r="I103" s="3"/>
      <c r="J103" s="3"/>
      <c r="K103" s="3"/>
      <c r="M103" s="3"/>
      <c r="N103" s="3"/>
      <c r="O103" s="3"/>
      <c r="P103" s="3"/>
      <c r="Q103" s="3"/>
      <c r="R103" s="3"/>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3"/>
      <c r="AY103" s="3"/>
      <c r="AZ103" s="3"/>
      <c r="BA103" s="3"/>
      <c r="BB103" s="3"/>
      <c r="BC103" s="3"/>
    </row>
    <row r="104" spans="1:55" ht="16.5" thickBot="1" x14ac:dyDescent="0.3">
      <c r="A104" s="97" t="s">
        <v>703</v>
      </c>
      <c r="B104" s="102">
        <v>351</v>
      </c>
      <c r="C104" s="101">
        <v>213.52136752136752</v>
      </c>
      <c r="E104" s="106"/>
      <c r="F104" s="107"/>
      <c r="G104" s="108"/>
      <c r="H104" s="3"/>
      <c r="I104" s="3"/>
      <c r="J104" s="3"/>
      <c r="K104" s="3"/>
      <c r="M104" s="3"/>
      <c r="N104" s="3"/>
      <c r="O104" s="3"/>
      <c r="P104" s="3"/>
      <c r="Q104" s="3"/>
      <c r="R104" s="3"/>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3"/>
      <c r="AY104" s="3"/>
      <c r="AZ104" s="3"/>
      <c r="BA104" s="3"/>
      <c r="BB104" s="3"/>
      <c r="BC104" s="3"/>
    </row>
    <row r="105" spans="1:55" ht="16.5" thickBot="1" x14ac:dyDescent="0.3">
      <c r="A105" s="111" t="s">
        <v>719</v>
      </c>
      <c r="B105" s="110">
        <v>6643</v>
      </c>
      <c r="C105" s="109">
        <v>594.53364443775399</v>
      </c>
      <c r="E105" s="106"/>
      <c r="F105" s="107"/>
      <c r="G105" s="108"/>
      <c r="H105" s="3"/>
      <c r="I105" s="3"/>
      <c r="J105" s="3"/>
      <c r="K105" s="3"/>
      <c r="M105" s="3"/>
      <c r="N105" s="3"/>
      <c r="O105" s="3"/>
      <c r="P105" s="3"/>
      <c r="Q105" s="3"/>
      <c r="R105" s="3"/>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c r="AZ105" s="3"/>
      <c r="BA105" s="3"/>
      <c r="BB105" s="3"/>
      <c r="BC105" s="3"/>
    </row>
    <row r="106" spans="1:55" ht="16.5" thickBot="1" x14ac:dyDescent="0.3">
      <c r="A106" s="97" t="s">
        <v>706</v>
      </c>
      <c r="B106" s="102">
        <v>5694</v>
      </c>
      <c r="C106" s="101">
        <v>648.43062873199858</v>
      </c>
      <c r="E106" s="106"/>
      <c r="F106" s="107"/>
      <c r="G106" s="108"/>
      <c r="H106" s="3"/>
      <c r="I106" s="3"/>
      <c r="J106" s="3"/>
      <c r="K106" s="3"/>
      <c r="M106" s="3"/>
      <c r="N106" s="3"/>
      <c r="O106" s="3"/>
      <c r="P106" s="3"/>
      <c r="Q106" s="3"/>
      <c r="R106" s="3"/>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c r="BA106" s="3"/>
      <c r="BB106" s="3"/>
      <c r="BC106" s="3"/>
    </row>
    <row r="107" spans="1:55" ht="16.5" thickBot="1" x14ac:dyDescent="0.3">
      <c r="A107" s="97" t="s">
        <v>708</v>
      </c>
      <c r="B107" s="102">
        <v>16</v>
      </c>
      <c r="C107" s="101">
        <v>2439.5</v>
      </c>
      <c r="E107" s="106"/>
      <c r="F107" s="107"/>
      <c r="G107" s="108"/>
      <c r="H107" s="3"/>
      <c r="I107" s="3"/>
      <c r="J107" s="3"/>
      <c r="K107" s="3"/>
      <c r="M107" s="3"/>
      <c r="N107" s="3"/>
      <c r="O107" s="3"/>
      <c r="P107" s="3"/>
      <c r="Q107" s="3"/>
      <c r="R107" s="3"/>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3"/>
      <c r="AZ107" s="3"/>
      <c r="BA107" s="3"/>
      <c r="BB107" s="3"/>
      <c r="BC107" s="3"/>
    </row>
    <row r="108" spans="1:55" ht="16.5" thickBot="1" x14ac:dyDescent="0.3">
      <c r="A108" s="97" t="s">
        <v>705</v>
      </c>
      <c r="B108" s="102">
        <v>4</v>
      </c>
      <c r="C108" s="101">
        <v>53.25</v>
      </c>
      <c r="E108" s="106"/>
      <c r="F108" s="107"/>
      <c r="G108" s="108"/>
      <c r="H108" s="3"/>
      <c r="I108" s="3"/>
      <c r="J108" s="3"/>
      <c r="K108" s="3"/>
      <c r="M108" s="3"/>
      <c r="N108" s="3"/>
      <c r="O108" s="3"/>
      <c r="P108" s="3"/>
      <c r="Q108" s="3"/>
      <c r="R108" s="3"/>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c r="AT108" s="3"/>
      <c r="AU108" s="3"/>
      <c r="AV108" s="3"/>
      <c r="AW108" s="3"/>
      <c r="AX108" s="3"/>
      <c r="AY108" s="3"/>
      <c r="AZ108" s="3"/>
      <c r="BA108" s="3"/>
      <c r="BB108" s="3"/>
      <c r="BC108" s="3"/>
    </row>
    <row r="109" spans="1:55" ht="16.5" thickBot="1" x14ac:dyDescent="0.3">
      <c r="A109" s="97" t="s">
        <v>704</v>
      </c>
      <c r="B109" s="102">
        <v>793</v>
      </c>
      <c r="C109" s="101">
        <v>241.8486759142497</v>
      </c>
      <c r="E109" s="106"/>
      <c r="F109" s="107"/>
      <c r="G109" s="108"/>
      <c r="H109" s="3"/>
      <c r="I109" s="3"/>
      <c r="J109" s="3"/>
      <c r="K109" s="3"/>
      <c r="M109" s="3"/>
      <c r="N109" s="3"/>
      <c r="O109" s="3"/>
      <c r="P109" s="3"/>
      <c r="Q109" s="3"/>
      <c r="R109" s="3"/>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c r="AT109" s="3"/>
      <c r="AU109" s="3"/>
      <c r="AV109" s="3"/>
      <c r="AW109" s="3"/>
      <c r="AX109" s="3"/>
      <c r="AY109" s="3"/>
      <c r="AZ109" s="3"/>
      <c r="BA109" s="3"/>
      <c r="BB109" s="3"/>
      <c r="BC109" s="3"/>
    </row>
    <row r="110" spans="1:55" ht="16.5" thickBot="1" x14ac:dyDescent="0.3">
      <c r="A110" s="105" t="s">
        <v>703</v>
      </c>
      <c r="B110" s="104">
        <v>136</v>
      </c>
      <c r="C110" s="103">
        <v>193.3235294117647</v>
      </c>
      <c r="E110" s="106"/>
      <c r="F110" s="107"/>
      <c r="G110" s="108"/>
      <c r="H110" s="3"/>
      <c r="I110" s="3"/>
      <c r="J110" s="3"/>
      <c r="K110" s="3"/>
      <c r="M110" s="3"/>
      <c r="N110" s="3"/>
      <c r="O110" s="3"/>
      <c r="P110" s="3"/>
      <c r="Q110" s="3"/>
      <c r="R110" s="3"/>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c r="AT110" s="3"/>
      <c r="AU110" s="3"/>
      <c r="AV110" s="3"/>
      <c r="AW110" s="3"/>
      <c r="AX110" s="3"/>
      <c r="AY110" s="3"/>
      <c r="AZ110" s="3"/>
      <c r="BA110" s="3"/>
      <c r="BB110" s="3"/>
      <c r="BC110" s="3"/>
    </row>
    <row r="111" spans="1:55" ht="16.5" thickBot="1" x14ac:dyDescent="0.3">
      <c r="A111" s="100" t="s">
        <v>718</v>
      </c>
      <c r="B111" s="99">
        <v>12271</v>
      </c>
      <c r="C111" s="98">
        <v>510.26314073832611</v>
      </c>
      <c r="E111" s="106"/>
      <c r="F111" s="107"/>
      <c r="G111" s="108"/>
      <c r="H111" s="3"/>
      <c r="I111" s="3"/>
      <c r="J111" s="3"/>
      <c r="K111" s="3"/>
      <c r="M111" s="3"/>
      <c r="N111" s="3"/>
      <c r="O111" s="3"/>
      <c r="P111" s="3"/>
      <c r="Q111" s="3"/>
      <c r="R111" s="3"/>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c r="AT111" s="3"/>
      <c r="AU111" s="3"/>
      <c r="AV111" s="3"/>
      <c r="AW111" s="3"/>
      <c r="AX111" s="3"/>
      <c r="AY111" s="3"/>
      <c r="AZ111" s="3"/>
      <c r="BA111" s="3"/>
      <c r="BB111" s="3"/>
      <c r="BC111" s="3"/>
    </row>
    <row r="112" spans="1:55" ht="16.5" thickBot="1" x14ac:dyDescent="0.3">
      <c r="A112" s="97" t="s">
        <v>706</v>
      </c>
      <c r="B112" s="102">
        <v>10439</v>
      </c>
      <c r="C112" s="101">
        <v>513.80237570648535</v>
      </c>
      <c r="E112" s="106"/>
      <c r="F112" s="107"/>
      <c r="G112" s="108"/>
      <c r="H112" s="3"/>
      <c r="I112" s="3"/>
      <c r="J112" s="3"/>
      <c r="K112" s="3"/>
      <c r="M112" s="3"/>
      <c r="N112" s="3"/>
      <c r="O112" s="3"/>
      <c r="P112" s="3"/>
      <c r="Q112" s="3"/>
      <c r="R112" s="3"/>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3"/>
      <c r="AT112" s="3"/>
      <c r="AU112" s="3"/>
      <c r="AV112" s="3"/>
      <c r="AW112" s="3"/>
      <c r="AX112" s="3"/>
      <c r="AY112" s="3"/>
      <c r="AZ112" s="3"/>
      <c r="BA112" s="3"/>
      <c r="BB112" s="3"/>
      <c r="BC112" s="3"/>
    </row>
    <row r="113" spans="1:55" ht="16.5" thickBot="1" x14ac:dyDescent="0.3">
      <c r="A113" s="97" t="s">
        <v>708</v>
      </c>
      <c r="B113" s="102">
        <v>108</v>
      </c>
      <c r="C113" s="101">
        <v>2686.0555555555557</v>
      </c>
      <c r="E113" s="106"/>
      <c r="F113" s="107"/>
      <c r="G113" s="108"/>
      <c r="H113" s="3"/>
      <c r="I113" s="3"/>
      <c r="J113" s="3"/>
      <c r="K113" s="3"/>
      <c r="M113" s="3"/>
      <c r="N113" s="3"/>
      <c r="O113" s="3"/>
      <c r="P113" s="3"/>
      <c r="Q113" s="3"/>
      <c r="R113" s="3"/>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c r="AT113" s="3"/>
      <c r="AU113" s="3"/>
      <c r="AV113" s="3"/>
      <c r="AW113" s="3"/>
      <c r="AX113" s="3"/>
      <c r="AY113" s="3"/>
      <c r="AZ113" s="3"/>
      <c r="BA113" s="3"/>
      <c r="BB113" s="3"/>
      <c r="BC113" s="3"/>
    </row>
    <row r="114" spans="1:55" ht="16.5" thickBot="1" x14ac:dyDescent="0.3">
      <c r="A114" s="97" t="s">
        <v>705</v>
      </c>
      <c r="B114" s="102">
        <v>1</v>
      </c>
      <c r="C114" s="101">
        <v>338</v>
      </c>
      <c r="E114" s="106"/>
      <c r="F114" s="107"/>
      <c r="G114" s="108"/>
      <c r="H114" s="3"/>
      <c r="I114" s="3"/>
      <c r="J114" s="3"/>
      <c r="K114" s="3"/>
      <c r="M114" s="3"/>
      <c r="N114" s="3"/>
      <c r="O114" s="3"/>
      <c r="P114" s="3"/>
      <c r="Q114" s="3"/>
      <c r="R114" s="3"/>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3"/>
      <c r="AU114" s="3"/>
      <c r="AV114" s="3"/>
      <c r="AW114" s="3"/>
      <c r="AX114" s="3"/>
      <c r="AY114" s="3"/>
      <c r="AZ114" s="3"/>
      <c r="BA114" s="3"/>
      <c r="BB114" s="3"/>
      <c r="BC114" s="3"/>
    </row>
    <row r="115" spans="1:55" ht="16.5" thickBot="1" x14ac:dyDescent="0.3">
      <c r="A115" s="97" t="s">
        <v>704</v>
      </c>
      <c r="B115" s="102">
        <v>1196</v>
      </c>
      <c r="C115" s="101">
        <v>348.30100334448161</v>
      </c>
      <c r="E115" s="106"/>
      <c r="F115" s="107"/>
      <c r="G115" s="108"/>
      <c r="H115" s="3"/>
      <c r="I115" s="3"/>
      <c r="J115" s="3"/>
      <c r="K115" s="3"/>
      <c r="M115" s="3"/>
      <c r="N115" s="3"/>
      <c r="O115" s="3"/>
      <c r="P115" s="3"/>
      <c r="Q115" s="3"/>
      <c r="R115" s="3"/>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c r="AU115" s="3"/>
      <c r="AV115" s="3"/>
      <c r="AW115" s="3"/>
      <c r="AX115" s="3"/>
      <c r="AY115" s="3"/>
      <c r="AZ115" s="3"/>
      <c r="BA115" s="3"/>
      <c r="BB115" s="3"/>
      <c r="BC115" s="3"/>
    </row>
    <row r="116" spans="1:55" ht="16.5" thickBot="1" x14ac:dyDescent="0.3">
      <c r="A116" s="105" t="s">
        <v>703</v>
      </c>
      <c r="B116" s="104">
        <v>527</v>
      </c>
      <c r="C116" s="103">
        <v>362.15559772296012</v>
      </c>
      <c r="E116" s="106"/>
      <c r="F116" s="107"/>
      <c r="G116" s="108"/>
      <c r="H116" s="3"/>
      <c r="I116" s="3"/>
      <c r="J116" s="3"/>
      <c r="K116" s="3"/>
      <c r="M116" s="3"/>
      <c r="N116" s="3"/>
      <c r="O116" s="3"/>
      <c r="P116" s="3"/>
      <c r="Q116" s="3"/>
      <c r="R116" s="3"/>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c r="AU116" s="3"/>
      <c r="AV116" s="3"/>
      <c r="AW116" s="3"/>
      <c r="AX116" s="3"/>
      <c r="AY116" s="3"/>
      <c r="AZ116" s="3"/>
      <c r="BA116" s="3"/>
      <c r="BB116" s="3"/>
      <c r="BC116" s="3"/>
    </row>
    <row r="117" spans="1:55" ht="16.5" thickBot="1" x14ac:dyDescent="0.3">
      <c r="A117" s="100" t="s">
        <v>717</v>
      </c>
      <c r="B117" s="99">
        <v>12339</v>
      </c>
      <c r="C117" s="98">
        <v>922.93557014344765</v>
      </c>
      <c r="E117" s="106"/>
      <c r="F117" s="107"/>
      <c r="G117" s="108"/>
      <c r="H117" s="3"/>
      <c r="I117" s="3"/>
      <c r="J117" s="3"/>
      <c r="K117" s="3"/>
      <c r="M117" s="3"/>
      <c r="N117" s="3"/>
      <c r="O117" s="3"/>
      <c r="P117" s="3"/>
      <c r="Q117" s="3"/>
      <c r="R117" s="3"/>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c r="BC117" s="3"/>
    </row>
    <row r="118" spans="1:55" ht="16.5" thickBot="1" x14ac:dyDescent="0.3">
      <c r="A118" s="97" t="s">
        <v>706</v>
      </c>
      <c r="B118" s="102">
        <v>11234</v>
      </c>
      <c r="C118" s="101">
        <v>873.18595335588395</v>
      </c>
      <c r="E118" s="106"/>
      <c r="F118" s="107"/>
      <c r="G118" s="108"/>
      <c r="H118" s="3"/>
      <c r="I118" s="3"/>
      <c r="J118" s="3"/>
      <c r="K118" s="3"/>
      <c r="M118" s="3"/>
      <c r="N118" s="3"/>
      <c r="O118" s="3"/>
      <c r="P118" s="3"/>
      <c r="Q118" s="3"/>
      <c r="R118" s="3"/>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c r="AT118" s="3"/>
      <c r="AU118" s="3"/>
      <c r="AV118" s="3"/>
      <c r="AW118" s="3"/>
      <c r="AX118" s="3"/>
      <c r="AY118" s="3"/>
      <c r="AZ118" s="3"/>
      <c r="BA118" s="3"/>
      <c r="BB118" s="3"/>
      <c r="BC118" s="3"/>
    </row>
    <row r="119" spans="1:55" ht="16.5" thickBot="1" x14ac:dyDescent="0.3">
      <c r="A119" s="97" t="s">
        <v>708</v>
      </c>
      <c r="B119" s="102">
        <v>462</v>
      </c>
      <c r="C119" s="101">
        <v>2869.5151515151515</v>
      </c>
      <c r="E119" s="106"/>
      <c r="F119" s="107"/>
      <c r="G119" s="108"/>
      <c r="H119" s="3"/>
      <c r="I119" s="3"/>
      <c r="J119" s="3"/>
      <c r="K119" s="3"/>
      <c r="M119" s="3"/>
      <c r="N119" s="3"/>
      <c r="O119" s="3"/>
      <c r="P119" s="3"/>
      <c r="Q119" s="3"/>
      <c r="R119" s="3"/>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c r="AT119" s="3"/>
      <c r="AU119" s="3"/>
      <c r="AV119" s="3"/>
      <c r="AW119" s="3"/>
      <c r="AX119" s="3"/>
      <c r="AY119" s="3"/>
      <c r="AZ119" s="3"/>
      <c r="BA119" s="3"/>
      <c r="BB119" s="3"/>
      <c r="BC119" s="3"/>
    </row>
    <row r="120" spans="1:55" ht="16.5" thickBot="1" x14ac:dyDescent="0.3">
      <c r="A120" s="97" t="s">
        <v>705</v>
      </c>
      <c r="B120" s="102">
        <v>3</v>
      </c>
      <c r="C120" s="101">
        <v>99.333333333333329</v>
      </c>
      <c r="E120" s="106"/>
      <c r="F120" s="107"/>
      <c r="G120" s="108"/>
      <c r="L120"/>
    </row>
    <row r="121" spans="1:55" ht="16.5" thickBot="1" x14ac:dyDescent="0.3">
      <c r="A121" s="97" t="s">
        <v>704</v>
      </c>
      <c r="B121" s="102">
        <v>442</v>
      </c>
      <c r="C121" s="101">
        <v>399.70135746606337</v>
      </c>
      <c r="E121" s="106"/>
      <c r="F121" s="107"/>
      <c r="G121" s="108"/>
    </row>
    <row r="122" spans="1:55" ht="16.5" thickBot="1" x14ac:dyDescent="0.3">
      <c r="A122" s="105" t="s">
        <v>703</v>
      </c>
      <c r="B122" s="104">
        <v>198</v>
      </c>
      <c r="C122" s="103">
        <v>384.0858585858586</v>
      </c>
      <c r="E122" s="106"/>
      <c r="F122" s="107"/>
    </row>
    <row r="123" spans="1:55" ht="16.5" thickBot="1" x14ac:dyDescent="0.3">
      <c r="A123" s="100" t="s">
        <v>716</v>
      </c>
      <c r="B123" s="99">
        <v>6781</v>
      </c>
      <c r="C123" s="98">
        <v>636.30157793835713</v>
      </c>
      <c r="E123" s="106"/>
      <c r="F123" s="107"/>
    </row>
    <row r="124" spans="1:55" ht="16.5" thickBot="1" x14ac:dyDescent="0.3">
      <c r="A124" s="97" t="s">
        <v>706</v>
      </c>
      <c r="B124" s="102">
        <v>6410</v>
      </c>
      <c r="C124" s="101">
        <v>656.79235569422781</v>
      </c>
      <c r="E124" s="106"/>
      <c r="F124" s="107"/>
    </row>
    <row r="125" spans="1:55" ht="16.5" thickBot="1" x14ac:dyDescent="0.3">
      <c r="A125" s="97" t="s">
        <v>708</v>
      </c>
      <c r="B125" s="102">
        <v>1</v>
      </c>
      <c r="C125" s="101">
        <v>2072</v>
      </c>
      <c r="E125" s="106"/>
      <c r="F125" s="107"/>
    </row>
    <row r="126" spans="1:55" ht="16.5" thickBot="1" x14ac:dyDescent="0.3">
      <c r="A126" s="97" t="s">
        <v>705</v>
      </c>
      <c r="B126" s="102">
        <v>2</v>
      </c>
      <c r="C126" s="101">
        <v>28.5</v>
      </c>
      <c r="E126" s="106"/>
      <c r="F126" s="107"/>
    </row>
    <row r="127" spans="1:55" ht="16.5" thickBot="1" x14ac:dyDescent="0.3">
      <c r="A127" s="97" t="s">
        <v>704</v>
      </c>
      <c r="B127" s="102">
        <v>214</v>
      </c>
      <c r="C127" s="101">
        <v>306.62616822429908</v>
      </c>
      <c r="E127" s="106"/>
      <c r="F127" s="107"/>
    </row>
    <row r="128" spans="1:55" ht="16.5" thickBot="1" x14ac:dyDescent="0.3">
      <c r="A128" s="105" t="s">
        <v>703</v>
      </c>
      <c r="B128" s="104">
        <v>154</v>
      </c>
      <c r="C128" s="103">
        <v>240.09740259740261</v>
      </c>
      <c r="E128" s="106"/>
      <c r="F128" s="107"/>
    </row>
    <row r="129" spans="1:12" ht="16.5" thickBot="1" x14ac:dyDescent="0.3">
      <c r="A129" s="100" t="s">
        <v>715</v>
      </c>
      <c r="B129" s="99">
        <v>2511</v>
      </c>
      <c r="C129" s="98">
        <v>374.4078056551175</v>
      </c>
      <c r="E129" s="106"/>
      <c r="F129" s="107"/>
    </row>
    <row r="130" spans="1:12" ht="16.5" thickBot="1" x14ac:dyDescent="0.3">
      <c r="A130" s="97" t="s">
        <v>706</v>
      </c>
      <c r="B130" s="102">
        <v>1757</v>
      </c>
      <c r="C130" s="101">
        <v>462.05577689243029</v>
      </c>
      <c r="E130" s="106"/>
      <c r="F130" s="107"/>
    </row>
    <row r="131" spans="1:12" ht="16.5" thickBot="1" x14ac:dyDescent="0.3">
      <c r="A131" s="97" t="s">
        <v>705</v>
      </c>
      <c r="B131" s="102">
        <v>7</v>
      </c>
      <c r="C131" s="101">
        <v>127.14285714285714</v>
      </c>
      <c r="E131" s="106"/>
      <c r="F131" s="107"/>
    </row>
    <row r="132" spans="1:12" ht="16.5" thickBot="1" x14ac:dyDescent="0.3">
      <c r="A132" s="97" t="s">
        <v>704</v>
      </c>
      <c r="B132" s="102">
        <v>724</v>
      </c>
      <c r="C132" s="101">
        <v>172.25966850828729</v>
      </c>
      <c r="E132" s="106"/>
      <c r="F132" s="107"/>
    </row>
    <row r="133" spans="1:12" ht="16.5" thickBot="1" x14ac:dyDescent="0.3">
      <c r="A133" s="97" t="s">
        <v>703</v>
      </c>
      <c r="B133" s="102">
        <v>23</v>
      </c>
      <c r="C133" s="101">
        <v>117.39130434782609</v>
      </c>
      <c r="E133" s="106"/>
      <c r="F133" s="107"/>
    </row>
    <row r="134" spans="1:12" ht="16.5" thickBot="1" x14ac:dyDescent="0.3">
      <c r="A134" s="100" t="s">
        <v>714</v>
      </c>
      <c r="B134" s="99">
        <v>6688</v>
      </c>
      <c r="C134" s="98">
        <v>749.99476674641153</v>
      </c>
      <c r="E134" s="106"/>
      <c r="F134" s="107"/>
    </row>
    <row r="135" spans="1:12" ht="16.5" thickBot="1" x14ac:dyDescent="0.3">
      <c r="A135" s="97" t="s">
        <v>706</v>
      </c>
      <c r="B135" s="102">
        <v>6412</v>
      </c>
      <c r="C135" s="101">
        <v>762.47738615096694</v>
      </c>
      <c r="E135" s="106"/>
      <c r="F135" s="107"/>
    </row>
    <row r="136" spans="1:12" ht="16.5" thickBot="1" x14ac:dyDescent="0.3">
      <c r="A136" s="97" t="s">
        <v>708</v>
      </c>
      <c r="B136" s="102">
        <v>19</v>
      </c>
      <c r="C136" s="101">
        <v>2679.3157894736842</v>
      </c>
      <c r="E136" s="106"/>
      <c r="F136" s="107"/>
    </row>
    <row r="137" spans="1:12" ht="16.5" thickBot="1" x14ac:dyDescent="0.3">
      <c r="A137" s="97" t="s">
        <v>705</v>
      </c>
      <c r="B137" s="102">
        <v>1</v>
      </c>
      <c r="C137" s="101">
        <v>61</v>
      </c>
      <c r="E137" s="106"/>
      <c r="F137" s="107"/>
    </row>
    <row r="138" spans="1:12" ht="16.5" thickBot="1" x14ac:dyDescent="0.3">
      <c r="A138" s="97" t="s">
        <v>704</v>
      </c>
      <c r="B138" s="102">
        <v>229</v>
      </c>
      <c r="C138" s="101">
        <v>302.69432314410483</v>
      </c>
      <c r="E138" s="106"/>
    </row>
    <row r="139" spans="1:12" ht="16.5" thickBot="1" x14ac:dyDescent="0.3">
      <c r="A139" s="97" t="s">
        <v>703</v>
      </c>
      <c r="B139" s="102">
        <v>27</v>
      </c>
      <c r="C139" s="101">
        <v>247.22222222222223</v>
      </c>
      <c r="E139" s="106"/>
    </row>
    <row r="140" spans="1:12" ht="16.5" thickBot="1" x14ac:dyDescent="0.3">
      <c r="A140" s="100" t="s">
        <v>713</v>
      </c>
      <c r="B140" s="99">
        <v>4290</v>
      </c>
      <c r="C140" s="98">
        <v>387.36946386946386</v>
      </c>
      <c r="E140" s="106"/>
    </row>
    <row r="141" spans="1:12" ht="16.5" thickBot="1" x14ac:dyDescent="0.3">
      <c r="A141" s="97" t="s">
        <v>706</v>
      </c>
      <c r="B141" s="102">
        <v>2760</v>
      </c>
      <c r="C141" s="101">
        <v>531.0554347826087</v>
      </c>
      <c r="E141" s="106"/>
      <c r="J141" s="3"/>
      <c r="L141"/>
    </row>
    <row r="142" spans="1:12" ht="16.5" thickBot="1" x14ac:dyDescent="0.3">
      <c r="A142" s="97" t="s">
        <v>708</v>
      </c>
      <c r="B142" s="102">
        <v>1</v>
      </c>
      <c r="C142" s="101">
        <v>1096</v>
      </c>
      <c r="E142" s="106"/>
      <c r="J142" s="3"/>
      <c r="L142"/>
    </row>
    <row r="143" spans="1:12" ht="16.5" thickBot="1" x14ac:dyDescent="0.3">
      <c r="A143" s="97" t="s">
        <v>705</v>
      </c>
      <c r="B143" s="102">
        <v>4</v>
      </c>
      <c r="C143" s="101">
        <v>117</v>
      </c>
      <c r="E143" s="106"/>
      <c r="G143"/>
      <c r="J143" s="3"/>
      <c r="L143"/>
    </row>
    <row r="144" spans="1:12" ht="16.5" thickBot="1" x14ac:dyDescent="0.3">
      <c r="A144" s="97" t="s">
        <v>704</v>
      </c>
      <c r="B144" s="102">
        <v>1396</v>
      </c>
      <c r="C144" s="101">
        <v>117.61819484240688</v>
      </c>
      <c r="E144" s="106"/>
      <c r="G144"/>
      <c r="J144" s="3"/>
      <c r="L144"/>
    </row>
    <row r="145" spans="1:7" ht="16.5" thickBot="1" x14ac:dyDescent="0.3">
      <c r="A145" s="97" t="s">
        <v>703</v>
      </c>
      <c r="B145" s="102">
        <v>129</v>
      </c>
      <c r="C145" s="101">
        <v>235.2170542635659</v>
      </c>
      <c r="E145" s="106"/>
      <c r="G145"/>
    </row>
    <row r="146" spans="1:7" ht="16.5" thickBot="1" x14ac:dyDescent="0.3">
      <c r="A146" s="100" t="s">
        <v>712</v>
      </c>
      <c r="B146" s="99">
        <v>1499</v>
      </c>
      <c r="C146" s="98">
        <v>710.5023348899266</v>
      </c>
      <c r="E146" s="106"/>
      <c r="G146"/>
    </row>
    <row r="147" spans="1:7" ht="16.5" thickBot="1" x14ac:dyDescent="0.3">
      <c r="A147" s="97" t="s">
        <v>706</v>
      </c>
      <c r="B147" s="102">
        <v>1069</v>
      </c>
      <c r="C147" s="101">
        <v>847.93545369504204</v>
      </c>
      <c r="E147" s="106"/>
    </row>
    <row r="148" spans="1:7" ht="16.5" thickBot="1" x14ac:dyDescent="0.3">
      <c r="A148" s="97" t="s">
        <v>708</v>
      </c>
      <c r="B148" s="102">
        <v>15</v>
      </c>
      <c r="C148" s="101">
        <v>2698.2666666666669</v>
      </c>
      <c r="E148" s="106"/>
    </row>
    <row r="149" spans="1:7" ht="16.5" thickBot="1" x14ac:dyDescent="0.3">
      <c r="A149" s="97" t="s">
        <v>705</v>
      </c>
      <c r="B149" s="102">
        <v>2</v>
      </c>
      <c r="C149" s="101">
        <v>133.5</v>
      </c>
      <c r="E149" s="106"/>
    </row>
    <row r="150" spans="1:7" ht="16.5" thickBot="1" x14ac:dyDescent="0.3">
      <c r="A150" s="97" t="s">
        <v>704</v>
      </c>
      <c r="B150" s="102">
        <v>326</v>
      </c>
      <c r="C150" s="101">
        <v>312.15644171779144</v>
      </c>
      <c r="D150" s="94"/>
      <c r="E150" s="106"/>
    </row>
    <row r="151" spans="1:7" ht="16.5" thickBot="1" x14ac:dyDescent="0.3">
      <c r="A151" s="97" t="s">
        <v>703</v>
      </c>
      <c r="B151" s="102">
        <v>87</v>
      </c>
      <c r="C151" s="101">
        <v>185.01149425287358</v>
      </c>
      <c r="D151" s="94"/>
      <c r="E151" s="106"/>
    </row>
    <row r="152" spans="1:7" ht="16.5" thickBot="1" x14ac:dyDescent="0.3">
      <c r="A152" s="100" t="s">
        <v>711</v>
      </c>
      <c r="B152" s="99">
        <v>20275</v>
      </c>
      <c r="C152" s="98">
        <v>659.94495684340325</v>
      </c>
      <c r="D152" s="94"/>
      <c r="E152" s="93"/>
      <c r="F152"/>
    </row>
    <row r="153" spans="1:7" ht="16.5" thickBot="1" x14ac:dyDescent="0.3">
      <c r="A153" s="97" t="s">
        <v>706</v>
      </c>
      <c r="B153" s="102">
        <v>18743</v>
      </c>
      <c r="C153" s="101">
        <v>681.38473029931174</v>
      </c>
      <c r="D153" s="94"/>
      <c r="E153" s="93"/>
      <c r="F153"/>
    </row>
    <row r="154" spans="1:7" ht="16.5" thickBot="1" x14ac:dyDescent="0.3">
      <c r="A154" s="97" t="s">
        <v>708</v>
      </c>
      <c r="B154" s="102">
        <v>57</v>
      </c>
      <c r="C154" s="101">
        <v>2378.3333333333335</v>
      </c>
      <c r="E154" s="93"/>
      <c r="F154"/>
    </row>
    <row r="155" spans="1:7" ht="16.5" thickBot="1" x14ac:dyDescent="0.3">
      <c r="A155" s="97" t="s">
        <v>704</v>
      </c>
      <c r="B155" s="102">
        <v>958</v>
      </c>
      <c r="C155" s="101">
        <v>321.04801670146139</v>
      </c>
      <c r="E155" s="93"/>
      <c r="F155"/>
    </row>
    <row r="156" spans="1:7" ht="16.5" thickBot="1" x14ac:dyDescent="0.3">
      <c r="A156" s="105" t="s">
        <v>703</v>
      </c>
      <c r="B156" s="104">
        <v>517</v>
      </c>
      <c r="C156" s="103">
        <v>321.20116054158609</v>
      </c>
    </row>
    <row r="157" spans="1:7" ht="16.5" thickBot="1" x14ac:dyDescent="0.3">
      <c r="A157" s="100" t="s">
        <v>710</v>
      </c>
      <c r="B157" s="99">
        <v>10391</v>
      </c>
      <c r="C157" s="98">
        <v>685.71475315176599</v>
      </c>
    </row>
    <row r="158" spans="1:7" ht="16.5" thickBot="1" x14ac:dyDescent="0.3">
      <c r="A158" s="97" t="s">
        <v>706</v>
      </c>
      <c r="B158" s="102">
        <v>9037</v>
      </c>
      <c r="C158" s="101">
        <v>702.75002766404782</v>
      </c>
    </row>
    <row r="159" spans="1:7" ht="16.5" thickBot="1" x14ac:dyDescent="0.3">
      <c r="A159" s="97" t="s">
        <v>708</v>
      </c>
      <c r="B159" s="102">
        <v>90</v>
      </c>
      <c r="C159" s="101">
        <v>2763.088888888889</v>
      </c>
    </row>
    <row r="160" spans="1:7" ht="16.5" thickBot="1" x14ac:dyDescent="0.3">
      <c r="A160" s="97" t="s">
        <v>704</v>
      </c>
      <c r="B160" s="102">
        <v>726</v>
      </c>
      <c r="C160" s="101">
        <v>311.19972451790636</v>
      </c>
    </row>
    <row r="161" spans="1:3" ht="16.5" thickBot="1" x14ac:dyDescent="0.3">
      <c r="A161" s="105" t="s">
        <v>703</v>
      </c>
      <c r="B161" s="104">
        <v>538</v>
      </c>
      <c r="C161" s="103">
        <v>557.43680297397771</v>
      </c>
    </row>
    <row r="162" spans="1:3" ht="16.5" thickBot="1" x14ac:dyDescent="0.3">
      <c r="A162" s="100" t="s">
        <v>709</v>
      </c>
      <c r="B162" s="99">
        <v>4146</v>
      </c>
      <c r="C162" s="98">
        <v>864.62566328991795</v>
      </c>
    </row>
    <row r="163" spans="1:3" ht="16.5" thickBot="1" x14ac:dyDescent="0.3">
      <c r="A163" s="97" t="s">
        <v>706</v>
      </c>
      <c r="B163" s="102">
        <v>3811</v>
      </c>
      <c r="C163" s="101">
        <v>883.13251115192861</v>
      </c>
    </row>
    <row r="164" spans="1:3" ht="16.5" thickBot="1" x14ac:dyDescent="0.3">
      <c r="A164" s="97" t="s">
        <v>708</v>
      </c>
      <c r="B164" s="102">
        <v>27</v>
      </c>
      <c r="C164" s="101">
        <v>2734.5555555555557</v>
      </c>
    </row>
    <row r="165" spans="1:3" ht="16.5" thickBot="1" x14ac:dyDescent="0.3">
      <c r="A165" s="97" t="s">
        <v>705</v>
      </c>
      <c r="B165" s="102">
        <v>1</v>
      </c>
      <c r="C165" s="101">
        <v>54</v>
      </c>
    </row>
    <row r="166" spans="1:3" ht="16.5" thickBot="1" x14ac:dyDescent="0.3">
      <c r="A166" s="97" t="s">
        <v>704</v>
      </c>
      <c r="B166" s="102">
        <v>282</v>
      </c>
      <c r="C166" s="101">
        <v>498.18085106382978</v>
      </c>
    </row>
    <row r="167" spans="1:3" ht="16.5" thickBot="1" x14ac:dyDescent="0.3">
      <c r="A167" s="97" t="s">
        <v>703</v>
      </c>
      <c r="B167" s="102">
        <v>25</v>
      </c>
      <c r="C167" s="101">
        <v>189.84</v>
      </c>
    </row>
    <row r="168" spans="1:3" ht="16.5" thickBot="1" x14ac:dyDescent="0.3">
      <c r="A168" s="100" t="s">
        <v>707</v>
      </c>
      <c r="B168" s="99">
        <v>2933</v>
      </c>
      <c r="C168" s="98">
        <v>393.5219911353563</v>
      </c>
    </row>
    <row r="169" spans="1:3" ht="16.5" thickBot="1" x14ac:dyDescent="0.3">
      <c r="A169" s="97" t="s">
        <v>706</v>
      </c>
      <c r="B169" s="96">
        <v>2523</v>
      </c>
      <c r="C169" s="95">
        <v>428.84185493460166</v>
      </c>
    </row>
    <row r="170" spans="1:3" ht="16.5" thickBot="1" x14ac:dyDescent="0.3">
      <c r="A170" s="97" t="s">
        <v>705</v>
      </c>
      <c r="B170" s="96">
        <v>21</v>
      </c>
      <c r="C170" s="95">
        <v>171.9047619047619</v>
      </c>
    </row>
    <row r="171" spans="1:3" ht="16.5" thickBot="1" x14ac:dyDescent="0.3">
      <c r="A171" s="97" t="s">
        <v>704</v>
      </c>
      <c r="B171" s="96">
        <v>335</v>
      </c>
      <c r="C171" s="95">
        <v>172.30447761194029</v>
      </c>
    </row>
    <row r="172" spans="1:3" ht="16.5" thickBot="1" x14ac:dyDescent="0.3">
      <c r="A172" s="97" t="s">
        <v>703</v>
      </c>
      <c r="B172" s="96">
        <v>54</v>
      </c>
      <c r="C172" s="95">
        <v>201.85185185185185</v>
      </c>
    </row>
  </sheetData>
  <mergeCells count="18">
    <mergeCell ref="A7:C7"/>
    <mergeCell ref="A16:C16"/>
    <mergeCell ref="A1:G1"/>
    <mergeCell ref="A2:G3"/>
    <mergeCell ref="A4:G4"/>
    <mergeCell ref="E8:G8"/>
    <mergeCell ref="E14:G14"/>
    <mergeCell ref="A30:C30"/>
    <mergeCell ref="E24:G24"/>
    <mergeCell ref="A29:C29"/>
    <mergeCell ref="A28:C28"/>
    <mergeCell ref="A26:C26"/>
    <mergeCell ref="A27:C27"/>
    <mergeCell ref="E18:G18"/>
    <mergeCell ref="A17:C17"/>
    <mergeCell ref="A19:C19"/>
    <mergeCell ref="E19:G19"/>
    <mergeCell ref="E25:G25"/>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77C6E7-45A5-4F7B-B402-57D3EDCEF968}">
  <dimension ref="A1:AX177"/>
  <sheetViews>
    <sheetView showGridLines="0" zoomScaleNormal="100" zoomScaleSheetLayoutView="70" zoomScalePageLayoutView="90" workbookViewId="0">
      <selection sqref="A1:D1"/>
    </sheetView>
  </sheetViews>
  <sheetFormatPr defaultRowHeight="15" x14ac:dyDescent="0.25"/>
  <cols>
    <col min="1" max="1" width="36.42578125" customWidth="1"/>
    <col min="2" max="2" width="23.85546875" bestFit="1" customWidth="1"/>
    <col min="3" max="3" width="11.42578125" customWidth="1"/>
    <col min="4" max="4" width="14.42578125" customWidth="1"/>
    <col min="5" max="5" width="13.140625" customWidth="1"/>
    <col min="6" max="6" width="12.85546875" customWidth="1"/>
    <col min="7" max="8" width="10.42578125" customWidth="1"/>
    <col min="9" max="9" width="13.42578125" customWidth="1"/>
    <col min="10" max="10" width="11.5703125" customWidth="1"/>
    <col min="12" max="12" width="8.85546875" bestFit="1" customWidth="1"/>
    <col min="13" max="13" width="9" bestFit="1" customWidth="1"/>
    <col min="14" max="14" width="13.5703125" customWidth="1"/>
    <col min="15" max="15" width="17.140625" customWidth="1"/>
    <col min="16" max="16" width="10.42578125" customWidth="1"/>
    <col min="25" max="25" width="8.85546875" customWidth="1"/>
    <col min="27" max="27" width="10.5703125" bestFit="1" customWidth="1"/>
  </cols>
  <sheetData>
    <row r="1" spans="1:50" s="153" customFormat="1" ht="27.75" customHeight="1" x14ac:dyDescent="0.2">
      <c r="A1" s="412" t="s">
        <v>489</v>
      </c>
      <c r="B1" s="412"/>
      <c r="C1" s="412"/>
      <c r="D1" s="412"/>
    </row>
    <row r="2" spans="1:50" s="155" customFormat="1" ht="45.75" customHeight="1" x14ac:dyDescent="0.2">
      <c r="A2" s="413" t="s">
        <v>1</v>
      </c>
      <c r="B2" s="413"/>
      <c r="C2" s="413"/>
      <c r="D2" s="413"/>
      <c r="E2" s="413"/>
      <c r="F2" s="413"/>
      <c r="G2" s="413"/>
      <c r="H2" s="413"/>
      <c r="I2" s="413"/>
      <c r="J2" s="413"/>
      <c r="K2" s="413"/>
      <c r="L2" s="413"/>
      <c r="M2" s="413"/>
      <c r="N2" s="413"/>
      <c r="O2" s="413"/>
      <c r="P2" s="413"/>
      <c r="Q2" s="154"/>
      <c r="R2" s="154"/>
      <c r="S2" s="154"/>
      <c r="T2" s="154"/>
      <c r="U2" s="154"/>
      <c r="V2" s="154"/>
    </row>
    <row r="3" spans="1:50" ht="31.5" customHeight="1" x14ac:dyDescent="0.25">
      <c r="A3" s="414" t="s">
        <v>761</v>
      </c>
      <c r="B3" s="414"/>
      <c r="C3" s="414"/>
      <c r="D3" s="414"/>
      <c r="E3" s="156"/>
      <c r="F3" s="156"/>
      <c r="G3" s="156"/>
      <c r="H3" s="156"/>
      <c r="I3" s="156"/>
      <c r="J3" s="156"/>
      <c r="K3" s="156"/>
      <c r="L3" s="156"/>
      <c r="M3" s="156"/>
      <c r="N3" s="156"/>
      <c r="O3" s="156"/>
      <c r="P3" s="156"/>
      <c r="Q3" s="156"/>
      <c r="R3" s="156"/>
      <c r="S3" s="156"/>
      <c r="T3" s="156"/>
      <c r="U3" s="156"/>
      <c r="V3" s="156"/>
      <c r="W3" s="3"/>
      <c r="X3" s="3"/>
      <c r="Y3" s="3"/>
      <c r="Z3" s="3"/>
      <c r="AA3" s="3"/>
      <c r="AB3" s="3"/>
      <c r="AC3" s="3"/>
      <c r="AD3" s="3"/>
      <c r="AE3" s="3"/>
      <c r="AF3" s="3"/>
      <c r="AG3" s="3"/>
      <c r="AH3" s="3"/>
      <c r="AI3" s="3"/>
      <c r="AJ3" s="3"/>
      <c r="AK3" s="3"/>
      <c r="AL3" s="3"/>
      <c r="AM3" s="3"/>
      <c r="AN3" s="3"/>
      <c r="AO3" s="3"/>
      <c r="AP3" s="3"/>
      <c r="AQ3" s="3"/>
      <c r="AR3" s="3"/>
      <c r="AS3" s="3"/>
      <c r="AT3" s="3"/>
      <c r="AU3" s="3"/>
      <c r="AV3" s="3"/>
      <c r="AW3" s="3"/>
      <c r="AX3" s="3"/>
    </row>
    <row r="4" spans="1:50" s="153" customFormat="1" ht="30.75" customHeight="1" x14ac:dyDescent="0.2">
      <c r="A4" s="406"/>
      <c r="B4" s="406"/>
      <c r="C4" s="406"/>
      <c r="D4" s="406"/>
      <c r="E4" s="406"/>
      <c r="F4" s="406"/>
      <c r="G4" s="406"/>
      <c r="H4" s="406"/>
      <c r="I4" s="406"/>
      <c r="J4" s="406"/>
      <c r="K4" s="406"/>
      <c r="L4" s="406"/>
      <c r="M4" s="406"/>
      <c r="N4" s="406"/>
      <c r="O4" s="406"/>
      <c r="P4" s="406"/>
      <c r="Q4" s="406"/>
      <c r="R4" s="406"/>
      <c r="S4" s="406"/>
      <c r="T4" s="406"/>
      <c r="U4" s="406"/>
      <c r="V4" s="406"/>
      <c r="W4" s="157"/>
      <c r="X4" s="157"/>
      <c r="Y4" s="157"/>
      <c r="Z4" s="157"/>
    </row>
    <row r="5" spans="1:50" s="155" customFormat="1" ht="18.95" customHeight="1" thickBot="1" x14ac:dyDescent="0.25">
      <c r="A5" s="158"/>
      <c r="B5" s="158"/>
      <c r="C5" s="158"/>
      <c r="D5" s="158"/>
      <c r="E5" s="158"/>
      <c r="F5" s="158"/>
      <c r="G5" s="158"/>
      <c r="H5" s="158"/>
      <c r="I5" s="158"/>
      <c r="J5" s="158"/>
      <c r="K5" s="158"/>
      <c r="L5" s="158"/>
      <c r="M5" s="158"/>
      <c r="N5" s="158"/>
      <c r="O5" s="158"/>
      <c r="P5" s="158"/>
      <c r="Q5" s="158"/>
      <c r="R5" s="158"/>
      <c r="S5" s="158"/>
      <c r="T5" s="158"/>
      <c r="U5" s="158"/>
      <c r="V5" s="158"/>
      <c r="W5" s="159"/>
      <c r="X5" s="159"/>
      <c r="Y5" s="159"/>
      <c r="Z5" s="159"/>
    </row>
    <row r="6" spans="1:50" s="155" customFormat="1" ht="16.5" customHeight="1" x14ac:dyDescent="0.2">
      <c r="A6" s="407"/>
      <c r="B6" s="408"/>
      <c r="C6" s="408"/>
      <c r="D6" s="408"/>
      <c r="E6" s="408"/>
      <c r="F6" s="408"/>
      <c r="G6" s="408"/>
      <c r="H6" s="408"/>
      <c r="I6" s="408"/>
      <c r="J6" s="408"/>
      <c r="K6" s="408"/>
      <c r="L6" s="408"/>
      <c r="M6" s="408"/>
      <c r="N6" s="408"/>
      <c r="O6" s="408"/>
      <c r="P6" s="408"/>
      <c r="Q6" s="408"/>
      <c r="R6" s="408"/>
      <c r="S6" s="408"/>
      <c r="T6" s="408"/>
      <c r="U6" s="408"/>
      <c r="V6" s="409"/>
      <c r="W6" s="159"/>
      <c r="X6" s="159"/>
      <c r="Y6" s="159"/>
      <c r="Z6" s="159"/>
    </row>
    <row r="7" spans="1:50" s="153" customFormat="1" ht="16.5" customHeight="1" x14ac:dyDescent="0.2">
      <c r="A7" s="160"/>
      <c r="B7" s="161"/>
      <c r="C7" s="161"/>
      <c r="D7" s="161"/>
      <c r="E7" s="161"/>
      <c r="F7" s="161"/>
      <c r="G7" s="161"/>
      <c r="H7" s="161"/>
      <c r="J7" s="162"/>
      <c r="K7" s="162"/>
      <c r="L7" s="162"/>
      <c r="N7" s="161"/>
      <c r="O7" s="161"/>
      <c r="P7" s="161"/>
      <c r="Q7" s="161"/>
      <c r="R7" s="161"/>
      <c r="S7" s="161"/>
      <c r="T7" s="161"/>
      <c r="U7" s="161"/>
      <c r="V7" s="163"/>
      <c r="W7" s="164"/>
      <c r="X7" s="164"/>
      <c r="Y7" s="164"/>
      <c r="Z7" s="164"/>
    </row>
    <row r="8" spans="1:50" s="166" customFormat="1" ht="30.6" customHeight="1" x14ac:dyDescent="0.2">
      <c r="A8" s="379" t="s">
        <v>762</v>
      </c>
      <c r="B8" s="380"/>
      <c r="C8" s="380"/>
      <c r="D8" s="380"/>
      <c r="E8" s="165"/>
      <c r="F8" s="165"/>
      <c r="G8" s="393" t="s">
        <v>763</v>
      </c>
      <c r="H8" s="393"/>
      <c r="I8" s="393"/>
      <c r="J8" s="393"/>
      <c r="K8" s="393"/>
      <c r="M8" s="393" t="s">
        <v>764</v>
      </c>
      <c r="N8" s="393"/>
      <c r="O8" s="393"/>
      <c r="P8" s="393"/>
      <c r="Q8" s="393"/>
      <c r="T8" s="167"/>
      <c r="U8" s="167"/>
      <c r="V8" s="168"/>
      <c r="W8" s="169"/>
      <c r="X8" s="169"/>
      <c r="Y8" s="169"/>
      <c r="Z8" s="169"/>
      <c r="AB8" s="170"/>
      <c r="AC8" s="170"/>
    </row>
    <row r="9" spans="1:50" s="153" customFormat="1" ht="28.35" customHeight="1" x14ac:dyDescent="0.2">
      <c r="A9" s="171" t="s">
        <v>765</v>
      </c>
      <c r="B9" s="172" t="s">
        <v>766</v>
      </c>
      <c r="C9" s="172" t="s">
        <v>734</v>
      </c>
      <c r="D9" s="161"/>
      <c r="E9" s="161"/>
      <c r="F9" s="161"/>
      <c r="G9" s="410" t="s">
        <v>767</v>
      </c>
      <c r="H9" s="411"/>
      <c r="I9" s="173" t="s">
        <v>766</v>
      </c>
      <c r="J9" s="173" t="s">
        <v>734</v>
      </c>
      <c r="K9" s="174"/>
      <c r="L9" s="174"/>
      <c r="M9" s="410" t="s">
        <v>768</v>
      </c>
      <c r="N9" s="411"/>
      <c r="O9" s="175" t="s">
        <v>769</v>
      </c>
      <c r="P9" s="161"/>
      <c r="Q9" s="161"/>
      <c r="R9" s="161"/>
      <c r="S9" s="161"/>
      <c r="T9" s="161"/>
      <c r="U9" s="164"/>
      <c r="V9" s="168"/>
      <c r="W9" s="164"/>
      <c r="X9" s="164"/>
      <c r="Y9" s="164"/>
      <c r="Z9" s="164"/>
      <c r="AA9" s="164"/>
      <c r="AB9" s="176"/>
      <c r="AC9" s="176"/>
    </row>
    <row r="10" spans="1:50" s="153" customFormat="1" ht="16.5" customHeight="1" thickBot="1" x14ac:dyDescent="0.25">
      <c r="A10" s="177" t="s">
        <v>734</v>
      </c>
      <c r="B10" s="178">
        <f>SUM(B11:B14)</f>
        <v>43759</v>
      </c>
      <c r="C10" s="178">
        <f>SUM(C11:C14)</f>
        <v>43759</v>
      </c>
      <c r="D10" s="161"/>
      <c r="E10" s="161"/>
      <c r="F10" s="161"/>
      <c r="G10" s="398" t="s">
        <v>770</v>
      </c>
      <c r="H10" s="398"/>
      <c r="I10" s="179">
        <v>48.863278295941498</v>
      </c>
      <c r="J10" s="179">
        <v>48.863278295941498</v>
      </c>
      <c r="K10" s="180"/>
      <c r="L10" s="180"/>
      <c r="M10" s="399" t="s">
        <v>734</v>
      </c>
      <c r="N10" s="400"/>
      <c r="O10" s="181">
        <v>10358</v>
      </c>
      <c r="P10" s="161"/>
      <c r="Q10" s="161"/>
      <c r="R10" s="161"/>
      <c r="S10" s="161"/>
      <c r="T10" s="161"/>
      <c r="U10" s="182"/>
      <c r="V10" s="168"/>
      <c r="W10" s="164"/>
      <c r="X10" s="164"/>
      <c r="Y10" s="164"/>
      <c r="Z10" s="164"/>
      <c r="AA10" s="164"/>
      <c r="AB10" s="176"/>
      <c r="AC10" s="176"/>
    </row>
    <row r="11" spans="1:50" s="153" customFormat="1" ht="13.35" customHeight="1" thickTop="1" x14ac:dyDescent="0.2">
      <c r="A11" s="183" t="s">
        <v>771</v>
      </c>
      <c r="B11" s="184">
        <v>5278</v>
      </c>
      <c r="C11" s="185">
        <f>SUM(B11)</f>
        <v>5278</v>
      </c>
      <c r="D11" s="161"/>
      <c r="E11" s="161"/>
      <c r="F11" s="401"/>
      <c r="G11" s="402"/>
      <c r="H11" s="186"/>
      <c r="I11" s="186"/>
      <c r="J11" s="186"/>
      <c r="K11" s="186"/>
      <c r="M11" s="403" t="s">
        <v>766</v>
      </c>
      <c r="N11" s="404"/>
      <c r="O11" s="187">
        <v>10358</v>
      </c>
      <c r="P11" s="161"/>
      <c r="Q11" s="161"/>
      <c r="R11" s="182"/>
      <c r="S11" s="182"/>
      <c r="T11" s="182"/>
      <c r="U11" s="164"/>
      <c r="V11" s="168"/>
      <c r="W11" s="164"/>
      <c r="X11" s="164"/>
      <c r="Y11" s="176"/>
      <c r="Z11" s="176"/>
    </row>
    <row r="12" spans="1:50" s="153" customFormat="1" ht="13.35" customHeight="1" x14ac:dyDescent="0.2">
      <c r="A12" s="188" t="s">
        <v>772</v>
      </c>
      <c r="B12" s="184">
        <v>19306</v>
      </c>
      <c r="C12" s="185">
        <f t="shared" ref="C12:C14" si="0">SUM(B12)</f>
        <v>19306</v>
      </c>
      <c r="D12" s="161"/>
      <c r="E12" s="161"/>
      <c r="M12" s="405"/>
      <c r="N12" s="405"/>
      <c r="O12" s="190"/>
      <c r="P12" s="161"/>
      <c r="Q12" s="161"/>
      <c r="R12" s="161"/>
      <c r="S12" s="161"/>
      <c r="T12" s="161"/>
      <c r="U12" s="182"/>
      <c r="V12" s="168"/>
      <c r="W12" s="191"/>
      <c r="X12" s="164"/>
      <c r="Y12" s="164"/>
      <c r="Z12" s="164"/>
      <c r="AA12" s="164"/>
      <c r="AB12" s="176"/>
      <c r="AC12" s="176"/>
    </row>
    <row r="13" spans="1:50" s="153" customFormat="1" ht="13.35" customHeight="1" x14ac:dyDescent="0.2">
      <c r="A13" s="188" t="s">
        <v>773</v>
      </c>
      <c r="B13" s="184">
        <v>3278</v>
      </c>
      <c r="C13" s="185">
        <f t="shared" si="0"/>
        <v>3278</v>
      </c>
      <c r="D13" s="161"/>
      <c r="E13" s="161"/>
      <c r="F13" s="161"/>
      <c r="G13" s="161"/>
      <c r="H13" s="161"/>
      <c r="I13" s="161"/>
      <c r="J13" s="161"/>
      <c r="Q13" s="161"/>
      <c r="R13" s="161"/>
      <c r="S13" s="161"/>
      <c r="T13" s="182"/>
      <c r="U13" s="161"/>
      <c r="V13" s="168"/>
      <c r="W13" s="192"/>
      <c r="X13" s="164"/>
      <c r="Y13" s="164"/>
      <c r="Z13" s="164"/>
      <c r="AA13" s="176"/>
      <c r="AB13" s="176"/>
    </row>
    <row r="14" spans="1:50" s="153" customFormat="1" ht="13.35" customHeight="1" x14ac:dyDescent="0.2">
      <c r="A14" s="188" t="s">
        <v>774</v>
      </c>
      <c r="B14" s="184">
        <v>15897</v>
      </c>
      <c r="C14" s="185">
        <f t="shared" si="0"/>
        <v>15897</v>
      </c>
      <c r="D14" s="161"/>
      <c r="E14" s="161"/>
      <c r="F14" s="161"/>
      <c r="G14" s="161"/>
      <c r="H14" s="161"/>
      <c r="I14" s="161"/>
      <c r="J14" s="161"/>
      <c r="K14" s="161"/>
      <c r="L14" s="161"/>
      <c r="M14" s="161"/>
      <c r="N14" s="161"/>
      <c r="O14" s="161"/>
      <c r="P14" s="161"/>
      <c r="Q14" s="161"/>
      <c r="R14" s="161"/>
      <c r="S14" s="161"/>
      <c r="T14" s="182"/>
      <c r="U14" s="161"/>
      <c r="V14" s="168"/>
      <c r="W14" s="192"/>
      <c r="X14" s="164"/>
      <c r="Y14" s="164"/>
      <c r="Z14" s="164"/>
      <c r="AA14" s="176"/>
      <c r="AB14" s="176"/>
    </row>
    <row r="15" spans="1:50" s="153" customFormat="1" ht="16.5" customHeight="1" x14ac:dyDescent="0.2">
      <c r="A15" s="193"/>
      <c r="B15" s="189"/>
      <c r="C15" s="189"/>
      <c r="D15" s="189"/>
      <c r="E15" s="189"/>
      <c r="F15" s="189"/>
      <c r="G15" s="161"/>
      <c r="H15" s="161"/>
      <c r="I15" s="161"/>
      <c r="J15" s="161"/>
      <c r="K15" s="161"/>
      <c r="L15" s="161"/>
      <c r="M15" s="161"/>
      <c r="N15" s="161"/>
      <c r="O15" s="161"/>
      <c r="P15" s="161"/>
      <c r="Q15" s="161"/>
      <c r="R15" s="161"/>
      <c r="S15" s="161"/>
      <c r="T15" s="161"/>
      <c r="U15" s="161"/>
      <c r="V15" s="168"/>
      <c r="W15" s="192"/>
      <c r="X15" s="164"/>
      <c r="Y15" s="164"/>
      <c r="Z15" s="164"/>
      <c r="AA15" s="164"/>
      <c r="AB15" s="176"/>
      <c r="AC15" s="176"/>
      <c r="AK15" s="176"/>
      <c r="AL15" s="176"/>
    </row>
    <row r="16" spans="1:50" s="153" customFormat="1" ht="16.5" customHeight="1" x14ac:dyDescent="0.2">
      <c r="A16" s="376"/>
      <c r="B16" s="377"/>
      <c r="C16" s="377"/>
      <c r="D16" s="377"/>
      <c r="E16" s="377"/>
      <c r="F16" s="377"/>
      <c r="G16" s="377"/>
      <c r="H16" s="377"/>
      <c r="I16" s="377"/>
      <c r="J16" s="377"/>
      <c r="K16" s="377"/>
      <c r="L16" s="377"/>
      <c r="M16" s="377"/>
      <c r="N16" s="377"/>
      <c r="O16" s="377"/>
      <c r="P16" s="377"/>
      <c r="Q16" s="377"/>
      <c r="R16" s="377"/>
      <c r="S16" s="377"/>
      <c r="T16" s="377"/>
      <c r="U16" s="377"/>
      <c r="V16" s="377"/>
      <c r="W16" s="192"/>
      <c r="X16" s="176"/>
      <c r="Y16" s="164"/>
      <c r="Z16" s="164"/>
      <c r="AK16" s="176"/>
    </row>
    <row r="17" spans="1:38" s="153" customFormat="1" ht="16.5" customHeight="1" x14ac:dyDescent="0.2">
      <c r="A17" s="160"/>
      <c r="B17" s="161"/>
      <c r="C17" s="161"/>
      <c r="D17" s="161"/>
      <c r="E17" s="161"/>
      <c r="F17" s="161"/>
      <c r="G17" s="161"/>
      <c r="H17" s="161"/>
      <c r="I17" s="161"/>
      <c r="J17" s="161"/>
      <c r="K17" s="161"/>
      <c r="L17" s="161"/>
      <c r="M17" s="161"/>
      <c r="N17" s="161"/>
      <c r="O17" s="161"/>
      <c r="P17" s="161"/>
      <c r="Q17" s="161"/>
      <c r="R17" s="161"/>
      <c r="S17" s="161"/>
      <c r="T17" s="161"/>
      <c r="U17" s="161"/>
      <c r="V17" s="163"/>
      <c r="W17" s="164"/>
      <c r="X17" s="164"/>
      <c r="Y17" s="164"/>
      <c r="Z17" s="164"/>
      <c r="AF17" s="176"/>
      <c r="AK17" s="176"/>
    </row>
    <row r="18" spans="1:38" s="194" customFormat="1" ht="27.6" customHeight="1" x14ac:dyDescent="0.2">
      <c r="A18" s="392" t="s">
        <v>775</v>
      </c>
      <c r="B18" s="393"/>
      <c r="C18" s="393"/>
      <c r="D18" s="393"/>
      <c r="E18" s="393"/>
      <c r="F18" s="393"/>
      <c r="I18" s="375" t="s">
        <v>776</v>
      </c>
      <c r="J18" s="375"/>
      <c r="K18" s="375"/>
      <c r="L18" s="375"/>
      <c r="M18" s="375"/>
      <c r="N18" s="375"/>
      <c r="O18" s="375"/>
      <c r="P18" s="375"/>
      <c r="Q18" s="375"/>
      <c r="R18" s="375"/>
      <c r="S18" s="375"/>
      <c r="T18" s="375"/>
      <c r="U18" s="375"/>
      <c r="V18" s="394"/>
      <c r="W18" s="195"/>
      <c r="X18" s="195"/>
      <c r="Y18" s="195"/>
      <c r="AE18" s="153"/>
      <c r="AF18" s="176"/>
      <c r="AG18" s="153"/>
      <c r="AH18" s="153"/>
      <c r="AI18" s="153"/>
      <c r="AJ18" s="153"/>
      <c r="AK18" s="153"/>
      <c r="AL18" s="176"/>
    </row>
    <row r="19" spans="1:38" s="155" customFormat="1" ht="28.7" customHeight="1" x14ac:dyDescent="0.2">
      <c r="A19" s="172" t="s">
        <v>777</v>
      </c>
      <c r="B19" s="172" t="s">
        <v>605</v>
      </c>
      <c r="C19" s="172" t="s">
        <v>778</v>
      </c>
      <c r="D19" s="172" t="s">
        <v>586</v>
      </c>
      <c r="E19" s="172" t="s">
        <v>779</v>
      </c>
      <c r="F19" s="172" t="s">
        <v>734</v>
      </c>
      <c r="I19" s="172" t="s">
        <v>780</v>
      </c>
      <c r="J19" s="172" t="s">
        <v>781</v>
      </c>
      <c r="K19" s="172" t="s">
        <v>782</v>
      </c>
      <c r="L19" s="172" t="s">
        <v>783</v>
      </c>
      <c r="M19" s="172" t="s">
        <v>784</v>
      </c>
      <c r="N19" s="172" t="s">
        <v>785</v>
      </c>
      <c r="O19" s="172" t="s">
        <v>786</v>
      </c>
      <c r="P19" s="172" t="s">
        <v>787</v>
      </c>
      <c r="Q19" s="172" t="s">
        <v>788</v>
      </c>
      <c r="R19" s="172" t="s">
        <v>789</v>
      </c>
      <c r="S19" s="172" t="s">
        <v>790</v>
      </c>
      <c r="T19" s="172" t="s">
        <v>791</v>
      </c>
      <c r="U19" s="172" t="s">
        <v>792</v>
      </c>
      <c r="V19" s="172" t="s">
        <v>734</v>
      </c>
      <c r="W19" s="196"/>
      <c r="X19" s="197"/>
      <c r="Y19" s="197"/>
      <c r="Z19" s="198"/>
      <c r="AA19" s="199"/>
      <c r="AB19" s="200"/>
      <c r="AC19" s="200"/>
      <c r="AD19" s="200"/>
      <c r="AE19" s="201"/>
      <c r="AF19" s="200"/>
      <c r="AG19" s="200"/>
      <c r="AH19" s="200"/>
      <c r="AI19" s="200"/>
      <c r="AJ19" s="200"/>
      <c r="AK19" s="200"/>
    </row>
    <row r="20" spans="1:38" s="155" customFormat="1" ht="18" customHeight="1" thickBot="1" x14ac:dyDescent="0.25">
      <c r="A20" s="177" t="s">
        <v>734</v>
      </c>
      <c r="B20" s="178">
        <f>SUM(B21:B23)</f>
        <v>21137</v>
      </c>
      <c r="C20" s="202">
        <f>IF(ISERROR(B20/F20),0,B20/F20)</f>
        <v>0.4830320619758221</v>
      </c>
      <c r="D20" s="178">
        <f>SUM(D21:D23)</f>
        <v>22622</v>
      </c>
      <c r="E20" s="202">
        <f>IF(ISERROR(D20/F20),0,D20/F20)</f>
        <v>0.51696793802417784</v>
      </c>
      <c r="F20" s="178">
        <f>B20+D20</f>
        <v>43759</v>
      </c>
      <c r="I20" s="203" t="s">
        <v>734</v>
      </c>
      <c r="J20" s="204">
        <f t="shared" ref="J20:U20" si="1">SUM(J21:J22)</f>
        <v>23618</v>
      </c>
      <c r="K20" s="205">
        <f t="shared" si="1"/>
        <v>21124</v>
      </c>
      <c r="L20" s="204">
        <f t="shared" si="1"/>
        <v>22123</v>
      </c>
      <c r="M20" s="204">
        <f t="shared" si="1"/>
        <v>21953</v>
      </c>
      <c r="N20" s="204">
        <f t="shared" si="1"/>
        <v>16157</v>
      </c>
      <c r="O20" s="204">
        <f t="shared" si="1"/>
        <v>0</v>
      </c>
      <c r="P20" s="204">
        <f t="shared" si="1"/>
        <v>0</v>
      </c>
      <c r="Q20" s="204">
        <f t="shared" si="1"/>
        <v>0</v>
      </c>
      <c r="R20" s="204">
        <f t="shared" si="1"/>
        <v>0</v>
      </c>
      <c r="S20" s="204">
        <f t="shared" si="1"/>
        <v>0</v>
      </c>
      <c r="T20" s="204">
        <f t="shared" si="1"/>
        <v>0</v>
      </c>
      <c r="U20" s="204">
        <f t="shared" si="1"/>
        <v>0</v>
      </c>
      <c r="V20" s="206">
        <f>SUM(J20:U20)</f>
        <v>104975</v>
      </c>
      <c r="W20" s="196"/>
      <c r="X20" s="196"/>
      <c r="Y20" s="197"/>
      <c r="Z20" s="197"/>
      <c r="AA20" s="200"/>
      <c r="AB20" s="200"/>
      <c r="AC20" s="200"/>
      <c r="AD20" s="200"/>
      <c r="AE20" s="201"/>
      <c r="AF20" s="200"/>
      <c r="AG20" s="200"/>
    </row>
    <row r="21" spans="1:38" s="155" customFormat="1" ht="15" customHeight="1" thickTop="1" x14ac:dyDescent="0.2">
      <c r="A21" s="183" t="s">
        <v>793</v>
      </c>
      <c r="B21" s="207">
        <v>1284</v>
      </c>
      <c r="C21" s="208">
        <f>IF(ISERROR(B21/F21),0,B21/F21)</f>
        <v>0.10028116213683223</v>
      </c>
      <c r="D21" s="207">
        <v>11520</v>
      </c>
      <c r="E21" s="208">
        <f>IF(ISERROR(D21/F21),0,D21/F21)</f>
        <v>0.89971883786316775</v>
      </c>
      <c r="F21" s="209">
        <f>B21+D21</f>
        <v>12804</v>
      </c>
      <c r="I21" s="209" t="s">
        <v>586</v>
      </c>
      <c r="J21" s="210">
        <v>15006</v>
      </c>
      <c r="K21" s="210">
        <v>13545</v>
      </c>
      <c r="L21" s="210">
        <v>14240</v>
      </c>
      <c r="M21" s="210">
        <v>10198</v>
      </c>
      <c r="N21" s="210">
        <v>3338</v>
      </c>
      <c r="O21" s="210">
        <v>0</v>
      </c>
      <c r="P21" s="210">
        <v>0</v>
      </c>
      <c r="Q21" s="210">
        <v>0</v>
      </c>
      <c r="R21" s="210">
        <v>0</v>
      </c>
      <c r="S21" s="210">
        <v>0</v>
      </c>
      <c r="T21" s="210">
        <v>0</v>
      </c>
      <c r="U21" s="210">
        <v>0</v>
      </c>
      <c r="V21" s="211">
        <f>SUM(J21:U21)</f>
        <v>56327</v>
      </c>
      <c r="W21" s="196"/>
      <c r="X21" s="212"/>
      <c r="Y21" s="212"/>
      <c r="Z21" s="197"/>
      <c r="AA21" s="200"/>
      <c r="AB21" s="201"/>
      <c r="AC21" s="201"/>
      <c r="AD21" s="201"/>
      <c r="AE21" s="201"/>
      <c r="AF21" s="201"/>
      <c r="AG21" s="201"/>
      <c r="AH21" s="201"/>
      <c r="AI21" s="201"/>
      <c r="AJ21" s="201"/>
      <c r="AK21" s="201"/>
      <c r="AL21" s="201"/>
    </row>
    <row r="22" spans="1:38" s="155" customFormat="1" ht="15" customHeight="1" x14ac:dyDescent="0.2">
      <c r="A22" s="188" t="s">
        <v>794</v>
      </c>
      <c r="B22" s="213">
        <v>777</v>
      </c>
      <c r="C22" s="214">
        <f>IF(ISERROR(B22/F22),0,B22/F22)</f>
        <v>9.5243932336356946E-2</v>
      </c>
      <c r="D22" s="213">
        <v>7381</v>
      </c>
      <c r="E22" s="214">
        <f>IF(ISERROR(D22/F22),0,D22/F22)</f>
        <v>0.90475606766364303</v>
      </c>
      <c r="F22" s="215">
        <f>B22+D22</f>
        <v>8158</v>
      </c>
      <c r="I22" s="215" t="s">
        <v>795</v>
      </c>
      <c r="J22" s="216">
        <v>8612</v>
      </c>
      <c r="K22" s="210">
        <v>7579</v>
      </c>
      <c r="L22" s="210">
        <v>7883</v>
      </c>
      <c r="M22" s="210">
        <v>11755</v>
      </c>
      <c r="N22" s="210">
        <v>12819</v>
      </c>
      <c r="O22" s="210">
        <v>0</v>
      </c>
      <c r="P22" s="210">
        <v>0</v>
      </c>
      <c r="Q22" s="210">
        <v>0</v>
      </c>
      <c r="R22" s="210">
        <v>0</v>
      </c>
      <c r="S22" s="210">
        <v>0</v>
      </c>
      <c r="T22" s="210">
        <v>0</v>
      </c>
      <c r="U22" s="210">
        <v>0</v>
      </c>
      <c r="V22" s="217">
        <f>SUM(J22:U22)</f>
        <v>48648</v>
      </c>
      <c r="W22" s="196"/>
      <c r="X22" s="212"/>
      <c r="Y22" s="212"/>
      <c r="Z22" s="212"/>
      <c r="AA22" s="201"/>
      <c r="AB22" s="201"/>
      <c r="AC22" s="201"/>
      <c r="AD22" s="201"/>
      <c r="AE22" s="201"/>
      <c r="AF22" s="201"/>
      <c r="AG22" s="201"/>
      <c r="AH22" s="201"/>
      <c r="AI22" s="201"/>
      <c r="AJ22" s="201"/>
      <c r="AK22" s="201"/>
      <c r="AL22" s="201"/>
    </row>
    <row r="23" spans="1:38" s="155" customFormat="1" ht="15" customHeight="1" x14ac:dyDescent="0.2">
      <c r="A23" s="188" t="s">
        <v>796</v>
      </c>
      <c r="B23" s="213">
        <v>19076</v>
      </c>
      <c r="C23" s="214">
        <f>IF(ISERROR(B23/F23),0,B23/F23)</f>
        <v>0.83677676887309738</v>
      </c>
      <c r="D23" s="213">
        <v>3721</v>
      </c>
      <c r="E23" s="214">
        <f>IF(ISERROR(D23/F23),0,D23/F23)</f>
        <v>0.16322323112690265</v>
      </c>
      <c r="F23" s="215">
        <f>B23+D23</f>
        <v>22797</v>
      </c>
      <c r="T23" s="164"/>
      <c r="U23" s="164"/>
      <c r="V23" s="218"/>
      <c r="W23" s="196"/>
      <c r="X23" s="212"/>
      <c r="Y23" s="212"/>
      <c r="Z23" s="212"/>
      <c r="AA23" s="201"/>
      <c r="AB23" s="201"/>
      <c r="AC23" s="201"/>
      <c r="AD23" s="201"/>
      <c r="AE23" s="201"/>
      <c r="AF23" s="201"/>
      <c r="AG23" s="201"/>
      <c r="AH23" s="201"/>
      <c r="AI23" s="201"/>
      <c r="AJ23" s="201"/>
      <c r="AK23" s="201"/>
      <c r="AL23" s="201"/>
    </row>
    <row r="24" spans="1:38" s="155" customFormat="1" ht="12" x14ac:dyDescent="0.2">
      <c r="A24" s="219"/>
      <c r="T24" s="164"/>
      <c r="U24" s="164"/>
      <c r="V24" s="218"/>
      <c r="W24" s="196"/>
      <c r="X24" s="196"/>
      <c r="Y24" s="212"/>
      <c r="Z24" s="212"/>
      <c r="AA24" s="201"/>
      <c r="AB24" s="201"/>
      <c r="AC24" s="201"/>
      <c r="AD24" s="201"/>
      <c r="AE24" s="201"/>
      <c r="AF24" s="201"/>
      <c r="AG24" s="201"/>
      <c r="AH24" s="201"/>
      <c r="AK24" s="201"/>
      <c r="AL24" s="201"/>
    </row>
    <row r="25" spans="1:38" s="153" customFormat="1" ht="16.5" customHeight="1" x14ac:dyDescent="0.2">
      <c r="A25" s="376"/>
      <c r="B25" s="377"/>
      <c r="C25" s="377"/>
      <c r="D25" s="377"/>
      <c r="E25" s="377"/>
      <c r="F25" s="377"/>
      <c r="G25" s="377"/>
      <c r="H25" s="377"/>
      <c r="I25" s="377"/>
      <c r="J25" s="377"/>
      <c r="K25" s="377"/>
      <c r="L25" s="377"/>
      <c r="M25" s="377"/>
      <c r="N25" s="377"/>
      <c r="O25" s="377"/>
      <c r="P25" s="377"/>
      <c r="Q25" s="377"/>
      <c r="R25" s="377"/>
      <c r="S25" s="377"/>
      <c r="T25" s="377"/>
      <c r="U25" s="377"/>
      <c r="V25" s="378"/>
      <c r="W25" s="164"/>
      <c r="X25" s="164"/>
      <c r="Y25" s="164"/>
      <c r="Z25" s="182"/>
      <c r="AA25" s="176"/>
      <c r="AB25" s="176"/>
      <c r="AC25" s="176"/>
      <c r="AD25" s="176"/>
      <c r="AE25" s="176"/>
      <c r="AF25" s="176"/>
      <c r="AG25" s="176"/>
    </row>
    <row r="26" spans="1:38" s="155" customFormat="1" ht="12" x14ac:dyDescent="0.2">
      <c r="A26" s="219"/>
      <c r="T26" s="164"/>
      <c r="U26" s="164"/>
      <c r="V26" s="218"/>
      <c r="W26" s="196"/>
      <c r="X26" s="196"/>
      <c r="Y26" s="196"/>
      <c r="Z26" s="212"/>
      <c r="AA26" s="201"/>
      <c r="AB26" s="201"/>
      <c r="AC26" s="201"/>
      <c r="AG26" s="201"/>
    </row>
    <row r="27" spans="1:38" s="153" customFormat="1" ht="21.6" customHeight="1" x14ac:dyDescent="0.2">
      <c r="A27" s="395" t="s">
        <v>797</v>
      </c>
      <c r="B27" s="396"/>
      <c r="C27" s="396"/>
      <c r="D27" s="396"/>
      <c r="E27" s="396"/>
      <c r="F27" s="220"/>
      <c r="H27" s="396" t="s">
        <v>798</v>
      </c>
      <c r="I27" s="396"/>
      <c r="J27" s="396"/>
      <c r="K27" s="396"/>
      <c r="L27" s="396"/>
      <c r="M27" s="220"/>
      <c r="N27" s="397" t="s">
        <v>799</v>
      </c>
      <c r="O27" s="397"/>
      <c r="P27" s="397"/>
      <c r="Q27" s="397"/>
      <c r="R27" s="397"/>
      <c r="S27" s="220"/>
      <c r="V27" s="221"/>
      <c r="W27" s="222"/>
      <c r="X27" s="223"/>
      <c r="Y27" s="223"/>
      <c r="Z27" s="223"/>
      <c r="AA27" s="224"/>
      <c r="AB27" s="224"/>
      <c r="AC27" s="224"/>
      <c r="AD27" s="224"/>
      <c r="AE27" s="176"/>
      <c r="AF27" s="176"/>
      <c r="AG27" s="176"/>
      <c r="AH27" s="224"/>
      <c r="AI27" s="224"/>
    </row>
    <row r="28" spans="1:38" s="155" customFormat="1" ht="37.5" customHeight="1" x14ac:dyDescent="0.2">
      <c r="A28" s="172" t="s">
        <v>800</v>
      </c>
      <c r="B28" s="172" t="s">
        <v>793</v>
      </c>
      <c r="C28" s="172" t="s">
        <v>794</v>
      </c>
      <c r="D28" s="172" t="s">
        <v>796</v>
      </c>
      <c r="E28" s="172" t="s">
        <v>734</v>
      </c>
      <c r="H28" s="385" t="s">
        <v>800</v>
      </c>
      <c r="I28" s="385"/>
      <c r="J28" s="175" t="s">
        <v>734</v>
      </c>
      <c r="K28" s="164"/>
      <c r="L28" s="164"/>
      <c r="M28" s="164"/>
      <c r="N28" s="386" t="s">
        <v>801</v>
      </c>
      <c r="O28" s="387"/>
      <c r="P28" s="225" t="s">
        <v>734</v>
      </c>
      <c r="U28" s="164"/>
      <c r="V28" s="226"/>
      <c r="W28" s="196"/>
      <c r="X28" s="196"/>
      <c r="Y28" s="196"/>
      <c r="Z28" s="201"/>
      <c r="AD28" s="201"/>
      <c r="AE28" s="201"/>
      <c r="AF28" s="201"/>
      <c r="AG28" s="201"/>
    </row>
    <row r="29" spans="1:38" s="155" customFormat="1" ht="15" customHeight="1" thickBot="1" x14ac:dyDescent="0.25">
      <c r="A29" s="177" t="s">
        <v>734</v>
      </c>
      <c r="B29" s="178">
        <f>SUM(B30:B30)</f>
        <v>31528</v>
      </c>
      <c r="C29" s="178">
        <f>SUM(C30:C30)</f>
        <v>16269</v>
      </c>
      <c r="D29" s="178">
        <f>SUM(D30:D30)</f>
        <v>57178</v>
      </c>
      <c r="E29" s="205">
        <f>SUM(B29:D29)</f>
        <v>104975</v>
      </c>
      <c r="H29" s="388" t="s">
        <v>734</v>
      </c>
      <c r="I29" s="388"/>
      <c r="J29" s="227">
        <f>SUM(J30)</f>
        <v>96900</v>
      </c>
      <c r="K29" s="164"/>
      <c r="L29" s="164"/>
      <c r="M29" s="164"/>
      <c r="N29" s="389" t="s">
        <v>734</v>
      </c>
      <c r="O29" s="390"/>
      <c r="P29" s="228">
        <v>103868</v>
      </c>
      <c r="U29" s="182"/>
      <c r="V29" s="229"/>
      <c r="W29" s="196"/>
      <c r="X29" s="212"/>
      <c r="Y29" s="212"/>
      <c r="Z29" s="201"/>
      <c r="AA29" s="201"/>
      <c r="AB29" s="201"/>
      <c r="AC29" s="201"/>
      <c r="AD29" s="201"/>
      <c r="AE29" s="201"/>
      <c r="AF29" s="201"/>
      <c r="AG29" s="201"/>
      <c r="AH29" s="201"/>
      <c r="AI29" s="201"/>
      <c r="AJ29" s="201"/>
    </row>
    <row r="30" spans="1:38" s="155" customFormat="1" ht="14.45" customHeight="1" thickTop="1" x14ac:dyDescent="0.2">
      <c r="A30" s="188" t="s">
        <v>766</v>
      </c>
      <c r="B30" s="213">
        <v>31528</v>
      </c>
      <c r="C30" s="213">
        <v>16269</v>
      </c>
      <c r="D30" s="213">
        <v>57178</v>
      </c>
      <c r="E30" s="209">
        <f>SUM(B30:D30)</f>
        <v>104975</v>
      </c>
      <c r="F30" s="153"/>
      <c r="G30" s="153"/>
      <c r="H30" s="391" t="s">
        <v>766</v>
      </c>
      <c r="I30" s="391"/>
      <c r="J30" s="230">
        <v>96900</v>
      </c>
      <c r="K30" s="164"/>
      <c r="L30" s="164"/>
      <c r="M30" s="164"/>
      <c r="N30" s="391" t="s">
        <v>802</v>
      </c>
      <c r="O30" s="391"/>
      <c r="P30" s="230">
        <v>13059</v>
      </c>
      <c r="R30" s="164"/>
      <c r="U30" s="182"/>
      <c r="V30" s="229"/>
      <c r="W30" s="196"/>
      <c r="X30" s="212"/>
      <c r="Y30" s="212"/>
      <c r="Z30" s="201"/>
      <c r="AA30" s="201"/>
      <c r="AB30" s="201"/>
      <c r="AC30" s="201"/>
      <c r="AD30" s="201"/>
      <c r="AE30" s="201"/>
      <c r="AF30" s="201"/>
      <c r="AG30" s="201"/>
      <c r="AH30" s="201"/>
      <c r="AI30" s="201"/>
      <c r="AJ30" s="201"/>
    </row>
    <row r="31" spans="1:38" s="155" customFormat="1" ht="12" x14ac:dyDescent="0.2">
      <c r="A31" s="219"/>
      <c r="F31" s="153"/>
      <c r="G31" s="153"/>
      <c r="H31" s="153"/>
      <c r="K31" s="153"/>
      <c r="L31" s="164"/>
      <c r="M31" s="164"/>
      <c r="N31" s="164"/>
      <c r="O31" s="164"/>
      <c r="P31" s="164"/>
      <c r="Q31" s="164"/>
      <c r="R31" s="164"/>
      <c r="S31" s="164"/>
      <c r="T31" s="164"/>
      <c r="U31" s="182"/>
      <c r="V31" s="218"/>
      <c r="W31" s="196"/>
      <c r="X31" s="212"/>
      <c r="Y31" s="212"/>
      <c r="Z31" s="212"/>
      <c r="AA31" s="201"/>
      <c r="AB31" s="201"/>
      <c r="AC31" s="201"/>
      <c r="AD31" s="201"/>
      <c r="AE31" s="201"/>
      <c r="AF31" s="201"/>
      <c r="AG31" s="201"/>
    </row>
    <row r="32" spans="1:38" s="153" customFormat="1" ht="16.5" customHeight="1" x14ac:dyDescent="0.2">
      <c r="A32" s="376"/>
      <c r="B32" s="377"/>
      <c r="C32" s="377"/>
      <c r="D32" s="377"/>
      <c r="E32" s="377"/>
      <c r="F32" s="377"/>
      <c r="G32" s="377"/>
      <c r="H32" s="377"/>
      <c r="I32" s="377"/>
      <c r="J32" s="377"/>
      <c r="K32" s="377"/>
      <c r="L32" s="377"/>
      <c r="M32" s="377"/>
      <c r="N32" s="377"/>
      <c r="O32" s="377"/>
      <c r="P32" s="377"/>
      <c r="Q32" s="377"/>
      <c r="R32" s="377"/>
      <c r="S32" s="377"/>
      <c r="T32" s="377"/>
      <c r="U32" s="377"/>
      <c r="V32" s="378"/>
      <c r="W32" s="164"/>
      <c r="X32" s="164"/>
      <c r="Y32" s="164"/>
      <c r="Z32" s="182"/>
      <c r="AA32" s="176"/>
      <c r="AB32" s="176"/>
      <c r="AC32" s="176"/>
      <c r="AD32" s="176"/>
      <c r="AE32" s="176"/>
      <c r="AF32" s="176"/>
      <c r="AG32" s="176"/>
    </row>
    <row r="33" spans="1:45" s="155" customFormat="1" ht="12" x14ac:dyDescent="0.2">
      <c r="A33" s="219"/>
      <c r="F33" s="153"/>
      <c r="G33" s="153"/>
      <c r="H33" s="153"/>
      <c r="I33" s="201"/>
      <c r="K33" s="153"/>
      <c r="L33" s="164"/>
      <c r="M33" s="164"/>
      <c r="N33" s="164"/>
      <c r="O33" s="164"/>
      <c r="P33" s="164"/>
      <c r="Q33" s="164"/>
      <c r="R33" s="164"/>
      <c r="S33" s="164"/>
      <c r="T33" s="164"/>
      <c r="U33" s="164"/>
      <c r="V33" s="231"/>
      <c r="W33" s="196"/>
      <c r="X33" s="196"/>
      <c r="Y33" s="196"/>
      <c r="Z33" s="212"/>
      <c r="AA33" s="201"/>
      <c r="AB33" s="201"/>
      <c r="AC33" s="201"/>
      <c r="AD33" s="201"/>
      <c r="AE33" s="201"/>
    </row>
    <row r="34" spans="1:45" s="155" customFormat="1" ht="12" x14ac:dyDescent="0.2">
      <c r="A34" s="219"/>
      <c r="F34" s="153"/>
      <c r="G34" s="153"/>
      <c r="H34" s="153"/>
      <c r="I34" s="200"/>
      <c r="J34" s="200"/>
      <c r="K34" s="224"/>
      <c r="L34" s="232"/>
      <c r="M34" s="232"/>
      <c r="N34" s="232"/>
      <c r="O34" s="232"/>
      <c r="P34" s="232"/>
      <c r="Q34" s="232"/>
      <c r="R34" s="232"/>
      <c r="S34" s="232"/>
      <c r="T34" s="164"/>
      <c r="U34" s="164"/>
      <c r="V34" s="218"/>
      <c r="W34" s="196"/>
      <c r="X34" s="196"/>
      <c r="Y34" s="196"/>
      <c r="Z34" s="212"/>
      <c r="AB34" s="201"/>
      <c r="AC34" s="201"/>
      <c r="AE34" s="201"/>
    </row>
    <row r="35" spans="1:45" s="155" customFormat="1" ht="22.5" customHeight="1" x14ac:dyDescent="0.2">
      <c r="A35" s="379" t="s">
        <v>803</v>
      </c>
      <c r="B35" s="380"/>
      <c r="C35" s="380"/>
      <c r="D35" s="380"/>
      <c r="E35" s="380"/>
      <c r="F35" s="220"/>
      <c r="G35" s="153"/>
      <c r="H35" s="153"/>
      <c r="I35" s="153"/>
      <c r="J35" s="153"/>
      <c r="K35" s="153"/>
      <c r="L35" s="153"/>
      <c r="M35" s="153"/>
      <c r="N35" s="153"/>
      <c r="O35" s="153"/>
      <c r="P35" s="153"/>
      <c r="Q35" s="153"/>
      <c r="R35" s="176"/>
      <c r="S35" s="153"/>
      <c r="T35" s="153"/>
      <c r="U35" s="153"/>
      <c r="V35" s="233"/>
      <c r="W35" s="196"/>
      <c r="X35" s="196"/>
      <c r="Y35" s="196"/>
      <c r="Z35" s="212"/>
      <c r="AB35" s="201"/>
      <c r="AC35" s="201"/>
      <c r="AE35" s="201"/>
    </row>
    <row r="36" spans="1:45" s="155" customFormat="1" ht="38.450000000000003" customHeight="1" x14ac:dyDescent="0.2">
      <c r="A36" s="234" t="s">
        <v>804</v>
      </c>
      <c r="B36" s="172" t="s">
        <v>777</v>
      </c>
      <c r="C36" s="172" t="s">
        <v>781</v>
      </c>
      <c r="D36" s="172" t="s">
        <v>782</v>
      </c>
      <c r="E36" s="172" t="s">
        <v>783</v>
      </c>
      <c r="F36" s="172" t="s">
        <v>784</v>
      </c>
      <c r="G36" s="172" t="s">
        <v>785</v>
      </c>
      <c r="H36" s="172" t="s">
        <v>786</v>
      </c>
      <c r="I36" s="172" t="s">
        <v>787</v>
      </c>
      <c r="J36" s="172" t="s">
        <v>788</v>
      </c>
      <c r="K36" s="172" t="s">
        <v>789</v>
      </c>
      <c r="L36" s="172" t="s">
        <v>790</v>
      </c>
      <c r="M36" s="172" t="s">
        <v>791</v>
      </c>
      <c r="N36" s="172" t="s">
        <v>792</v>
      </c>
      <c r="O36" s="172" t="s">
        <v>734</v>
      </c>
      <c r="P36" s="153"/>
      <c r="Q36" s="153"/>
      <c r="R36" s="176"/>
      <c r="S36" s="153"/>
      <c r="T36" s="153"/>
      <c r="U36" s="153"/>
      <c r="V36" s="233"/>
      <c r="W36" s="153"/>
      <c r="X36" s="153"/>
      <c r="Y36" s="153"/>
      <c r="Z36" s="153"/>
      <c r="AA36" s="153"/>
      <c r="AB36" s="153"/>
      <c r="AC36" s="153"/>
      <c r="AD36" s="196"/>
      <c r="AE36" s="196"/>
      <c r="AI36" s="201"/>
      <c r="AJ36" s="201"/>
      <c r="AL36" s="201"/>
    </row>
    <row r="37" spans="1:45" s="155" customFormat="1" ht="15.75" customHeight="1" thickBot="1" x14ac:dyDescent="0.25">
      <c r="A37" s="235" t="s">
        <v>734</v>
      </c>
      <c r="B37" s="178"/>
      <c r="C37" s="236">
        <f t="shared" ref="C37:D37" si="2">SUM(C38,C50,C54,C58,C62,C66,C70,C74,C78,C82)</f>
        <v>21710</v>
      </c>
      <c r="D37" s="236">
        <f t="shared" si="2"/>
        <v>20881</v>
      </c>
      <c r="E37" s="236">
        <f>SUM(E38,E50,E54,E58,E62,E66,E70,E74,E78,E82)</f>
        <v>20706</v>
      </c>
      <c r="F37" s="236">
        <f>SUM(F38,F50,F54,F58,F62,F66,F70,F74,F78,F82)</f>
        <v>19921</v>
      </c>
      <c r="G37" s="236">
        <f t="shared" ref="G37:N37" si="3">SUM(G38,G50,G54,G58,G62,G66,G70,G74,G78,G82)</f>
        <v>13682</v>
      </c>
      <c r="H37" s="236">
        <f t="shared" si="3"/>
        <v>0</v>
      </c>
      <c r="I37" s="236">
        <f t="shared" si="3"/>
        <v>0</v>
      </c>
      <c r="J37" s="236">
        <f t="shared" si="3"/>
        <v>0</v>
      </c>
      <c r="K37" s="236">
        <f t="shared" si="3"/>
        <v>0</v>
      </c>
      <c r="L37" s="236">
        <f t="shared" si="3"/>
        <v>0</v>
      </c>
      <c r="M37" s="236">
        <f t="shared" si="3"/>
        <v>0</v>
      </c>
      <c r="N37" s="236">
        <f t="shared" si="3"/>
        <v>0</v>
      </c>
      <c r="O37" s="237">
        <f>SUM(C37:N37)</f>
        <v>96900</v>
      </c>
      <c r="P37" s="153"/>
      <c r="Q37" s="153"/>
      <c r="R37" s="176"/>
      <c r="S37" s="153"/>
      <c r="T37" s="153"/>
      <c r="U37" s="176"/>
      <c r="V37" s="238"/>
      <c r="W37" s="176"/>
      <c r="X37" s="176"/>
      <c r="Y37" s="176"/>
      <c r="Z37" s="176"/>
      <c r="AA37" s="176"/>
      <c r="AB37" s="176"/>
      <c r="AC37" s="176"/>
      <c r="AD37" s="212"/>
      <c r="AE37" s="212"/>
      <c r="AF37" s="201"/>
      <c r="AG37" s="201"/>
      <c r="AH37" s="201"/>
      <c r="AI37" s="201"/>
      <c r="AJ37" s="201"/>
      <c r="AL37" s="201"/>
      <c r="AP37" s="201"/>
      <c r="AQ37" s="201"/>
      <c r="AR37" s="201"/>
      <c r="AS37" s="201"/>
    </row>
    <row r="38" spans="1:45" s="155" customFormat="1" ht="15" customHeight="1" thickTop="1" x14ac:dyDescent="0.2">
      <c r="A38" s="239" t="s">
        <v>805</v>
      </c>
      <c r="B38" s="239" t="s">
        <v>734</v>
      </c>
      <c r="C38" s="240">
        <f t="shared" ref="C38:N38" si="4">SUM(C39:C41)</f>
        <v>909</v>
      </c>
      <c r="D38" s="240">
        <f t="shared" si="4"/>
        <v>653</v>
      </c>
      <c r="E38" s="240">
        <f t="shared" si="4"/>
        <v>805</v>
      </c>
      <c r="F38" s="240">
        <f t="shared" si="4"/>
        <v>675</v>
      </c>
      <c r="G38" s="240">
        <f t="shared" si="4"/>
        <v>543</v>
      </c>
      <c r="H38" s="240">
        <f t="shared" si="4"/>
        <v>0</v>
      </c>
      <c r="I38" s="240">
        <f t="shared" si="4"/>
        <v>0</v>
      </c>
      <c r="J38" s="240">
        <f t="shared" si="4"/>
        <v>0</v>
      </c>
      <c r="K38" s="240">
        <f t="shared" si="4"/>
        <v>0</v>
      </c>
      <c r="L38" s="240">
        <f t="shared" si="4"/>
        <v>0</v>
      </c>
      <c r="M38" s="240">
        <f t="shared" si="4"/>
        <v>0</v>
      </c>
      <c r="N38" s="240">
        <f t="shared" si="4"/>
        <v>0</v>
      </c>
      <c r="O38" s="240">
        <f>SUM(C38:N38)</f>
        <v>3585</v>
      </c>
      <c r="P38" s="241"/>
      <c r="Q38" s="241"/>
      <c r="R38" s="176"/>
      <c r="S38" s="176"/>
      <c r="T38" s="176"/>
      <c r="U38" s="176"/>
      <c r="V38" s="238"/>
      <c r="W38" s="176"/>
      <c r="X38" s="176"/>
      <c r="Y38" s="176"/>
      <c r="Z38" s="176"/>
      <c r="AA38" s="176"/>
      <c r="AB38" s="176"/>
      <c r="AC38" s="176"/>
      <c r="AD38" s="212"/>
      <c r="AE38" s="212"/>
      <c r="AF38" s="201"/>
      <c r="AG38" s="201"/>
      <c r="AH38" s="201"/>
      <c r="AI38" s="201"/>
      <c r="AS38" s="201"/>
    </row>
    <row r="39" spans="1:45" s="155" customFormat="1" ht="15" customHeight="1" x14ac:dyDescent="0.2">
      <c r="A39" s="215"/>
      <c r="B39" s="215" t="s">
        <v>793</v>
      </c>
      <c r="C39" s="242">
        <v>217</v>
      </c>
      <c r="D39" s="242">
        <v>189</v>
      </c>
      <c r="E39" s="242">
        <v>225</v>
      </c>
      <c r="F39" s="242">
        <v>152</v>
      </c>
      <c r="G39" s="242">
        <v>115</v>
      </c>
      <c r="H39" s="242">
        <v>0</v>
      </c>
      <c r="I39" s="242">
        <v>0</v>
      </c>
      <c r="J39" s="242">
        <v>0</v>
      </c>
      <c r="K39" s="242">
        <v>0</v>
      </c>
      <c r="L39" s="243">
        <v>0</v>
      </c>
      <c r="M39" s="243">
        <v>0</v>
      </c>
      <c r="N39" s="243">
        <v>0</v>
      </c>
      <c r="O39" s="244">
        <f>O43+O47</f>
        <v>898</v>
      </c>
      <c r="P39" s="153"/>
      <c r="Q39" s="153"/>
      <c r="R39" s="176"/>
      <c r="S39" s="153"/>
      <c r="T39" s="153"/>
      <c r="U39" s="176"/>
      <c r="V39" s="238"/>
      <c r="W39" s="153"/>
      <c r="X39" s="153"/>
      <c r="Y39" s="153"/>
      <c r="Z39" s="153"/>
      <c r="AA39" s="176"/>
      <c r="AB39" s="176"/>
      <c r="AC39" s="176"/>
      <c r="AD39" s="212"/>
      <c r="AE39" s="212"/>
      <c r="AF39" s="201"/>
      <c r="AG39" s="201"/>
      <c r="AH39" s="201"/>
      <c r="AI39" s="201"/>
      <c r="AS39" s="201"/>
    </row>
    <row r="40" spans="1:45" s="155" customFormat="1" ht="15" customHeight="1" x14ac:dyDescent="0.2">
      <c r="A40" s="215"/>
      <c r="B40" s="215" t="s">
        <v>794</v>
      </c>
      <c r="C40" s="242">
        <v>335</v>
      </c>
      <c r="D40" s="242">
        <v>244</v>
      </c>
      <c r="E40" s="242">
        <v>331</v>
      </c>
      <c r="F40" s="242">
        <v>272</v>
      </c>
      <c r="G40" s="242">
        <v>202</v>
      </c>
      <c r="H40" s="242">
        <v>0</v>
      </c>
      <c r="I40" s="242">
        <v>0</v>
      </c>
      <c r="J40" s="242">
        <v>0</v>
      </c>
      <c r="K40" s="242">
        <v>0</v>
      </c>
      <c r="L40" s="243">
        <v>0</v>
      </c>
      <c r="M40" s="243">
        <v>0</v>
      </c>
      <c r="N40" s="243">
        <v>0</v>
      </c>
      <c r="O40" s="244">
        <f>O44+O48</f>
        <v>1384</v>
      </c>
      <c r="P40" s="153"/>
      <c r="Q40" s="153"/>
      <c r="R40" s="153"/>
      <c r="S40" s="176"/>
      <c r="T40" s="176"/>
      <c r="U40" s="176"/>
      <c r="V40" s="238"/>
      <c r="W40" s="153"/>
      <c r="X40" s="153"/>
      <c r="Y40" s="153"/>
      <c r="Z40" s="153"/>
      <c r="AA40" s="153"/>
      <c r="AB40" s="176"/>
      <c r="AC40" s="153"/>
      <c r="AD40" s="212"/>
      <c r="AE40" s="196"/>
      <c r="AF40" s="201"/>
      <c r="AH40" s="201"/>
      <c r="AS40" s="201"/>
    </row>
    <row r="41" spans="1:45" s="155" customFormat="1" ht="15" customHeight="1" x14ac:dyDescent="0.2">
      <c r="A41" s="215"/>
      <c r="B41" s="215" t="s">
        <v>796</v>
      </c>
      <c r="C41" s="242">
        <v>357</v>
      </c>
      <c r="D41" s="242">
        <v>220</v>
      </c>
      <c r="E41" s="242">
        <v>249</v>
      </c>
      <c r="F41" s="242">
        <v>251</v>
      </c>
      <c r="G41" s="242">
        <v>226</v>
      </c>
      <c r="H41" s="242">
        <v>0</v>
      </c>
      <c r="I41" s="242">
        <v>0</v>
      </c>
      <c r="J41" s="242">
        <v>0</v>
      </c>
      <c r="K41" s="242">
        <v>0</v>
      </c>
      <c r="L41" s="243">
        <v>0</v>
      </c>
      <c r="M41" s="243">
        <v>0</v>
      </c>
      <c r="N41" s="243">
        <v>0</v>
      </c>
      <c r="O41" s="244">
        <f>O45+O49</f>
        <v>1303</v>
      </c>
      <c r="P41" s="153"/>
      <c r="Q41" s="153"/>
      <c r="R41" s="153"/>
      <c r="S41" s="153"/>
      <c r="T41" s="153"/>
      <c r="U41" s="176"/>
      <c r="V41" s="233"/>
      <c r="W41" s="153"/>
      <c r="X41" s="153"/>
      <c r="Y41" s="153"/>
      <c r="Z41" s="153"/>
      <c r="AA41" s="153"/>
      <c r="AB41" s="176"/>
      <c r="AC41" s="153"/>
      <c r="AD41" s="196"/>
      <c r="AE41" s="196"/>
      <c r="AS41" s="201"/>
    </row>
    <row r="42" spans="1:45" s="155" customFormat="1" ht="14.45" customHeight="1" x14ac:dyDescent="0.2">
      <c r="A42" s="245" t="s">
        <v>806</v>
      </c>
      <c r="B42" s="246" t="s">
        <v>734</v>
      </c>
      <c r="C42" s="247">
        <f t="shared" ref="C42:N42" si="5">SUM(C43:C45)</f>
        <v>109</v>
      </c>
      <c r="D42" s="247">
        <f t="shared" si="5"/>
        <v>93</v>
      </c>
      <c r="E42" s="247">
        <f t="shared" si="5"/>
        <v>115</v>
      </c>
      <c r="F42" s="247">
        <f t="shared" si="5"/>
        <v>149</v>
      </c>
      <c r="G42" s="247">
        <f t="shared" si="5"/>
        <v>73</v>
      </c>
      <c r="H42" s="247">
        <f t="shared" si="5"/>
        <v>0</v>
      </c>
      <c r="I42" s="247">
        <f t="shared" si="5"/>
        <v>0</v>
      </c>
      <c r="J42" s="247">
        <f t="shared" si="5"/>
        <v>0</v>
      </c>
      <c r="K42" s="247">
        <f t="shared" si="5"/>
        <v>0</v>
      </c>
      <c r="L42" s="247">
        <f t="shared" si="5"/>
        <v>0</v>
      </c>
      <c r="M42" s="247">
        <f t="shared" si="5"/>
        <v>0</v>
      </c>
      <c r="N42" s="247">
        <f t="shared" si="5"/>
        <v>0</v>
      </c>
      <c r="O42" s="247">
        <f t="shared" ref="O42:O81" si="6">SUM(C42:N42)</f>
        <v>539</v>
      </c>
      <c r="P42" s="241"/>
      <c r="Q42" s="153"/>
      <c r="R42" s="153"/>
      <c r="S42" s="153"/>
      <c r="T42" s="153"/>
      <c r="U42" s="153"/>
      <c r="V42" s="233"/>
      <c r="W42" s="153"/>
      <c r="X42" s="153"/>
      <c r="Y42" s="153"/>
      <c r="Z42" s="153"/>
      <c r="AA42" s="153"/>
      <c r="AB42" s="176"/>
      <c r="AC42" s="153"/>
      <c r="AD42" s="196"/>
      <c r="AE42" s="196"/>
      <c r="AF42" s="201"/>
      <c r="AG42" s="201"/>
      <c r="AH42" s="201"/>
      <c r="AQ42" s="201"/>
      <c r="AR42" s="201"/>
      <c r="AS42" s="201"/>
    </row>
    <row r="43" spans="1:45" s="155" customFormat="1" ht="14.45" customHeight="1" x14ac:dyDescent="0.2">
      <c r="A43" s="248"/>
      <c r="B43" s="215" t="s">
        <v>793</v>
      </c>
      <c r="C43" s="242">
        <v>19</v>
      </c>
      <c r="D43" s="242">
        <v>29</v>
      </c>
      <c r="E43" s="242">
        <v>27</v>
      </c>
      <c r="F43" s="242">
        <v>16</v>
      </c>
      <c r="G43" s="242">
        <v>13</v>
      </c>
      <c r="H43" s="242">
        <v>0</v>
      </c>
      <c r="I43" s="242">
        <v>0</v>
      </c>
      <c r="J43" s="242">
        <v>0</v>
      </c>
      <c r="K43" s="242">
        <v>0</v>
      </c>
      <c r="L43" s="243">
        <v>0</v>
      </c>
      <c r="M43" s="243">
        <v>0</v>
      </c>
      <c r="N43" s="243">
        <v>0</v>
      </c>
      <c r="O43" s="249">
        <f t="shared" si="6"/>
        <v>104</v>
      </c>
      <c r="P43" s="241"/>
      <c r="Q43" s="153"/>
      <c r="R43" s="153"/>
      <c r="S43" s="153"/>
      <c r="T43" s="153"/>
      <c r="U43" s="153"/>
      <c r="V43" s="233"/>
      <c r="W43" s="153"/>
      <c r="X43" s="153"/>
      <c r="Y43" s="153"/>
      <c r="Z43" s="153"/>
      <c r="AA43" s="153"/>
      <c r="AB43" s="176"/>
      <c r="AC43" s="176"/>
      <c r="AD43" s="196"/>
      <c r="AE43" s="212"/>
      <c r="AF43" s="201"/>
      <c r="AG43" s="201"/>
      <c r="AH43" s="201"/>
      <c r="AI43" s="201"/>
      <c r="AQ43" s="201"/>
      <c r="AR43" s="201"/>
      <c r="AS43" s="201"/>
    </row>
    <row r="44" spans="1:45" s="155" customFormat="1" ht="14.45" customHeight="1" x14ac:dyDescent="0.2">
      <c r="A44" s="248"/>
      <c r="B44" s="215" t="s">
        <v>794</v>
      </c>
      <c r="C44" s="242">
        <v>40</v>
      </c>
      <c r="D44" s="242">
        <v>24</v>
      </c>
      <c r="E44" s="242">
        <v>51</v>
      </c>
      <c r="F44" s="242">
        <v>46</v>
      </c>
      <c r="G44" s="242">
        <v>26</v>
      </c>
      <c r="H44" s="242">
        <v>0</v>
      </c>
      <c r="I44" s="242">
        <v>0</v>
      </c>
      <c r="J44" s="242">
        <v>0</v>
      </c>
      <c r="K44" s="242">
        <v>0</v>
      </c>
      <c r="L44" s="243">
        <v>0</v>
      </c>
      <c r="M44" s="243">
        <v>0</v>
      </c>
      <c r="N44" s="243">
        <v>0</v>
      </c>
      <c r="O44" s="249">
        <f t="shared" si="6"/>
        <v>187</v>
      </c>
      <c r="P44" s="153"/>
      <c r="Q44" s="153"/>
      <c r="R44" s="153"/>
      <c r="S44" s="153"/>
      <c r="T44" s="153"/>
      <c r="U44" s="153"/>
      <c r="V44" s="233"/>
      <c r="W44" s="153"/>
      <c r="X44" s="153"/>
      <c r="Y44" s="153"/>
      <c r="Z44" s="153"/>
      <c r="AA44" s="153"/>
      <c r="AB44" s="176"/>
      <c r="AC44" s="153"/>
      <c r="AD44" s="212"/>
      <c r="AE44" s="196"/>
      <c r="AF44" s="201"/>
      <c r="AG44" s="201"/>
      <c r="AH44" s="201"/>
      <c r="AI44" s="201"/>
      <c r="AQ44" s="201"/>
      <c r="AR44" s="201"/>
      <c r="AS44" s="201"/>
    </row>
    <row r="45" spans="1:45" s="155" customFormat="1" ht="14.45" customHeight="1" x14ac:dyDescent="0.2">
      <c r="A45" s="248"/>
      <c r="B45" s="215" t="s">
        <v>796</v>
      </c>
      <c r="C45" s="242">
        <v>50</v>
      </c>
      <c r="D45" s="242">
        <v>40</v>
      </c>
      <c r="E45" s="242">
        <v>37</v>
      </c>
      <c r="F45" s="242">
        <v>87</v>
      </c>
      <c r="G45" s="242">
        <v>34</v>
      </c>
      <c r="H45" s="242">
        <v>0</v>
      </c>
      <c r="I45" s="242">
        <v>0</v>
      </c>
      <c r="J45" s="242">
        <v>0</v>
      </c>
      <c r="K45" s="242">
        <v>0</v>
      </c>
      <c r="L45" s="243">
        <v>0</v>
      </c>
      <c r="M45" s="243">
        <v>0</v>
      </c>
      <c r="N45" s="243">
        <v>0</v>
      </c>
      <c r="O45" s="249">
        <f t="shared" si="6"/>
        <v>248</v>
      </c>
      <c r="P45" s="153"/>
      <c r="Q45" s="153"/>
      <c r="R45" s="153"/>
      <c r="S45" s="153"/>
      <c r="T45" s="153"/>
      <c r="U45" s="153"/>
      <c r="V45" s="233"/>
      <c r="W45" s="153"/>
      <c r="X45" s="153"/>
      <c r="Y45" s="153"/>
      <c r="Z45" s="153"/>
      <c r="AA45" s="153"/>
      <c r="AB45" s="176"/>
      <c r="AC45" s="153"/>
      <c r="AD45" s="212"/>
      <c r="AE45" s="196"/>
      <c r="AF45" s="201"/>
      <c r="AG45" s="201"/>
      <c r="AH45" s="201"/>
      <c r="AI45" s="201"/>
      <c r="AQ45" s="201"/>
      <c r="AR45" s="201"/>
      <c r="AS45" s="201"/>
    </row>
    <row r="46" spans="1:45" s="155" customFormat="1" ht="14.45" customHeight="1" x14ac:dyDescent="0.2">
      <c r="A46" s="245" t="s">
        <v>807</v>
      </c>
      <c r="B46" s="246" t="s">
        <v>734</v>
      </c>
      <c r="C46" s="247">
        <f t="shared" ref="C46:N46" si="7">SUM(C47:C49)</f>
        <v>800</v>
      </c>
      <c r="D46" s="247">
        <f t="shared" si="7"/>
        <v>560</v>
      </c>
      <c r="E46" s="247">
        <f t="shared" si="7"/>
        <v>690</v>
      </c>
      <c r="F46" s="247">
        <f t="shared" si="7"/>
        <v>526</v>
      </c>
      <c r="G46" s="247">
        <f t="shared" si="7"/>
        <v>470</v>
      </c>
      <c r="H46" s="247">
        <f t="shared" si="7"/>
        <v>0</v>
      </c>
      <c r="I46" s="247">
        <f t="shared" si="7"/>
        <v>0</v>
      </c>
      <c r="J46" s="247">
        <f t="shared" si="7"/>
        <v>0</v>
      </c>
      <c r="K46" s="247">
        <f t="shared" si="7"/>
        <v>0</v>
      </c>
      <c r="L46" s="247">
        <f t="shared" si="7"/>
        <v>0</v>
      </c>
      <c r="M46" s="247">
        <f t="shared" si="7"/>
        <v>0</v>
      </c>
      <c r="N46" s="247">
        <f t="shared" si="7"/>
        <v>0</v>
      </c>
      <c r="O46" s="247">
        <f t="shared" si="6"/>
        <v>3046</v>
      </c>
      <c r="P46" s="153"/>
      <c r="Q46" s="153"/>
      <c r="R46" s="153"/>
      <c r="S46" s="153"/>
      <c r="T46" s="153"/>
      <c r="U46" s="153"/>
      <c r="V46" s="233"/>
      <c r="W46" s="153"/>
      <c r="X46" s="153"/>
      <c r="Y46" s="153"/>
      <c r="Z46" s="153"/>
      <c r="AA46" s="153"/>
      <c r="AB46" s="176"/>
      <c r="AC46" s="153"/>
      <c r="AD46" s="212"/>
      <c r="AE46" s="196"/>
      <c r="AF46" s="201"/>
      <c r="AG46" s="201"/>
      <c r="AH46" s="201"/>
      <c r="AI46" s="201"/>
      <c r="AP46" s="201"/>
      <c r="AQ46" s="201"/>
      <c r="AR46" s="201"/>
      <c r="AS46" s="201"/>
    </row>
    <row r="47" spans="1:45" s="155" customFormat="1" ht="14.45" customHeight="1" x14ac:dyDescent="0.2">
      <c r="A47" s="248"/>
      <c r="B47" s="215" t="s">
        <v>793</v>
      </c>
      <c r="C47" s="242">
        <v>198</v>
      </c>
      <c r="D47" s="242">
        <v>160</v>
      </c>
      <c r="E47" s="242">
        <v>198</v>
      </c>
      <c r="F47" s="242">
        <v>136</v>
      </c>
      <c r="G47" s="242">
        <v>102</v>
      </c>
      <c r="H47" s="242">
        <v>0</v>
      </c>
      <c r="I47" s="242">
        <v>0</v>
      </c>
      <c r="J47" s="242">
        <v>0</v>
      </c>
      <c r="K47" s="242">
        <v>0</v>
      </c>
      <c r="L47" s="243">
        <v>0</v>
      </c>
      <c r="M47" s="243">
        <v>0</v>
      </c>
      <c r="N47" s="243">
        <v>0</v>
      </c>
      <c r="O47" s="249">
        <f t="shared" si="6"/>
        <v>794</v>
      </c>
      <c r="P47" s="153"/>
      <c r="Q47" s="153"/>
      <c r="R47" s="153"/>
      <c r="S47" s="153"/>
      <c r="T47" s="153"/>
      <c r="U47" s="153"/>
      <c r="V47" s="238"/>
      <c r="W47" s="176"/>
      <c r="X47" s="176"/>
      <c r="Y47" s="176"/>
      <c r="Z47" s="176"/>
      <c r="AA47" s="176"/>
      <c r="AB47" s="176"/>
      <c r="AC47" s="176"/>
      <c r="AD47" s="212"/>
      <c r="AE47" s="212"/>
      <c r="AF47" s="201"/>
      <c r="AG47" s="201"/>
      <c r="AH47" s="201"/>
      <c r="AI47" s="201"/>
      <c r="AP47" s="201"/>
      <c r="AQ47" s="201"/>
      <c r="AR47" s="201"/>
      <c r="AS47" s="201"/>
    </row>
    <row r="48" spans="1:45" s="155" customFormat="1" ht="14.45" customHeight="1" x14ac:dyDescent="0.2">
      <c r="A48" s="248"/>
      <c r="B48" s="215" t="s">
        <v>794</v>
      </c>
      <c r="C48" s="242">
        <v>295</v>
      </c>
      <c r="D48" s="242">
        <v>220</v>
      </c>
      <c r="E48" s="242">
        <v>280</v>
      </c>
      <c r="F48" s="242">
        <v>226</v>
      </c>
      <c r="G48" s="242">
        <v>176</v>
      </c>
      <c r="H48" s="242">
        <v>0</v>
      </c>
      <c r="I48" s="242">
        <v>0</v>
      </c>
      <c r="J48" s="242">
        <v>0</v>
      </c>
      <c r="K48" s="242">
        <v>0</v>
      </c>
      <c r="L48" s="243">
        <v>0</v>
      </c>
      <c r="M48" s="243">
        <v>0</v>
      </c>
      <c r="N48" s="243">
        <v>0</v>
      </c>
      <c r="O48" s="249">
        <f t="shared" si="6"/>
        <v>1197</v>
      </c>
      <c r="P48" s="153"/>
      <c r="Q48" s="153"/>
      <c r="R48" s="153"/>
      <c r="S48" s="153"/>
      <c r="T48" s="153"/>
      <c r="U48" s="176"/>
      <c r="V48" s="238"/>
      <c r="W48" s="176"/>
      <c r="X48" s="176"/>
      <c r="Y48" s="176"/>
      <c r="Z48" s="176"/>
      <c r="AA48" s="176"/>
      <c r="AB48" s="176"/>
      <c r="AC48" s="176"/>
      <c r="AD48" s="212"/>
      <c r="AE48" s="212"/>
      <c r="AF48" s="201"/>
      <c r="AG48" s="201"/>
      <c r="AH48" s="201"/>
      <c r="AI48" s="201"/>
      <c r="AL48" s="201"/>
      <c r="AM48" s="201"/>
      <c r="AN48" s="201"/>
      <c r="AO48" s="201"/>
      <c r="AP48" s="201"/>
      <c r="AQ48" s="201"/>
      <c r="AR48" s="201"/>
      <c r="AS48" s="201"/>
    </row>
    <row r="49" spans="1:45" s="155" customFormat="1" ht="14.45" customHeight="1" x14ac:dyDescent="0.2">
      <c r="A49" s="248"/>
      <c r="B49" s="215" t="s">
        <v>796</v>
      </c>
      <c r="C49" s="242">
        <v>307</v>
      </c>
      <c r="D49" s="242">
        <v>180</v>
      </c>
      <c r="E49" s="242">
        <v>212</v>
      </c>
      <c r="F49" s="242">
        <v>164</v>
      </c>
      <c r="G49" s="242">
        <v>192</v>
      </c>
      <c r="H49" s="242">
        <v>0</v>
      </c>
      <c r="I49" s="242">
        <v>0</v>
      </c>
      <c r="J49" s="242">
        <v>0</v>
      </c>
      <c r="K49" s="242">
        <v>0</v>
      </c>
      <c r="L49" s="243">
        <v>0</v>
      </c>
      <c r="M49" s="243">
        <v>0</v>
      </c>
      <c r="N49" s="243">
        <v>0</v>
      </c>
      <c r="O49" s="249">
        <f t="shared" si="6"/>
        <v>1055</v>
      </c>
      <c r="P49" s="153"/>
      <c r="Q49" s="153"/>
      <c r="R49" s="153"/>
      <c r="S49" s="153"/>
      <c r="T49" s="153"/>
      <c r="U49" s="153"/>
      <c r="V49" s="233"/>
      <c r="W49" s="153"/>
      <c r="X49" s="153"/>
      <c r="Y49" s="153"/>
      <c r="Z49" s="153"/>
      <c r="AA49" s="153"/>
      <c r="AB49" s="153"/>
      <c r="AC49" s="153"/>
      <c r="AD49" s="212"/>
      <c r="AE49" s="196"/>
      <c r="AF49" s="201"/>
      <c r="AG49" s="201"/>
      <c r="AH49" s="201"/>
      <c r="AI49" s="201"/>
      <c r="AP49" s="201"/>
      <c r="AQ49" s="201"/>
      <c r="AR49" s="201"/>
      <c r="AS49" s="201"/>
    </row>
    <row r="50" spans="1:45" s="155" customFormat="1" ht="14.45" customHeight="1" x14ac:dyDescent="0.2">
      <c r="A50" s="246" t="s">
        <v>619</v>
      </c>
      <c r="B50" s="246" t="s">
        <v>734</v>
      </c>
      <c r="C50" s="247">
        <f t="shared" ref="C50:N50" si="8">SUM(C51:C53)</f>
        <v>1494</v>
      </c>
      <c r="D50" s="247">
        <f t="shared" si="8"/>
        <v>1470</v>
      </c>
      <c r="E50" s="247">
        <f t="shared" si="8"/>
        <v>1109</v>
      </c>
      <c r="F50" s="247">
        <f t="shared" si="8"/>
        <v>1029</v>
      </c>
      <c r="G50" s="247">
        <f t="shared" si="8"/>
        <v>310</v>
      </c>
      <c r="H50" s="247">
        <f t="shared" si="8"/>
        <v>0</v>
      </c>
      <c r="I50" s="247">
        <f t="shared" si="8"/>
        <v>0</v>
      </c>
      <c r="J50" s="247">
        <f t="shared" si="8"/>
        <v>0</v>
      </c>
      <c r="K50" s="247">
        <f t="shared" si="8"/>
        <v>0</v>
      </c>
      <c r="L50" s="247">
        <f t="shared" si="8"/>
        <v>0</v>
      </c>
      <c r="M50" s="247">
        <f t="shared" si="8"/>
        <v>0</v>
      </c>
      <c r="N50" s="247">
        <f t="shared" si="8"/>
        <v>0</v>
      </c>
      <c r="O50" s="247">
        <f t="shared" si="6"/>
        <v>5412</v>
      </c>
      <c r="P50" s="153"/>
      <c r="Q50" s="153"/>
      <c r="R50" s="153"/>
      <c r="S50" s="153"/>
      <c r="T50" s="153"/>
      <c r="U50" s="176"/>
      <c r="V50" s="238"/>
      <c r="W50" s="176"/>
      <c r="X50" s="176"/>
      <c r="Y50" s="176"/>
      <c r="Z50" s="176"/>
      <c r="AA50" s="176"/>
      <c r="AB50" s="176"/>
      <c r="AC50" s="176"/>
      <c r="AD50" s="212"/>
      <c r="AE50" s="212"/>
      <c r="AF50" s="201"/>
      <c r="AG50" s="201"/>
      <c r="AH50" s="201"/>
      <c r="AI50" s="201"/>
      <c r="AP50" s="201"/>
      <c r="AQ50" s="201"/>
      <c r="AR50" s="201"/>
      <c r="AS50" s="201"/>
    </row>
    <row r="51" spans="1:45" s="155" customFormat="1" ht="14.45" customHeight="1" x14ac:dyDescent="0.2">
      <c r="A51" s="215"/>
      <c r="B51" s="215" t="s">
        <v>793</v>
      </c>
      <c r="C51" s="242">
        <v>154</v>
      </c>
      <c r="D51" s="242">
        <v>127</v>
      </c>
      <c r="E51" s="242">
        <v>157</v>
      </c>
      <c r="F51" s="242">
        <v>150</v>
      </c>
      <c r="G51" s="242">
        <v>50</v>
      </c>
      <c r="H51" s="242">
        <v>0</v>
      </c>
      <c r="I51" s="242">
        <v>0</v>
      </c>
      <c r="J51" s="242">
        <v>0</v>
      </c>
      <c r="K51" s="242">
        <v>0</v>
      </c>
      <c r="L51" s="243">
        <v>0</v>
      </c>
      <c r="M51" s="243">
        <v>0</v>
      </c>
      <c r="N51" s="243">
        <v>0</v>
      </c>
      <c r="O51" s="249">
        <f t="shared" si="6"/>
        <v>638</v>
      </c>
      <c r="P51" s="153"/>
      <c r="Q51" s="153"/>
      <c r="R51" s="153"/>
      <c r="S51" s="153"/>
      <c r="T51" s="153"/>
      <c r="U51" s="153"/>
      <c r="V51" s="233"/>
      <c r="W51" s="153"/>
      <c r="X51" s="176"/>
      <c r="Y51" s="176"/>
      <c r="Z51" s="176"/>
      <c r="AA51" s="176"/>
      <c r="AB51" s="176"/>
      <c r="AC51" s="176"/>
      <c r="AD51" s="212"/>
      <c r="AE51" s="212"/>
      <c r="AF51" s="201"/>
      <c r="AG51" s="201"/>
      <c r="AH51" s="201"/>
      <c r="AI51" s="201"/>
      <c r="AO51" s="201"/>
      <c r="AP51" s="201"/>
      <c r="AQ51" s="201"/>
      <c r="AR51" s="201"/>
      <c r="AS51" s="201"/>
    </row>
    <row r="52" spans="1:45" s="155" customFormat="1" ht="14.45" customHeight="1" x14ac:dyDescent="0.2">
      <c r="A52" s="215"/>
      <c r="B52" s="215" t="s">
        <v>794</v>
      </c>
      <c r="C52" s="242">
        <v>333</v>
      </c>
      <c r="D52" s="242">
        <v>250</v>
      </c>
      <c r="E52" s="242">
        <v>357</v>
      </c>
      <c r="F52" s="242">
        <v>336</v>
      </c>
      <c r="G52" s="242">
        <v>94</v>
      </c>
      <c r="H52" s="242">
        <v>0</v>
      </c>
      <c r="I52" s="242">
        <v>0</v>
      </c>
      <c r="J52" s="242">
        <v>0</v>
      </c>
      <c r="K52" s="242">
        <v>0</v>
      </c>
      <c r="L52" s="243">
        <v>0</v>
      </c>
      <c r="M52" s="243">
        <v>0</v>
      </c>
      <c r="N52" s="243">
        <v>0</v>
      </c>
      <c r="O52" s="249">
        <f t="shared" si="6"/>
        <v>1370</v>
      </c>
      <c r="P52" s="153"/>
      <c r="Q52" s="153"/>
      <c r="R52" s="153"/>
      <c r="S52" s="153"/>
      <c r="T52" s="153"/>
      <c r="U52" s="153"/>
      <c r="V52" s="233"/>
      <c r="W52" s="153"/>
      <c r="X52" s="153"/>
      <c r="Y52" s="176"/>
      <c r="Z52" s="176"/>
      <c r="AA52" s="176"/>
      <c r="AB52" s="176"/>
      <c r="AC52" s="153"/>
      <c r="AD52" s="212"/>
      <c r="AE52" s="196"/>
      <c r="AF52" s="201"/>
      <c r="AG52" s="201"/>
      <c r="AH52" s="201"/>
      <c r="AI52" s="201"/>
      <c r="AP52" s="201"/>
      <c r="AQ52" s="201"/>
      <c r="AR52" s="201"/>
      <c r="AS52" s="201"/>
    </row>
    <row r="53" spans="1:45" s="155" customFormat="1" ht="14.45" customHeight="1" x14ac:dyDescent="0.2">
      <c r="A53" s="215"/>
      <c r="B53" s="215" t="s">
        <v>796</v>
      </c>
      <c r="C53" s="242">
        <v>1007</v>
      </c>
      <c r="D53" s="242">
        <v>1093</v>
      </c>
      <c r="E53" s="242">
        <v>595</v>
      </c>
      <c r="F53" s="242">
        <v>543</v>
      </c>
      <c r="G53" s="242">
        <v>166</v>
      </c>
      <c r="H53" s="242">
        <v>0</v>
      </c>
      <c r="I53" s="242">
        <v>0</v>
      </c>
      <c r="J53" s="242">
        <v>0</v>
      </c>
      <c r="K53" s="242">
        <v>0</v>
      </c>
      <c r="L53" s="243">
        <v>0</v>
      </c>
      <c r="M53" s="243">
        <v>0</v>
      </c>
      <c r="N53" s="243">
        <v>0</v>
      </c>
      <c r="O53" s="249">
        <f t="shared" si="6"/>
        <v>3404</v>
      </c>
      <c r="P53" s="153"/>
      <c r="Q53" s="153"/>
      <c r="R53" s="153"/>
      <c r="S53" s="153"/>
      <c r="T53" s="153"/>
      <c r="U53" s="153"/>
      <c r="V53" s="233"/>
      <c r="W53" s="153"/>
      <c r="X53" s="176"/>
      <c r="Y53" s="176"/>
      <c r="Z53" s="176"/>
      <c r="AA53" s="176"/>
      <c r="AB53" s="176"/>
      <c r="AC53" s="176"/>
      <c r="AD53" s="212"/>
      <c r="AE53" s="212"/>
      <c r="AF53" s="201"/>
      <c r="AG53" s="201"/>
      <c r="AH53" s="201"/>
      <c r="AI53" s="201"/>
      <c r="AP53" s="201"/>
      <c r="AQ53" s="201"/>
      <c r="AR53" s="201"/>
      <c r="AS53" s="201"/>
    </row>
    <row r="54" spans="1:45" s="155" customFormat="1" ht="14.45" customHeight="1" x14ac:dyDescent="0.2">
      <c r="A54" s="246" t="s">
        <v>623</v>
      </c>
      <c r="B54" s="246" t="s">
        <v>734</v>
      </c>
      <c r="C54" s="247">
        <f t="shared" ref="C54:N54" si="9">SUM(C55:C57)</f>
        <v>458</v>
      </c>
      <c r="D54" s="247">
        <f t="shared" si="9"/>
        <v>453</v>
      </c>
      <c r="E54" s="247">
        <f t="shared" si="9"/>
        <v>433</v>
      </c>
      <c r="F54" s="247">
        <f t="shared" si="9"/>
        <v>532</v>
      </c>
      <c r="G54" s="247">
        <f t="shared" si="9"/>
        <v>99</v>
      </c>
      <c r="H54" s="247">
        <f t="shared" si="9"/>
        <v>0</v>
      </c>
      <c r="I54" s="247">
        <f t="shared" si="9"/>
        <v>0</v>
      </c>
      <c r="J54" s="247">
        <f t="shared" si="9"/>
        <v>0</v>
      </c>
      <c r="K54" s="247">
        <f t="shared" si="9"/>
        <v>0</v>
      </c>
      <c r="L54" s="247">
        <f t="shared" si="9"/>
        <v>0</v>
      </c>
      <c r="M54" s="247">
        <f t="shared" si="9"/>
        <v>0</v>
      </c>
      <c r="N54" s="247">
        <f t="shared" si="9"/>
        <v>0</v>
      </c>
      <c r="O54" s="247">
        <f t="shared" si="6"/>
        <v>1975</v>
      </c>
      <c r="P54" s="153"/>
      <c r="Q54" s="153"/>
      <c r="R54" s="153"/>
      <c r="S54" s="153"/>
      <c r="T54" s="153"/>
      <c r="U54" s="153"/>
      <c r="V54" s="233"/>
      <c r="W54" s="153"/>
      <c r="X54" s="153"/>
      <c r="Y54" s="176"/>
      <c r="Z54" s="176"/>
      <c r="AA54" s="153"/>
      <c r="AB54" s="176"/>
      <c r="AC54" s="153"/>
      <c r="AD54" s="196"/>
      <c r="AE54" s="196"/>
      <c r="AF54" s="201"/>
      <c r="AG54" s="201"/>
      <c r="AH54" s="201"/>
      <c r="AI54" s="201"/>
      <c r="AP54" s="201"/>
      <c r="AQ54" s="201"/>
      <c r="AR54" s="201"/>
      <c r="AS54" s="201"/>
    </row>
    <row r="55" spans="1:45" s="155" customFormat="1" ht="14.45" customHeight="1" x14ac:dyDescent="0.2">
      <c r="A55" s="215"/>
      <c r="B55" s="215" t="s">
        <v>793</v>
      </c>
      <c r="C55" s="242">
        <v>188</v>
      </c>
      <c r="D55" s="242">
        <v>189</v>
      </c>
      <c r="E55" s="242">
        <v>174</v>
      </c>
      <c r="F55" s="242">
        <v>230</v>
      </c>
      <c r="G55" s="242">
        <v>35</v>
      </c>
      <c r="H55" s="242">
        <v>0</v>
      </c>
      <c r="I55" s="242">
        <v>0</v>
      </c>
      <c r="J55" s="242">
        <v>0</v>
      </c>
      <c r="K55" s="242">
        <v>0</v>
      </c>
      <c r="L55" s="243">
        <v>0</v>
      </c>
      <c r="M55" s="243">
        <v>0</v>
      </c>
      <c r="N55" s="243">
        <v>0</v>
      </c>
      <c r="O55" s="249">
        <f t="shared" si="6"/>
        <v>816</v>
      </c>
      <c r="P55" s="153"/>
      <c r="Q55" s="153"/>
      <c r="R55" s="153"/>
      <c r="S55" s="153"/>
      <c r="T55" s="153"/>
      <c r="U55" s="153"/>
      <c r="V55" s="233"/>
      <c r="W55" s="153"/>
      <c r="X55" s="153"/>
      <c r="Y55" s="153"/>
      <c r="Z55" s="176"/>
      <c r="AA55" s="176"/>
      <c r="AB55" s="176"/>
      <c r="AC55" s="176"/>
      <c r="AD55" s="212"/>
      <c r="AE55" s="212"/>
      <c r="AF55" s="201"/>
      <c r="AG55" s="201"/>
      <c r="AH55" s="201"/>
      <c r="AP55" s="201"/>
      <c r="AQ55" s="201"/>
      <c r="AR55" s="201"/>
      <c r="AS55" s="201"/>
    </row>
    <row r="56" spans="1:45" s="155" customFormat="1" ht="14.45" customHeight="1" x14ac:dyDescent="0.2">
      <c r="A56" s="215"/>
      <c r="B56" s="215" t="s">
        <v>794</v>
      </c>
      <c r="C56" s="242">
        <v>106</v>
      </c>
      <c r="D56" s="242">
        <v>104</v>
      </c>
      <c r="E56" s="242">
        <v>80</v>
      </c>
      <c r="F56" s="242">
        <v>138</v>
      </c>
      <c r="G56" s="242">
        <v>23</v>
      </c>
      <c r="H56" s="242">
        <v>0</v>
      </c>
      <c r="I56" s="242">
        <v>0</v>
      </c>
      <c r="J56" s="242">
        <v>0</v>
      </c>
      <c r="K56" s="242">
        <v>0</v>
      </c>
      <c r="L56" s="243">
        <v>0</v>
      </c>
      <c r="M56" s="243">
        <v>0</v>
      </c>
      <c r="N56" s="243">
        <v>0</v>
      </c>
      <c r="O56" s="249">
        <f t="shared" si="6"/>
        <v>451</v>
      </c>
      <c r="P56" s="153"/>
      <c r="Q56" s="153"/>
      <c r="R56" s="153"/>
      <c r="S56" s="153"/>
      <c r="T56" s="153"/>
      <c r="U56" s="153"/>
      <c r="V56" s="238"/>
      <c r="W56" s="176"/>
      <c r="X56" s="176"/>
      <c r="Y56" s="176"/>
      <c r="Z56" s="176"/>
      <c r="AA56" s="176"/>
      <c r="AB56" s="176"/>
      <c r="AC56" s="176"/>
      <c r="AD56" s="212"/>
      <c r="AE56" s="212"/>
      <c r="AF56" s="201"/>
      <c r="AG56" s="201"/>
      <c r="AH56" s="201"/>
      <c r="AI56" s="201"/>
      <c r="AP56" s="201"/>
      <c r="AQ56" s="201"/>
      <c r="AR56" s="201"/>
      <c r="AS56" s="201"/>
    </row>
    <row r="57" spans="1:45" s="155" customFormat="1" ht="14.45" customHeight="1" x14ac:dyDescent="0.2">
      <c r="A57" s="215"/>
      <c r="B57" s="215" t="s">
        <v>796</v>
      </c>
      <c r="C57" s="242">
        <v>164</v>
      </c>
      <c r="D57" s="242">
        <v>160</v>
      </c>
      <c r="E57" s="242">
        <v>179</v>
      </c>
      <c r="F57" s="242">
        <v>164</v>
      </c>
      <c r="G57" s="242">
        <v>41</v>
      </c>
      <c r="H57" s="242">
        <v>0</v>
      </c>
      <c r="I57" s="242">
        <v>0</v>
      </c>
      <c r="J57" s="242">
        <v>0</v>
      </c>
      <c r="K57" s="242">
        <v>0</v>
      </c>
      <c r="L57" s="243">
        <v>0</v>
      </c>
      <c r="M57" s="243">
        <v>0</v>
      </c>
      <c r="N57" s="243">
        <v>0</v>
      </c>
      <c r="O57" s="249">
        <f t="shared" si="6"/>
        <v>708</v>
      </c>
      <c r="P57" s="153"/>
      <c r="Q57" s="153"/>
      <c r="R57" s="153"/>
      <c r="S57" s="153"/>
      <c r="T57" s="153"/>
      <c r="U57" s="153"/>
      <c r="V57" s="238"/>
      <c r="W57" s="176"/>
      <c r="X57" s="176"/>
      <c r="Y57" s="176"/>
      <c r="Z57" s="176"/>
      <c r="AA57" s="176"/>
      <c r="AB57" s="176"/>
      <c r="AC57" s="153"/>
      <c r="AD57" s="196"/>
      <c r="AE57" s="196"/>
      <c r="AF57" s="201"/>
      <c r="AG57" s="201"/>
      <c r="AI57" s="201"/>
      <c r="AP57" s="201"/>
      <c r="AQ57" s="201"/>
      <c r="AR57" s="201"/>
      <c r="AS57" s="201"/>
    </row>
    <row r="58" spans="1:45" s="155" customFormat="1" ht="14.45" customHeight="1" x14ac:dyDescent="0.2">
      <c r="A58" s="246" t="s">
        <v>808</v>
      </c>
      <c r="B58" s="246" t="s">
        <v>734</v>
      </c>
      <c r="C58" s="247">
        <f t="shared" ref="C58:N58" si="10">SUM(C59:C61)</f>
        <v>4382</v>
      </c>
      <c r="D58" s="247">
        <f t="shared" si="10"/>
        <v>4956</v>
      </c>
      <c r="E58" s="247">
        <f t="shared" si="10"/>
        <v>5157</v>
      </c>
      <c r="F58" s="247">
        <f t="shared" si="10"/>
        <v>4959</v>
      </c>
      <c r="G58" s="247">
        <f t="shared" si="10"/>
        <v>554</v>
      </c>
      <c r="H58" s="247">
        <f t="shared" si="10"/>
        <v>0</v>
      </c>
      <c r="I58" s="247">
        <f t="shared" si="10"/>
        <v>0</v>
      </c>
      <c r="J58" s="247">
        <f t="shared" si="10"/>
        <v>0</v>
      </c>
      <c r="K58" s="247">
        <f t="shared" si="10"/>
        <v>0</v>
      </c>
      <c r="L58" s="247">
        <f t="shared" si="10"/>
        <v>0</v>
      </c>
      <c r="M58" s="247">
        <f t="shared" si="10"/>
        <v>0</v>
      </c>
      <c r="N58" s="247">
        <f t="shared" si="10"/>
        <v>0</v>
      </c>
      <c r="O58" s="247">
        <f t="shared" si="6"/>
        <v>20008</v>
      </c>
      <c r="P58" s="153"/>
      <c r="Q58" s="153"/>
      <c r="R58" s="153"/>
      <c r="S58" s="153"/>
      <c r="T58" s="153"/>
      <c r="U58" s="153"/>
      <c r="V58" s="233"/>
      <c r="W58" s="153"/>
      <c r="X58" s="153"/>
      <c r="Y58" s="176"/>
      <c r="Z58" s="176"/>
      <c r="AA58" s="176"/>
      <c r="AB58" s="176"/>
      <c r="AC58" s="176"/>
      <c r="AD58" s="212"/>
      <c r="AE58" s="212"/>
      <c r="AF58" s="201"/>
      <c r="AG58" s="201"/>
      <c r="AH58" s="201"/>
      <c r="AI58" s="201"/>
      <c r="AP58" s="201"/>
      <c r="AQ58" s="201"/>
      <c r="AR58" s="201"/>
      <c r="AS58" s="201"/>
    </row>
    <row r="59" spans="1:45" s="155" customFormat="1" ht="14.45" customHeight="1" x14ac:dyDescent="0.2">
      <c r="A59" s="215"/>
      <c r="B59" s="215" t="s">
        <v>793</v>
      </c>
      <c r="C59" s="242">
        <v>63</v>
      </c>
      <c r="D59" s="242">
        <v>62</v>
      </c>
      <c r="E59" s="242">
        <v>58</v>
      </c>
      <c r="F59" s="242">
        <v>59</v>
      </c>
      <c r="G59" s="242">
        <v>10</v>
      </c>
      <c r="H59" s="242">
        <v>0</v>
      </c>
      <c r="I59" s="242">
        <v>0</v>
      </c>
      <c r="J59" s="242">
        <v>0</v>
      </c>
      <c r="K59" s="242">
        <v>0</v>
      </c>
      <c r="L59" s="243">
        <v>0</v>
      </c>
      <c r="M59" s="243">
        <v>0</v>
      </c>
      <c r="N59" s="243">
        <v>0</v>
      </c>
      <c r="O59" s="249">
        <f t="shared" si="6"/>
        <v>252</v>
      </c>
      <c r="P59" s="153"/>
      <c r="Q59" s="153"/>
      <c r="R59" s="153"/>
      <c r="S59" s="153"/>
      <c r="T59" s="153"/>
      <c r="U59" s="153"/>
      <c r="V59" s="233"/>
      <c r="W59" s="153"/>
      <c r="X59" s="153"/>
      <c r="Y59" s="176"/>
      <c r="Z59" s="176"/>
      <c r="AA59" s="176"/>
      <c r="AB59" s="176"/>
      <c r="AC59" s="176"/>
      <c r="AD59" s="212"/>
      <c r="AE59" s="212"/>
      <c r="AF59" s="201"/>
      <c r="AG59" s="201"/>
      <c r="AH59" s="201"/>
      <c r="AP59" s="201"/>
      <c r="AQ59" s="201"/>
      <c r="AR59" s="201"/>
      <c r="AS59" s="201"/>
    </row>
    <row r="60" spans="1:45" s="155" customFormat="1" ht="14.45" customHeight="1" x14ac:dyDescent="0.2">
      <c r="A60" s="215"/>
      <c r="B60" s="215" t="s">
        <v>794</v>
      </c>
      <c r="C60" s="242">
        <v>40</v>
      </c>
      <c r="D60" s="242">
        <v>48</v>
      </c>
      <c r="E60" s="242">
        <v>46</v>
      </c>
      <c r="F60" s="242">
        <v>39</v>
      </c>
      <c r="G60" s="242">
        <v>6</v>
      </c>
      <c r="H60" s="242">
        <v>0</v>
      </c>
      <c r="I60" s="242">
        <v>0</v>
      </c>
      <c r="J60" s="242">
        <v>0</v>
      </c>
      <c r="K60" s="242">
        <v>0</v>
      </c>
      <c r="L60" s="243">
        <v>0</v>
      </c>
      <c r="M60" s="243">
        <v>0</v>
      </c>
      <c r="N60" s="243">
        <v>0</v>
      </c>
      <c r="O60" s="249">
        <f t="shared" si="6"/>
        <v>179</v>
      </c>
      <c r="P60" s="153"/>
      <c r="Q60" s="153"/>
      <c r="R60" s="153"/>
      <c r="S60" s="153"/>
      <c r="T60" s="153"/>
      <c r="U60" s="153"/>
      <c r="V60" s="233"/>
      <c r="W60" s="153"/>
      <c r="X60" s="153"/>
      <c r="Y60" s="176"/>
      <c r="Z60" s="176"/>
      <c r="AA60" s="176"/>
      <c r="AB60" s="176"/>
      <c r="AC60" s="176"/>
      <c r="AD60" s="212"/>
      <c r="AE60" s="212"/>
      <c r="AF60" s="201"/>
      <c r="AG60" s="201"/>
      <c r="AH60" s="201"/>
      <c r="AK60" s="201"/>
      <c r="AL60" s="201"/>
      <c r="AM60" s="201"/>
      <c r="AN60" s="201"/>
      <c r="AO60" s="201"/>
      <c r="AP60" s="201"/>
      <c r="AQ60" s="201"/>
      <c r="AR60" s="201"/>
      <c r="AS60" s="201"/>
    </row>
    <row r="61" spans="1:45" s="155" customFormat="1" ht="14.45" customHeight="1" x14ac:dyDescent="0.2">
      <c r="A61" s="215"/>
      <c r="B61" s="215" t="s">
        <v>796</v>
      </c>
      <c r="C61" s="242">
        <v>4279</v>
      </c>
      <c r="D61" s="242">
        <v>4846</v>
      </c>
      <c r="E61" s="242">
        <v>5053</v>
      </c>
      <c r="F61" s="242">
        <v>4861</v>
      </c>
      <c r="G61" s="242">
        <v>538</v>
      </c>
      <c r="H61" s="242">
        <v>0</v>
      </c>
      <c r="I61" s="242">
        <v>0</v>
      </c>
      <c r="J61" s="242">
        <v>0</v>
      </c>
      <c r="K61" s="242">
        <v>0</v>
      </c>
      <c r="L61" s="243">
        <v>0</v>
      </c>
      <c r="M61" s="243">
        <v>0</v>
      </c>
      <c r="N61" s="243">
        <v>0</v>
      </c>
      <c r="O61" s="249">
        <f t="shared" si="6"/>
        <v>19577</v>
      </c>
      <c r="P61" s="153"/>
      <c r="Q61" s="153"/>
      <c r="R61" s="153"/>
      <c r="S61" s="153"/>
      <c r="T61" s="153"/>
      <c r="U61" s="153"/>
      <c r="V61" s="233"/>
      <c r="W61" s="153"/>
      <c r="X61" s="153"/>
      <c r="Y61" s="176"/>
      <c r="Z61" s="176"/>
      <c r="AA61" s="176"/>
      <c r="AB61" s="176"/>
      <c r="AC61" s="176"/>
      <c r="AD61" s="212"/>
      <c r="AE61" s="212"/>
      <c r="AF61" s="201"/>
      <c r="AG61" s="201"/>
      <c r="AI61" s="201"/>
      <c r="AP61" s="201"/>
      <c r="AQ61" s="201"/>
      <c r="AR61" s="201"/>
      <c r="AS61" s="201"/>
    </row>
    <row r="62" spans="1:45" s="155" customFormat="1" ht="14.45" customHeight="1" x14ac:dyDescent="0.2">
      <c r="A62" s="246" t="s">
        <v>809</v>
      </c>
      <c r="B62" s="246" t="s">
        <v>734</v>
      </c>
      <c r="C62" s="247">
        <f t="shared" ref="C62:N62" si="11">SUM(C63:C65)</f>
        <v>84</v>
      </c>
      <c r="D62" s="247">
        <f t="shared" si="11"/>
        <v>58</v>
      </c>
      <c r="E62" s="247">
        <f t="shared" si="11"/>
        <v>50</v>
      </c>
      <c r="F62" s="247">
        <f t="shared" si="11"/>
        <v>56</v>
      </c>
      <c r="G62" s="247">
        <f t="shared" si="11"/>
        <v>41</v>
      </c>
      <c r="H62" s="247">
        <f t="shared" si="11"/>
        <v>0</v>
      </c>
      <c r="I62" s="247">
        <f t="shared" si="11"/>
        <v>0</v>
      </c>
      <c r="J62" s="247">
        <f t="shared" si="11"/>
        <v>0</v>
      </c>
      <c r="K62" s="247">
        <f t="shared" si="11"/>
        <v>0</v>
      </c>
      <c r="L62" s="247">
        <f t="shared" si="11"/>
        <v>0</v>
      </c>
      <c r="M62" s="247">
        <f t="shared" si="11"/>
        <v>0</v>
      </c>
      <c r="N62" s="247">
        <f t="shared" si="11"/>
        <v>0</v>
      </c>
      <c r="O62" s="247">
        <f t="shared" si="6"/>
        <v>289</v>
      </c>
      <c r="P62" s="153"/>
      <c r="Q62" s="153"/>
      <c r="R62" s="153"/>
      <c r="S62" s="153"/>
      <c r="T62" s="153"/>
      <c r="U62" s="153"/>
      <c r="V62" s="233"/>
      <c r="W62" s="153"/>
      <c r="X62" s="153"/>
      <c r="Y62" s="176"/>
      <c r="Z62" s="176"/>
      <c r="AA62" s="176"/>
      <c r="AB62" s="176"/>
      <c r="AC62" s="176"/>
      <c r="AD62" s="212"/>
      <c r="AE62" s="212"/>
      <c r="AF62" s="201"/>
      <c r="AG62" s="201"/>
      <c r="AI62" s="201"/>
      <c r="AP62" s="201"/>
      <c r="AQ62" s="201"/>
      <c r="AR62" s="201"/>
      <c r="AS62" s="201"/>
    </row>
    <row r="63" spans="1:45" s="155" customFormat="1" ht="14.45" customHeight="1" x14ac:dyDescent="0.2">
      <c r="A63" s="215"/>
      <c r="B63" s="215" t="s">
        <v>793</v>
      </c>
      <c r="C63" s="242">
        <v>29</v>
      </c>
      <c r="D63" s="242">
        <v>23</v>
      </c>
      <c r="E63" s="242">
        <v>25</v>
      </c>
      <c r="F63" s="242">
        <v>30</v>
      </c>
      <c r="G63" s="242">
        <v>18</v>
      </c>
      <c r="H63" s="242">
        <v>0</v>
      </c>
      <c r="I63" s="242">
        <v>0</v>
      </c>
      <c r="J63" s="242">
        <v>0</v>
      </c>
      <c r="K63" s="242">
        <v>0</v>
      </c>
      <c r="L63" s="243">
        <v>0</v>
      </c>
      <c r="M63" s="243">
        <v>0</v>
      </c>
      <c r="N63" s="243">
        <v>0</v>
      </c>
      <c r="O63" s="249">
        <f t="shared" si="6"/>
        <v>125</v>
      </c>
      <c r="P63" s="153"/>
      <c r="Q63" s="153"/>
      <c r="R63" s="153"/>
      <c r="S63" s="153"/>
      <c r="T63" s="153"/>
      <c r="U63" s="153"/>
      <c r="V63" s="233"/>
      <c r="W63" s="153"/>
      <c r="X63" s="153"/>
      <c r="Y63" s="176"/>
      <c r="Z63" s="176"/>
      <c r="AA63" s="176"/>
      <c r="AB63" s="176"/>
      <c r="AC63" s="176"/>
      <c r="AD63" s="212"/>
      <c r="AE63" s="212"/>
      <c r="AF63" s="201"/>
      <c r="AG63" s="201"/>
      <c r="AI63" s="201"/>
      <c r="AP63" s="201"/>
      <c r="AQ63" s="201"/>
      <c r="AR63" s="201"/>
      <c r="AS63" s="201"/>
    </row>
    <row r="64" spans="1:45" s="155" customFormat="1" ht="14.45" customHeight="1" x14ac:dyDescent="0.2">
      <c r="A64" s="215"/>
      <c r="B64" s="215" t="s">
        <v>794</v>
      </c>
      <c r="C64" s="242">
        <v>16</v>
      </c>
      <c r="D64" s="242">
        <v>13</v>
      </c>
      <c r="E64" s="242">
        <v>11</v>
      </c>
      <c r="F64" s="242">
        <v>10</v>
      </c>
      <c r="G64" s="242">
        <v>10</v>
      </c>
      <c r="H64" s="242">
        <v>0</v>
      </c>
      <c r="I64" s="242">
        <v>0</v>
      </c>
      <c r="J64" s="242">
        <v>0</v>
      </c>
      <c r="K64" s="242">
        <v>0</v>
      </c>
      <c r="L64" s="243">
        <v>0</v>
      </c>
      <c r="M64" s="243">
        <v>0</v>
      </c>
      <c r="N64" s="243">
        <v>0</v>
      </c>
      <c r="O64" s="249">
        <f t="shared" si="6"/>
        <v>60</v>
      </c>
      <c r="P64" s="153"/>
      <c r="Q64" s="153"/>
      <c r="R64" s="153"/>
      <c r="S64" s="153"/>
      <c r="T64" s="153"/>
      <c r="U64" s="153"/>
      <c r="V64" s="233"/>
      <c r="W64" s="153"/>
      <c r="X64" s="153"/>
      <c r="Y64" s="176"/>
      <c r="Z64" s="176"/>
      <c r="AA64" s="176"/>
      <c r="AB64" s="176"/>
      <c r="AC64" s="176"/>
      <c r="AD64" s="212"/>
      <c r="AE64" s="212"/>
      <c r="AF64" s="201"/>
      <c r="AG64" s="201"/>
      <c r="AI64" s="201"/>
      <c r="AP64" s="201"/>
      <c r="AQ64" s="201"/>
      <c r="AR64" s="201"/>
      <c r="AS64" s="201"/>
    </row>
    <row r="65" spans="1:45" s="155" customFormat="1" ht="14.45" customHeight="1" x14ac:dyDescent="0.2">
      <c r="A65" s="215"/>
      <c r="B65" s="215" t="s">
        <v>796</v>
      </c>
      <c r="C65" s="242">
        <v>39</v>
      </c>
      <c r="D65" s="242">
        <v>22</v>
      </c>
      <c r="E65" s="242">
        <v>14</v>
      </c>
      <c r="F65" s="242">
        <v>16</v>
      </c>
      <c r="G65" s="242">
        <v>13</v>
      </c>
      <c r="H65" s="242">
        <v>0</v>
      </c>
      <c r="I65" s="242">
        <v>0</v>
      </c>
      <c r="J65" s="242">
        <v>0</v>
      </c>
      <c r="K65" s="242">
        <v>0</v>
      </c>
      <c r="L65" s="243">
        <v>0</v>
      </c>
      <c r="M65" s="243">
        <v>0</v>
      </c>
      <c r="N65" s="243">
        <v>0</v>
      </c>
      <c r="O65" s="249">
        <f t="shared" si="6"/>
        <v>104</v>
      </c>
      <c r="P65" s="153"/>
      <c r="Q65" s="153"/>
      <c r="R65" s="153"/>
      <c r="S65" s="153"/>
      <c r="T65" s="153"/>
      <c r="U65" s="153"/>
      <c r="V65" s="233"/>
      <c r="W65" s="153"/>
      <c r="X65" s="153"/>
      <c r="Y65" s="176"/>
      <c r="Z65" s="176"/>
      <c r="AA65" s="176"/>
      <c r="AB65" s="176"/>
      <c r="AC65" s="176"/>
      <c r="AD65" s="212"/>
      <c r="AE65" s="212"/>
      <c r="AF65" s="201"/>
      <c r="AG65" s="201"/>
      <c r="AI65" s="201"/>
      <c r="AP65" s="201"/>
      <c r="AQ65" s="201"/>
      <c r="AR65" s="201"/>
      <c r="AS65" s="201"/>
    </row>
    <row r="66" spans="1:45" s="155" customFormat="1" ht="14.45" customHeight="1" x14ac:dyDescent="0.2">
      <c r="A66" s="246" t="s">
        <v>810</v>
      </c>
      <c r="B66" s="246" t="s">
        <v>734</v>
      </c>
      <c r="C66" s="247">
        <f t="shared" ref="C66:N66" si="12">SUM(C67:C69)</f>
        <v>13645</v>
      </c>
      <c r="D66" s="247">
        <f t="shared" si="12"/>
        <v>12608</v>
      </c>
      <c r="E66" s="247">
        <f t="shared" si="12"/>
        <v>12301</v>
      </c>
      <c r="F66" s="247">
        <f t="shared" si="12"/>
        <v>11866</v>
      </c>
      <c r="G66" s="247">
        <f t="shared" si="12"/>
        <v>10922</v>
      </c>
      <c r="H66" s="247">
        <f t="shared" si="12"/>
        <v>0</v>
      </c>
      <c r="I66" s="247">
        <f t="shared" si="12"/>
        <v>0</v>
      </c>
      <c r="J66" s="247">
        <f t="shared" si="12"/>
        <v>0</v>
      </c>
      <c r="K66" s="247">
        <f t="shared" si="12"/>
        <v>0</v>
      </c>
      <c r="L66" s="247">
        <f t="shared" si="12"/>
        <v>0</v>
      </c>
      <c r="M66" s="247">
        <f t="shared" si="12"/>
        <v>0</v>
      </c>
      <c r="N66" s="247">
        <f t="shared" si="12"/>
        <v>0</v>
      </c>
      <c r="O66" s="247">
        <f t="shared" si="6"/>
        <v>61342</v>
      </c>
      <c r="P66" s="153"/>
      <c r="Q66" s="153"/>
      <c r="R66" s="153"/>
      <c r="S66" s="153"/>
      <c r="T66" s="153"/>
      <c r="U66" s="153"/>
      <c r="V66" s="233"/>
      <c r="W66" s="153"/>
      <c r="X66" s="153"/>
      <c r="Y66" s="176"/>
      <c r="Z66" s="176"/>
      <c r="AA66" s="176"/>
      <c r="AB66" s="176"/>
      <c r="AC66" s="176"/>
      <c r="AD66" s="212"/>
      <c r="AE66" s="212"/>
      <c r="AF66" s="201"/>
      <c r="AG66" s="201"/>
      <c r="AI66" s="201"/>
      <c r="AP66" s="201"/>
      <c r="AQ66" s="201"/>
      <c r="AR66" s="201"/>
      <c r="AS66" s="201"/>
    </row>
    <row r="67" spans="1:45" s="155" customFormat="1" ht="14.45" customHeight="1" x14ac:dyDescent="0.2">
      <c r="A67" s="215"/>
      <c r="B67" s="215" t="s">
        <v>793</v>
      </c>
      <c r="C67" s="242">
        <v>4855</v>
      </c>
      <c r="D67" s="242">
        <v>4808</v>
      </c>
      <c r="E67" s="242">
        <v>4665</v>
      </c>
      <c r="F67" s="242">
        <v>4896</v>
      </c>
      <c r="G67" s="242">
        <v>4625</v>
      </c>
      <c r="H67" s="242">
        <v>0</v>
      </c>
      <c r="I67" s="242">
        <v>0</v>
      </c>
      <c r="J67" s="242">
        <v>0</v>
      </c>
      <c r="K67" s="242">
        <v>0</v>
      </c>
      <c r="L67" s="243">
        <v>0</v>
      </c>
      <c r="M67" s="243">
        <v>0</v>
      </c>
      <c r="N67" s="243">
        <v>0</v>
      </c>
      <c r="O67" s="249">
        <f t="shared" si="6"/>
        <v>23849</v>
      </c>
      <c r="P67" s="153"/>
      <c r="Q67" s="153"/>
      <c r="R67" s="153"/>
      <c r="S67" s="153"/>
      <c r="T67" s="153"/>
      <c r="U67" s="153"/>
      <c r="V67" s="233"/>
      <c r="W67" s="153"/>
      <c r="X67" s="153"/>
      <c r="Y67" s="176"/>
      <c r="Z67" s="176"/>
      <c r="AA67" s="176"/>
      <c r="AB67" s="176"/>
      <c r="AC67" s="176"/>
      <c r="AD67" s="212"/>
      <c r="AE67" s="212"/>
      <c r="AF67" s="201"/>
      <c r="AG67" s="201"/>
      <c r="AI67" s="201"/>
      <c r="AP67" s="201"/>
      <c r="AQ67" s="201"/>
      <c r="AR67" s="201"/>
      <c r="AS67" s="201"/>
    </row>
    <row r="68" spans="1:45" s="155" customFormat="1" ht="14.45" customHeight="1" x14ac:dyDescent="0.2">
      <c r="A68" s="215"/>
      <c r="B68" s="215" t="s">
        <v>794</v>
      </c>
      <c r="C68" s="242">
        <v>1633</v>
      </c>
      <c r="D68" s="242">
        <v>1662</v>
      </c>
      <c r="E68" s="242">
        <v>1543</v>
      </c>
      <c r="F68" s="242">
        <v>1703</v>
      </c>
      <c r="G68" s="242">
        <v>1792</v>
      </c>
      <c r="H68" s="242">
        <v>0</v>
      </c>
      <c r="I68" s="242">
        <v>0</v>
      </c>
      <c r="J68" s="242">
        <v>0</v>
      </c>
      <c r="K68" s="242">
        <v>0</v>
      </c>
      <c r="L68" s="243">
        <v>0</v>
      </c>
      <c r="M68" s="243">
        <v>0</v>
      </c>
      <c r="N68" s="243">
        <v>0</v>
      </c>
      <c r="O68" s="249">
        <f t="shared" si="6"/>
        <v>8333</v>
      </c>
      <c r="P68" s="153"/>
      <c r="Q68" s="153"/>
      <c r="R68" s="153"/>
      <c r="S68" s="153"/>
      <c r="T68" s="153"/>
      <c r="U68" s="153"/>
      <c r="V68" s="233"/>
      <c r="W68" s="153"/>
      <c r="X68" s="153"/>
      <c r="Y68" s="176"/>
      <c r="Z68" s="176"/>
      <c r="AA68" s="176"/>
      <c r="AB68" s="176"/>
      <c r="AC68" s="176"/>
      <c r="AD68" s="212"/>
      <c r="AE68" s="212"/>
      <c r="AF68" s="201"/>
      <c r="AG68" s="201"/>
      <c r="AI68" s="201"/>
      <c r="AP68" s="201"/>
      <c r="AQ68" s="201"/>
      <c r="AR68" s="201"/>
      <c r="AS68" s="201"/>
    </row>
    <row r="69" spans="1:45" s="155" customFormat="1" ht="14.45" customHeight="1" x14ac:dyDescent="0.2">
      <c r="A69" s="215"/>
      <c r="B69" s="215" t="s">
        <v>796</v>
      </c>
      <c r="C69" s="242">
        <v>7157</v>
      </c>
      <c r="D69" s="242">
        <v>6138</v>
      </c>
      <c r="E69" s="242">
        <v>6093</v>
      </c>
      <c r="F69" s="242">
        <v>5267</v>
      </c>
      <c r="G69" s="242">
        <v>4505</v>
      </c>
      <c r="H69" s="242">
        <v>0</v>
      </c>
      <c r="I69" s="242">
        <v>0</v>
      </c>
      <c r="J69" s="242">
        <v>0</v>
      </c>
      <c r="K69" s="242">
        <v>0</v>
      </c>
      <c r="L69" s="243">
        <v>0</v>
      </c>
      <c r="M69" s="243">
        <v>0</v>
      </c>
      <c r="N69" s="243">
        <v>0</v>
      </c>
      <c r="O69" s="249">
        <f t="shared" si="6"/>
        <v>29160</v>
      </c>
      <c r="P69" s="153"/>
      <c r="Q69" s="153"/>
      <c r="R69" s="153"/>
      <c r="S69" s="153"/>
      <c r="T69" s="153"/>
      <c r="U69" s="153"/>
      <c r="V69" s="233"/>
      <c r="W69" s="153"/>
      <c r="X69" s="153"/>
      <c r="Y69" s="176"/>
      <c r="Z69" s="176"/>
      <c r="AA69" s="176"/>
      <c r="AB69" s="176"/>
      <c r="AC69" s="176"/>
      <c r="AD69" s="212"/>
      <c r="AE69" s="212"/>
      <c r="AF69" s="201"/>
      <c r="AG69" s="201"/>
      <c r="AI69" s="201"/>
      <c r="AP69" s="201"/>
      <c r="AQ69" s="201"/>
      <c r="AR69" s="201"/>
      <c r="AS69" s="201"/>
    </row>
    <row r="70" spans="1:45" s="155" customFormat="1" ht="14.45" customHeight="1" x14ac:dyDescent="0.2">
      <c r="A70" s="246" t="s">
        <v>811</v>
      </c>
      <c r="B70" s="246" t="s">
        <v>734</v>
      </c>
      <c r="C70" s="247">
        <f t="shared" ref="C70:N70" si="13">SUM(C71:C73)</f>
        <v>128</v>
      </c>
      <c r="D70" s="247">
        <f t="shared" si="13"/>
        <v>94</v>
      </c>
      <c r="E70" s="247">
        <f t="shared" si="13"/>
        <v>105</v>
      </c>
      <c r="F70" s="247">
        <f t="shared" si="13"/>
        <v>94</v>
      </c>
      <c r="G70" s="247">
        <f t="shared" si="13"/>
        <v>56</v>
      </c>
      <c r="H70" s="247">
        <f t="shared" si="13"/>
        <v>0</v>
      </c>
      <c r="I70" s="247">
        <f t="shared" si="13"/>
        <v>0</v>
      </c>
      <c r="J70" s="247">
        <f t="shared" si="13"/>
        <v>0</v>
      </c>
      <c r="K70" s="247">
        <f t="shared" si="13"/>
        <v>0</v>
      </c>
      <c r="L70" s="247">
        <f t="shared" si="13"/>
        <v>0</v>
      </c>
      <c r="M70" s="247">
        <f t="shared" si="13"/>
        <v>0</v>
      </c>
      <c r="N70" s="247">
        <f t="shared" si="13"/>
        <v>0</v>
      </c>
      <c r="O70" s="247">
        <f t="shared" si="6"/>
        <v>477</v>
      </c>
      <c r="P70" s="153"/>
      <c r="Q70" s="153"/>
      <c r="R70" s="153"/>
      <c r="S70" s="153"/>
      <c r="T70" s="153"/>
      <c r="U70" s="153"/>
      <c r="V70" s="233"/>
      <c r="W70" s="153"/>
      <c r="X70" s="153"/>
      <c r="Y70" s="176"/>
      <c r="Z70" s="176"/>
      <c r="AA70" s="176"/>
      <c r="AB70" s="176"/>
      <c r="AC70" s="176"/>
      <c r="AD70" s="212"/>
      <c r="AE70" s="212"/>
      <c r="AF70" s="201"/>
      <c r="AG70" s="201"/>
      <c r="AI70" s="201"/>
      <c r="AP70" s="201"/>
      <c r="AQ70" s="201"/>
      <c r="AR70" s="201"/>
      <c r="AS70" s="201"/>
    </row>
    <row r="71" spans="1:45" s="155" customFormat="1" ht="14.45" customHeight="1" x14ac:dyDescent="0.2">
      <c r="A71" s="215"/>
      <c r="B71" s="215" t="s">
        <v>793</v>
      </c>
      <c r="C71" s="242">
        <v>55</v>
      </c>
      <c r="D71" s="242">
        <v>28</v>
      </c>
      <c r="E71" s="242">
        <v>37</v>
      </c>
      <c r="F71" s="242">
        <v>37</v>
      </c>
      <c r="G71" s="242">
        <v>18</v>
      </c>
      <c r="H71" s="242">
        <v>0</v>
      </c>
      <c r="I71" s="242">
        <v>0</v>
      </c>
      <c r="J71" s="242">
        <v>0</v>
      </c>
      <c r="K71" s="242">
        <v>0</v>
      </c>
      <c r="L71" s="243">
        <v>0</v>
      </c>
      <c r="M71" s="243">
        <v>0</v>
      </c>
      <c r="N71" s="243">
        <v>0</v>
      </c>
      <c r="O71" s="249">
        <f t="shared" si="6"/>
        <v>175</v>
      </c>
      <c r="P71" s="153"/>
      <c r="Q71" s="153"/>
      <c r="R71" s="153"/>
      <c r="S71" s="153"/>
      <c r="T71" s="153"/>
      <c r="U71" s="153"/>
      <c r="V71" s="233"/>
      <c r="W71" s="153"/>
      <c r="X71" s="153"/>
      <c r="Y71" s="176"/>
      <c r="Z71" s="176"/>
      <c r="AA71" s="176"/>
      <c r="AB71" s="176"/>
      <c r="AC71" s="176"/>
      <c r="AD71" s="212"/>
      <c r="AE71" s="212"/>
      <c r="AF71" s="201"/>
      <c r="AG71" s="201"/>
      <c r="AI71" s="201"/>
      <c r="AP71" s="201"/>
      <c r="AQ71" s="201"/>
      <c r="AR71" s="201"/>
      <c r="AS71" s="201"/>
    </row>
    <row r="72" spans="1:45" s="155" customFormat="1" ht="14.45" customHeight="1" x14ac:dyDescent="0.2">
      <c r="A72" s="215"/>
      <c r="B72" s="215" t="s">
        <v>794</v>
      </c>
      <c r="C72" s="242">
        <v>14</v>
      </c>
      <c r="D72" s="242">
        <v>14</v>
      </c>
      <c r="E72" s="242">
        <v>15</v>
      </c>
      <c r="F72" s="242">
        <v>10</v>
      </c>
      <c r="G72" s="242">
        <v>5</v>
      </c>
      <c r="H72" s="242">
        <v>0</v>
      </c>
      <c r="I72" s="242">
        <v>0</v>
      </c>
      <c r="J72" s="242">
        <v>0</v>
      </c>
      <c r="K72" s="242">
        <v>0</v>
      </c>
      <c r="L72" s="243">
        <v>0</v>
      </c>
      <c r="M72" s="243">
        <v>0</v>
      </c>
      <c r="N72" s="243">
        <v>0</v>
      </c>
      <c r="O72" s="249">
        <f t="shared" si="6"/>
        <v>58</v>
      </c>
      <c r="P72" s="153"/>
      <c r="Q72" s="153"/>
      <c r="R72" s="153"/>
      <c r="S72" s="153"/>
      <c r="T72" s="153"/>
      <c r="U72" s="153"/>
      <c r="V72" s="233"/>
      <c r="W72" s="153"/>
      <c r="X72" s="153"/>
      <c r="Y72" s="176"/>
      <c r="Z72" s="176"/>
      <c r="AA72" s="176"/>
      <c r="AB72" s="176"/>
      <c r="AC72" s="176"/>
      <c r="AD72" s="212"/>
      <c r="AE72" s="212"/>
      <c r="AF72" s="201"/>
      <c r="AG72" s="201"/>
      <c r="AI72" s="201"/>
      <c r="AP72" s="201"/>
      <c r="AQ72" s="201"/>
      <c r="AR72" s="201"/>
      <c r="AS72" s="201"/>
    </row>
    <row r="73" spans="1:45" s="155" customFormat="1" ht="14.45" customHeight="1" x14ac:dyDescent="0.2">
      <c r="A73" s="215"/>
      <c r="B73" s="215" t="s">
        <v>796</v>
      </c>
      <c r="C73" s="242">
        <v>59</v>
      </c>
      <c r="D73" s="242">
        <v>52</v>
      </c>
      <c r="E73" s="242">
        <v>53</v>
      </c>
      <c r="F73" s="242">
        <v>47</v>
      </c>
      <c r="G73" s="242">
        <v>33</v>
      </c>
      <c r="H73" s="242">
        <v>0</v>
      </c>
      <c r="I73" s="242">
        <v>0</v>
      </c>
      <c r="J73" s="242">
        <v>0</v>
      </c>
      <c r="K73" s="242">
        <v>0</v>
      </c>
      <c r="L73" s="243">
        <v>0</v>
      </c>
      <c r="M73" s="243">
        <v>0</v>
      </c>
      <c r="N73" s="243">
        <v>0</v>
      </c>
      <c r="O73" s="249">
        <f t="shared" si="6"/>
        <v>244</v>
      </c>
      <c r="P73" s="153"/>
      <c r="Q73" s="153"/>
      <c r="R73" s="153"/>
      <c r="S73" s="153"/>
      <c r="T73" s="153"/>
      <c r="U73" s="153"/>
      <c r="V73" s="233"/>
      <c r="W73" s="153"/>
      <c r="X73" s="153"/>
      <c r="Y73" s="176"/>
      <c r="Z73" s="176"/>
      <c r="AA73" s="176"/>
      <c r="AB73" s="176"/>
      <c r="AC73" s="176"/>
      <c r="AD73" s="212"/>
      <c r="AE73" s="212"/>
      <c r="AF73" s="201"/>
      <c r="AG73" s="201"/>
      <c r="AI73" s="201"/>
      <c r="AP73" s="201"/>
      <c r="AQ73" s="201"/>
      <c r="AR73" s="201"/>
      <c r="AS73" s="201"/>
    </row>
    <row r="74" spans="1:45" s="155" customFormat="1" ht="14.45" customHeight="1" x14ac:dyDescent="0.2">
      <c r="A74" s="246" t="s">
        <v>812</v>
      </c>
      <c r="B74" s="246" t="s">
        <v>734</v>
      </c>
      <c r="C74" s="247">
        <f t="shared" ref="C74:N74" si="14">SUM(C75:C77)</f>
        <v>592</v>
      </c>
      <c r="D74" s="247">
        <f t="shared" si="14"/>
        <v>555</v>
      </c>
      <c r="E74" s="247">
        <f t="shared" si="14"/>
        <v>519</v>
      </c>
      <c r="F74" s="247">
        <f t="shared" si="14"/>
        <v>626</v>
      </c>
      <c r="G74" s="247">
        <f t="shared" si="14"/>
        <v>671</v>
      </c>
      <c r="H74" s="247">
        <f t="shared" si="14"/>
        <v>0</v>
      </c>
      <c r="I74" s="247">
        <f t="shared" si="14"/>
        <v>0</v>
      </c>
      <c r="J74" s="247">
        <f t="shared" si="14"/>
        <v>0</v>
      </c>
      <c r="K74" s="247">
        <f t="shared" si="14"/>
        <v>0</v>
      </c>
      <c r="L74" s="247">
        <f t="shared" si="14"/>
        <v>0</v>
      </c>
      <c r="M74" s="247">
        <f t="shared" si="14"/>
        <v>0</v>
      </c>
      <c r="N74" s="247">
        <f t="shared" si="14"/>
        <v>0</v>
      </c>
      <c r="O74" s="247">
        <f t="shared" si="6"/>
        <v>2963</v>
      </c>
      <c r="P74" s="153"/>
      <c r="Q74" s="153"/>
      <c r="R74" s="153"/>
      <c r="S74" s="153"/>
      <c r="T74" s="153"/>
      <c r="U74" s="153"/>
      <c r="V74" s="233"/>
      <c r="W74" s="153"/>
      <c r="X74" s="153"/>
      <c r="Y74" s="176"/>
      <c r="Z74" s="176"/>
      <c r="AA74" s="176"/>
      <c r="AB74" s="176"/>
      <c r="AC74" s="176"/>
      <c r="AD74" s="212"/>
      <c r="AE74" s="212"/>
      <c r="AF74" s="201"/>
      <c r="AG74" s="201"/>
      <c r="AI74" s="201"/>
      <c r="AP74" s="201"/>
      <c r="AQ74" s="201"/>
      <c r="AR74" s="201"/>
      <c r="AS74" s="201"/>
    </row>
    <row r="75" spans="1:45" s="155" customFormat="1" ht="14.45" customHeight="1" x14ac:dyDescent="0.2">
      <c r="A75" s="215"/>
      <c r="B75" s="215" t="s">
        <v>793</v>
      </c>
      <c r="C75" s="242">
        <v>395</v>
      </c>
      <c r="D75" s="242">
        <v>325</v>
      </c>
      <c r="E75" s="242">
        <v>299</v>
      </c>
      <c r="F75" s="242">
        <v>400</v>
      </c>
      <c r="G75" s="242">
        <v>413</v>
      </c>
      <c r="H75" s="242">
        <v>0</v>
      </c>
      <c r="I75" s="242">
        <v>0</v>
      </c>
      <c r="J75" s="242">
        <v>0</v>
      </c>
      <c r="K75" s="242">
        <v>0</v>
      </c>
      <c r="L75" s="243">
        <v>0</v>
      </c>
      <c r="M75" s="243">
        <v>0</v>
      </c>
      <c r="N75" s="243">
        <v>0</v>
      </c>
      <c r="O75" s="249">
        <f t="shared" si="6"/>
        <v>1832</v>
      </c>
      <c r="P75" s="153"/>
      <c r="Q75" s="153"/>
      <c r="R75" s="153"/>
      <c r="S75" s="153"/>
      <c r="T75" s="153"/>
      <c r="U75" s="153"/>
      <c r="V75" s="233"/>
      <c r="W75" s="153"/>
      <c r="X75" s="153"/>
      <c r="Y75" s="176"/>
      <c r="Z75" s="176"/>
      <c r="AA75" s="176"/>
      <c r="AB75" s="176"/>
      <c r="AC75" s="176"/>
      <c r="AD75" s="212"/>
      <c r="AE75" s="212"/>
      <c r="AF75" s="201"/>
      <c r="AG75" s="201"/>
      <c r="AI75" s="201"/>
      <c r="AP75" s="201"/>
      <c r="AQ75" s="201"/>
      <c r="AR75" s="201"/>
      <c r="AS75" s="201"/>
    </row>
    <row r="76" spans="1:45" s="155" customFormat="1" ht="14.45" customHeight="1" x14ac:dyDescent="0.2">
      <c r="A76" s="215"/>
      <c r="B76" s="215" t="s">
        <v>794</v>
      </c>
      <c r="C76" s="242">
        <v>141</v>
      </c>
      <c r="D76" s="242">
        <v>140</v>
      </c>
      <c r="E76" s="242">
        <v>140</v>
      </c>
      <c r="F76" s="242">
        <v>168</v>
      </c>
      <c r="G76" s="242">
        <v>187</v>
      </c>
      <c r="H76" s="242">
        <v>0</v>
      </c>
      <c r="I76" s="242">
        <v>0</v>
      </c>
      <c r="J76" s="242">
        <v>0</v>
      </c>
      <c r="K76" s="242">
        <v>0</v>
      </c>
      <c r="L76" s="243">
        <v>0</v>
      </c>
      <c r="M76" s="243">
        <v>0</v>
      </c>
      <c r="N76" s="243">
        <v>0</v>
      </c>
      <c r="O76" s="249">
        <f t="shared" si="6"/>
        <v>776</v>
      </c>
      <c r="P76" s="153"/>
      <c r="Q76" s="153"/>
      <c r="R76" s="153"/>
      <c r="S76" s="153"/>
      <c r="T76" s="153"/>
      <c r="U76" s="153"/>
      <c r="V76" s="233"/>
      <c r="W76" s="153"/>
      <c r="X76" s="153"/>
      <c r="Y76" s="176"/>
      <c r="Z76" s="176"/>
      <c r="AA76" s="176"/>
      <c r="AB76" s="176"/>
      <c r="AC76" s="176"/>
      <c r="AD76" s="212"/>
      <c r="AE76" s="212"/>
      <c r="AF76" s="201"/>
      <c r="AG76" s="201"/>
      <c r="AI76" s="201"/>
      <c r="AP76" s="201"/>
      <c r="AQ76" s="201"/>
      <c r="AR76" s="201"/>
      <c r="AS76" s="201"/>
    </row>
    <row r="77" spans="1:45" s="155" customFormat="1" ht="14.45" customHeight="1" x14ac:dyDescent="0.2">
      <c r="A77" s="215"/>
      <c r="B77" s="215" t="s">
        <v>796</v>
      </c>
      <c r="C77" s="242">
        <v>56</v>
      </c>
      <c r="D77" s="242">
        <v>90</v>
      </c>
      <c r="E77" s="242">
        <v>80</v>
      </c>
      <c r="F77" s="242">
        <v>58</v>
      </c>
      <c r="G77" s="242">
        <v>71</v>
      </c>
      <c r="H77" s="242">
        <v>0</v>
      </c>
      <c r="I77" s="242">
        <v>0</v>
      </c>
      <c r="J77" s="242">
        <v>0</v>
      </c>
      <c r="K77" s="242">
        <v>0</v>
      </c>
      <c r="L77" s="243">
        <v>0</v>
      </c>
      <c r="M77" s="243">
        <v>0</v>
      </c>
      <c r="N77" s="243">
        <v>0</v>
      </c>
      <c r="O77" s="249">
        <f t="shared" si="6"/>
        <v>355</v>
      </c>
      <c r="P77" s="153"/>
      <c r="Q77" s="153"/>
      <c r="R77" s="153"/>
      <c r="S77" s="153"/>
      <c r="T77" s="153"/>
      <c r="U77" s="153"/>
      <c r="V77" s="233"/>
      <c r="W77" s="153"/>
      <c r="X77" s="153"/>
      <c r="Y77" s="176"/>
      <c r="Z77" s="176"/>
      <c r="AA77" s="176"/>
      <c r="AB77" s="176"/>
      <c r="AC77" s="176"/>
      <c r="AD77" s="212"/>
      <c r="AE77" s="212"/>
      <c r="AF77" s="201"/>
      <c r="AG77" s="201"/>
      <c r="AI77" s="201"/>
      <c r="AP77" s="201"/>
      <c r="AQ77" s="201"/>
      <c r="AR77" s="201"/>
      <c r="AS77" s="201"/>
    </row>
    <row r="78" spans="1:45" s="155" customFormat="1" ht="14.45" customHeight="1" x14ac:dyDescent="0.2">
      <c r="A78" s="246" t="s">
        <v>813</v>
      </c>
      <c r="B78" s="246" t="s">
        <v>734</v>
      </c>
      <c r="C78" s="247">
        <f t="shared" ref="C78:N78" si="15">SUM(C79:C81)</f>
        <v>17</v>
      </c>
      <c r="D78" s="247">
        <f t="shared" si="15"/>
        <v>33</v>
      </c>
      <c r="E78" s="247">
        <f t="shared" si="15"/>
        <v>226</v>
      </c>
      <c r="F78" s="247">
        <f t="shared" si="15"/>
        <v>80</v>
      </c>
      <c r="G78" s="247">
        <f t="shared" si="15"/>
        <v>485</v>
      </c>
      <c r="H78" s="247">
        <f t="shared" si="15"/>
        <v>0</v>
      </c>
      <c r="I78" s="247">
        <f t="shared" si="15"/>
        <v>0</v>
      </c>
      <c r="J78" s="247">
        <f t="shared" si="15"/>
        <v>0</v>
      </c>
      <c r="K78" s="247">
        <f t="shared" si="15"/>
        <v>0</v>
      </c>
      <c r="L78" s="247">
        <f t="shared" si="15"/>
        <v>0</v>
      </c>
      <c r="M78" s="247">
        <f t="shared" si="15"/>
        <v>0</v>
      </c>
      <c r="N78" s="247">
        <f t="shared" si="15"/>
        <v>0</v>
      </c>
      <c r="O78" s="247">
        <f>SUM(C78:N78)</f>
        <v>841</v>
      </c>
      <c r="P78" s="153"/>
      <c r="Q78" s="153"/>
      <c r="R78" s="153"/>
      <c r="S78" s="153"/>
      <c r="T78" s="153"/>
      <c r="U78" s="153"/>
      <c r="V78" s="233"/>
      <c r="W78" s="153"/>
      <c r="X78" s="153"/>
      <c r="Y78" s="176"/>
      <c r="Z78" s="176"/>
      <c r="AA78" s="176"/>
      <c r="AB78" s="176"/>
      <c r="AC78" s="176"/>
      <c r="AD78" s="212"/>
      <c r="AE78" s="212"/>
      <c r="AF78" s="201"/>
      <c r="AG78" s="201"/>
      <c r="AI78" s="201"/>
      <c r="AP78" s="201"/>
      <c r="AQ78" s="201"/>
      <c r="AR78" s="201"/>
      <c r="AS78" s="201"/>
    </row>
    <row r="79" spans="1:45" s="155" customFormat="1" ht="14.45" customHeight="1" x14ac:dyDescent="0.2">
      <c r="A79" s="215"/>
      <c r="B79" s="215" t="s">
        <v>793</v>
      </c>
      <c r="C79" s="242">
        <v>8</v>
      </c>
      <c r="D79" s="242">
        <v>13</v>
      </c>
      <c r="E79" s="242">
        <v>46</v>
      </c>
      <c r="F79" s="242">
        <v>26</v>
      </c>
      <c r="G79" s="242">
        <v>164</v>
      </c>
      <c r="H79" s="242">
        <v>0</v>
      </c>
      <c r="I79" s="242">
        <v>0</v>
      </c>
      <c r="J79" s="242">
        <v>0</v>
      </c>
      <c r="K79" s="242">
        <v>0</v>
      </c>
      <c r="L79" s="243">
        <v>0</v>
      </c>
      <c r="M79" s="243">
        <v>0</v>
      </c>
      <c r="N79" s="243">
        <v>0</v>
      </c>
      <c r="O79" s="249">
        <f t="shared" si="6"/>
        <v>257</v>
      </c>
      <c r="P79" s="153"/>
      <c r="Q79" s="153"/>
      <c r="R79" s="153"/>
      <c r="S79" s="153"/>
      <c r="T79" s="153"/>
      <c r="U79" s="153"/>
      <c r="V79" s="233"/>
      <c r="W79" s="153"/>
      <c r="X79" s="153"/>
      <c r="Y79" s="176"/>
      <c r="Z79" s="176"/>
      <c r="AA79" s="176"/>
      <c r="AB79" s="176"/>
      <c r="AC79" s="176"/>
      <c r="AD79" s="212"/>
      <c r="AE79" s="212"/>
      <c r="AF79" s="201"/>
      <c r="AG79" s="201"/>
      <c r="AI79" s="201"/>
      <c r="AP79" s="201"/>
      <c r="AQ79" s="201"/>
      <c r="AR79" s="201"/>
      <c r="AS79" s="201"/>
    </row>
    <row r="80" spans="1:45" s="155" customFormat="1" ht="14.45" customHeight="1" x14ac:dyDescent="0.2">
      <c r="A80" s="215"/>
      <c r="B80" s="215" t="s">
        <v>794</v>
      </c>
      <c r="C80" s="242">
        <v>4</v>
      </c>
      <c r="D80" s="242">
        <v>6</v>
      </c>
      <c r="E80" s="242">
        <v>14</v>
      </c>
      <c r="F80" s="242">
        <v>7</v>
      </c>
      <c r="G80" s="242">
        <v>120</v>
      </c>
      <c r="H80" s="242">
        <v>0</v>
      </c>
      <c r="I80" s="242">
        <v>0</v>
      </c>
      <c r="J80" s="242">
        <v>0</v>
      </c>
      <c r="K80" s="242">
        <v>0</v>
      </c>
      <c r="L80" s="243">
        <v>0</v>
      </c>
      <c r="M80" s="243">
        <v>0</v>
      </c>
      <c r="N80" s="243">
        <v>0</v>
      </c>
      <c r="O80" s="249">
        <f t="shared" si="6"/>
        <v>151</v>
      </c>
      <c r="P80" s="153"/>
      <c r="Q80" s="153"/>
      <c r="R80" s="153"/>
      <c r="S80" s="153"/>
      <c r="T80" s="153"/>
      <c r="U80" s="153"/>
      <c r="V80" s="233"/>
      <c r="W80" s="153"/>
      <c r="X80" s="153"/>
      <c r="Y80" s="176"/>
      <c r="Z80" s="176"/>
      <c r="AA80" s="176"/>
      <c r="AB80" s="176"/>
      <c r="AC80" s="176"/>
      <c r="AD80" s="212"/>
      <c r="AE80" s="212"/>
      <c r="AF80" s="201"/>
      <c r="AG80" s="201"/>
      <c r="AI80" s="201"/>
      <c r="AP80" s="201"/>
      <c r="AQ80" s="201"/>
      <c r="AR80" s="201"/>
      <c r="AS80" s="201"/>
    </row>
    <row r="81" spans="1:45" s="155" customFormat="1" ht="14.45" customHeight="1" x14ac:dyDescent="0.2">
      <c r="A81" s="215"/>
      <c r="B81" s="215" t="s">
        <v>796</v>
      </c>
      <c r="C81" s="242">
        <v>5</v>
      </c>
      <c r="D81" s="242">
        <v>14</v>
      </c>
      <c r="E81" s="242">
        <v>166</v>
      </c>
      <c r="F81" s="242">
        <v>47</v>
      </c>
      <c r="G81" s="242">
        <v>201</v>
      </c>
      <c r="H81" s="242">
        <v>0</v>
      </c>
      <c r="I81" s="242">
        <v>0</v>
      </c>
      <c r="J81" s="242">
        <v>0</v>
      </c>
      <c r="K81" s="242">
        <v>0</v>
      </c>
      <c r="L81" s="243">
        <v>0</v>
      </c>
      <c r="M81" s="243">
        <v>0</v>
      </c>
      <c r="N81" s="243">
        <v>0</v>
      </c>
      <c r="O81" s="249">
        <f t="shared" si="6"/>
        <v>433</v>
      </c>
      <c r="P81" s="153"/>
      <c r="Q81" s="153"/>
      <c r="R81" s="153"/>
      <c r="S81" s="153"/>
      <c r="T81" s="153"/>
      <c r="U81" s="153"/>
      <c r="V81" s="233"/>
      <c r="W81" s="153"/>
      <c r="X81" s="153"/>
      <c r="Y81" s="176"/>
      <c r="Z81" s="176"/>
      <c r="AA81" s="176"/>
      <c r="AB81" s="176"/>
      <c r="AC81" s="176"/>
      <c r="AD81" s="212"/>
      <c r="AE81" s="212"/>
      <c r="AF81" s="201"/>
      <c r="AG81" s="201"/>
      <c r="AI81" s="201"/>
      <c r="AP81" s="201"/>
      <c r="AQ81" s="201"/>
      <c r="AR81" s="201"/>
      <c r="AS81" s="201"/>
    </row>
    <row r="82" spans="1:45" s="155" customFormat="1" ht="14.45" customHeight="1" x14ac:dyDescent="0.2">
      <c r="A82" s="246" t="s">
        <v>774</v>
      </c>
      <c r="B82" s="246" t="s">
        <v>734</v>
      </c>
      <c r="C82" s="247">
        <f t="shared" ref="C82:N82" si="16">SUM(C83:C85)</f>
        <v>1</v>
      </c>
      <c r="D82" s="247">
        <f t="shared" si="16"/>
        <v>1</v>
      </c>
      <c r="E82" s="247">
        <f t="shared" si="16"/>
        <v>1</v>
      </c>
      <c r="F82" s="247">
        <f t="shared" si="16"/>
        <v>4</v>
      </c>
      <c r="G82" s="247">
        <f t="shared" si="16"/>
        <v>1</v>
      </c>
      <c r="H82" s="247">
        <f t="shared" si="16"/>
        <v>0</v>
      </c>
      <c r="I82" s="247">
        <f t="shared" si="16"/>
        <v>0</v>
      </c>
      <c r="J82" s="247">
        <f t="shared" si="16"/>
        <v>0</v>
      </c>
      <c r="K82" s="247">
        <f t="shared" si="16"/>
        <v>0</v>
      </c>
      <c r="L82" s="247">
        <f t="shared" si="16"/>
        <v>0</v>
      </c>
      <c r="M82" s="247">
        <f t="shared" si="16"/>
        <v>0</v>
      </c>
      <c r="N82" s="247">
        <f t="shared" si="16"/>
        <v>0</v>
      </c>
      <c r="O82" s="247">
        <f>SUM(C82:N82)</f>
        <v>8</v>
      </c>
      <c r="P82" s="153"/>
      <c r="Q82" s="153"/>
      <c r="R82" s="153"/>
      <c r="S82" s="153"/>
      <c r="T82" s="153"/>
      <c r="U82" s="153"/>
      <c r="V82" s="233"/>
      <c r="W82" s="153"/>
      <c r="X82" s="153"/>
      <c r="Y82" s="176"/>
      <c r="Z82" s="176"/>
      <c r="AA82" s="176"/>
      <c r="AB82" s="176"/>
      <c r="AC82" s="176"/>
      <c r="AD82" s="212"/>
      <c r="AE82" s="212"/>
      <c r="AF82" s="201"/>
      <c r="AG82" s="201"/>
      <c r="AI82" s="201"/>
      <c r="AP82" s="201"/>
      <c r="AQ82" s="201"/>
      <c r="AR82" s="201"/>
      <c r="AS82" s="201"/>
    </row>
    <row r="83" spans="1:45" s="155" customFormat="1" ht="14.45" customHeight="1" x14ac:dyDescent="0.2">
      <c r="A83" s="215"/>
      <c r="B83" s="215" t="s">
        <v>793</v>
      </c>
      <c r="C83" s="242">
        <v>1</v>
      </c>
      <c r="D83" s="242">
        <v>1</v>
      </c>
      <c r="E83" s="242">
        <v>1</v>
      </c>
      <c r="F83" s="242">
        <v>0</v>
      </c>
      <c r="G83" s="242">
        <v>0</v>
      </c>
      <c r="H83" s="242">
        <v>0</v>
      </c>
      <c r="I83" s="242">
        <v>0</v>
      </c>
      <c r="J83" s="242">
        <v>0</v>
      </c>
      <c r="K83" s="242">
        <v>0</v>
      </c>
      <c r="L83" s="243">
        <v>0</v>
      </c>
      <c r="M83" s="243">
        <v>0</v>
      </c>
      <c r="N83" s="243">
        <v>0</v>
      </c>
      <c r="O83" s="249">
        <f t="shared" ref="O83:O85" si="17">SUM(C83:N83)</f>
        <v>3</v>
      </c>
      <c r="P83" s="153"/>
      <c r="Q83" s="153"/>
      <c r="R83" s="153"/>
      <c r="S83" s="153"/>
      <c r="T83" s="153"/>
      <c r="U83" s="153"/>
      <c r="V83" s="233"/>
      <c r="W83" s="153"/>
      <c r="X83" s="153"/>
      <c r="Y83" s="176"/>
      <c r="Z83" s="176"/>
      <c r="AA83" s="176"/>
      <c r="AB83" s="176"/>
      <c r="AC83" s="176"/>
      <c r="AD83" s="212"/>
      <c r="AE83" s="212"/>
      <c r="AF83" s="201"/>
      <c r="AG83" s="201"/>
      <c r="AI83" s="201"/>
      <c r="AP83" s="201"/>
      <c r="AQ83" s="201"/>
      <c r="AR83" s="201"/>
      <c r="AS83" s="201"/>
    </row>
    <row r="84" spans="1:45" s="155" customFormat="1" ht="14.45" customHeight="1" x14ac:dyDescent="0.2">
      <c r="A84" s="215"/>
      <c r="B84" s="215" t="s">
        <v>794</v>
      </c>
      <c r="C84" s="242">
        <v>0</v>
      </c>
      <c r="D84" s="242">
        <v>0</v>
      </c>
      <c r="E84" s="242">
        <v>0</v>
      </c>
      <c r="F84" s="242">
        <v>1</v>
      </c>
      <c r="G84" s="242">
        <v>0</v>
      </c>
      <c r="H84" s="242">
        <v>0</v>
      </c>
      <c r="I84" s="242">
        <v>0</v>
      </c>
      <c r="J84" s="242">
        <v>0</v>
      </c>
      <c r="K84" s="242">
        <v>0</v>
      </c>
      <c r="L84" s="243">
        <v>0</v>
      </c>
      <c r="M84" s="243">
        <v>0</v>
      </c>
      <c r="N84" s="243">
        <v>0</v>
      </c>
      <c r="O84" s="249">
        <f t="shared" si="17"/>
        <v>1</v>
      </c>
      <c r="P84" s="153"/>
      <c r="Q84" s="153"/>
      <c r="R84" s="153"/>
      <c r="S84" s="153"/>
      <c r="T84" s="153"/>
      <c r="U84" s="153"/>
      <c r="V84" s="233"/>
      <c r="W84" s="153"/>
      <c r="X84" s="153"/>
      <c r="Y84" s="176"/>
      <c r="Z84" s="176"/>
      <c r="AA84" s="176"/>
      <c r="AB84" s="176"/>
      <c r="AC84" s="176"/>
      <c r="AD84" s="212"/>
      <c r="AE84" s="212"/>
      <c r="AF84" s="201"/>
      <c r="AG84" s="201"/>
      <c r="AI84" s="201"/>
      <c r="AP84" s="201"/>
      <c r="AQ84" s="201"/>
      <c r="AR84" s="201"/>
      <c r="AS84" s="201"/>
    </row>
    <row r="85" spans="1:45" s="155" customFormat="1" ht="14.45" customHeight="1" x14ac:dyDescent="0.2">
      <c r="A85" s="215"/>
      <c r="B85" s="215" t="s">
        <v>796</v>
      </c>
      <c r="C85" s="242">
        <v>0</v>
      </c>
      <c r="D85" s="242">
        <v>0</v>
      </c>
      <c r="E85" s="242">
        <v>0</v>
      </c>
      <c r="F85" s="242">
        <v>3</v>
      </c>
      <c r="G85" s="242">
        <v>1</v>
      </c>
      <c r="H85" s="242">
        <v>0</v>
      </c>
      <c r="I85" s="242">
        <v>0</v>
      </c>
      <c r="J85" s="242">
        <v>0</v>
      </c>
      <c r="K85" s="242">
        <v>0</v>
      </c>
      <c r="L85" s="243">
        <v>0</v>
      </c>
      <c r="M85" s="243">
        <v>0</v>
      </c>
      <c r="N85" s="243">
        <v>0</v>
      </c>
      <c r="O85" s="249">
        <f t="shared" si="17"/>
        <v>4</v>
      </c>
      <c r="P85" s="153"/>
      <c r="Q85" s="153"/>
      <c r="R85" s="153"/>
      <c r="S85" s="153"/>
      <c r="T85" s="153"/>
      <c r="U85" s="153"/>
      <c r="V85" s="233"/>
      <c r="W85" s="153"/>
      <c r="X85" s="153"/>
      <c r="Y85" s="176"/>
      <c r="Z85" s="176"/>
      <c r="AA85" s="176"/>
      <c r="AB85" s="176"/>
      <c r="AC85" s="176"/>
      <c r="AD85" s="212"/>
      <c r="AE85" s="212"/>
      <c r="AF85" s="201"/>
      <c r="AG85" s="201"/>
      <c r="AI85" s="201"/>
      <c r="AP85" s="201"/>
      <c r="AQ85" s="201"/>
      <c r="AR85" s="201"/>
      <c r="AS85" s="201"/>
    </row>
    <row r="86" spans="1:45" s="155" customFormat="1" ht="12" x14ac:dyDescent="0.2">
      <c r="A86" s="219"/>
      <c r="E86" s="153"/>
      <c r="F86" s="153"/>
      <c r="G86" s="153"/>
      <c r="Q86" s="153"/>
      <c r="R86" s="164"/>
      <c r="S86" s="164"/>
      <c r="T86" s="182"/>
      <c r="U86" s="182"/>
      <c r="V86" s="250"/>
      <c r="W86" s="164"/>
      <c r="X86" s="182"/>
      <c r="Y86" s="182"/>
      <c r="Z86" s="164"/>
      <c r="AA86" s="164"/>
      <c r="AB86" s="164"/>
      <c r="AC86" s="196"/>
      <c r="AD86" s="196"/>
      <c r="AE86" s="196"/>
      <c r="AF86" s="196"/>
      <c r="AQ86" s="201"/>
      <c r="AS86" s="201"/>
    </row>
    <row r="87" spans="1:45" s="153" customFormat="1" ht="18" customHeight="1" x14ac:dyDescent="0.2">
      <c r="A87" s="381"/>
      <c r="B87" s="372"/>
      <c r="C87" s="372"/>
      <c r="D87" s="372"/>
      <c r="E87" s="372"/>
      <c r="F87" s="372"/>
      <c r="G87" s="372"/>
      <c r="H87" s="372"/>
      <c r="I87" s="372"/>
      <c r="J87" s="372"/>
      <c r="K87" s="372"/>
      <c r="L87" s="372"/>
      <c r="M87" s="372"/>
      <c r="N87" s="372"/>
      <c r="O87" s="372"/>
      <c r="P87" s="372"/>
      <c r="Q87" s="372"/>
      <c r="R87" s="372"/>
      <c r="S87" s="372"/>
      <c r="T87" s="372"/>
      <c r="U87" s="372"/>
      <c r="V87" s="382"/>
      <c r="W87" s="164"/>
      <c r="X87" s="164"/>
      <c r="Y87" s="164"/>
      <c r="Z87" s="164"/>
    </row>
    <row r="88" spans="1:45" s="155" customFormat="1" ht="12" x14ac:dyDescent="0.2">
      <c r="A88" s="219"/>
      <c r="F88" s="153"/>
      <c r="G88" s="153"/>
      <c r="H88" s="153"/>
      <c r="K88" s="153"/>
      <c r="L88" s="164"/>
      <c r="M88" s="164"/>
      <c r="N88" s="164"/>
      <c r="O88" s="164"/>
      <c r="P88" s="164"/>
      <c r="Q88" s="164"/>
      <c r="R88" s="164"/>
      <c r="S88" s="164"/>
      <c r="T88" s="164"/>
      <c r="U88" s="164"/>
      <c r="V88" s="218"/>
      <c r="W88" s="196"/>
      <c r="X88" s="196"/>
      <c r="Y88" s="196"/>
      <c r="Z88" s="196"/>
    </row>
    <row r="89" spans="1:45" s="155" customFormat="1" ht="23.25" customHeight="1" x14ac:dyDescent="0.2">
      <c r="A89" s="383" t="s">
        <v>814</v>
      </c>
      <c r="B89" s="384"/>
      <c r="C89" s="384"/>
      <c r="D89" s="384"/>
      <c r="E89" s="384"/>
      <c r="F89" s="384"/>
      <c r="G89" s="384"/>
      <c r="H89" s="384"/>
      <c r="I89" s="384"/>
      <c r="J89" s="384"/>
      <c r="K89" s="384"/>
      <c r="L89" s="384"/>
      <c r="M89" s="384"/>
      <c r="N89" s="384"/>
      <c r="O89" s="164"/>
      <c r="P89" s="164"/>
      <c r="Q89" s="232"/>
      <c r="R89" s="232"/>
      <c r="S89" s="232"/>
      <c r="T89" s="232"/>
      <c r="U89" s="232"/>
      <c r="V89" s="251"/>
      <c r="W89" s="197"/>
      <c r="X89" s="197"/>
      <c r="Y89" s="197"/>
      <c r="Z89" s="197"/>
      <c r="AA89" s="200"/>
      <c r="AB89" s="200"/>
    </row>
    <row r="90" spans="1:45" s="155" customFormat="1" ht="22.5" customHeight="1" x14ac:dyDescent="0.2">
      <c r="A90" s="172" t="s">
        <v>780</v>
      </c>
      <c r="B90" s="172" t="s">
        <v>781</v>
      </c>
      <c r="C90" s="172" t="s">
        <v>782</v>
      </c>
      <c r="D90" s="172" t="s">
        <v>783</v>
      </c>
      <c r="E90" s="172" t="s">
        <v>784</v>
      </c>
      <c r="F90" s="172" t="s">
        <v>785</v>
      </c>
      <c r="G90" s="172" t="s">
        <v>786</v>
      </c>
      <c r="H90" s="172" t="s">
        <v>787</v>
      </c>
      <c r="I90" s="172" t="s">
        <v>788</v>
      </c>
      <c r="J90" s="172" t="s">
        <v>789</v>
      </c>
      <c r="K90" s="172" t="s">
        <v>790</v>
      </c>
      <c r="L90" s="172" t="s">
        <v>791</v>
      </c>
      <c r="M90" s="172" t="s">
        <v>792</v>
      </c>
      <c r="N90" s="172" t="s">
        <v>815</v>
      </c>
      <c r="O90" s="164"/>
      <c r="P90" s="232"/>
      <c r="Q90" s="232"/>
      <c r="R90" s="232"/>
      <c r="S90" s="232"/>
      <c r="T90" s="232"/>
      <c r="U90" s="232"/>
      <c r="V90" s="251"/>
      <c r="W90" s="197"/>
      <c r="X90" s="197"/>
      <c r="Y90" s="197"/>
      <c r="Z90" s="197"/>
      <c r="AA90" s="200"/>
      <c r="AB90" s="200"/>
      <c r="AC90" s="200"/>
      <c r="AD90" s="200"/>
      <c r="AE90" s="200"/>
      <c r="AF90" s="200"/>
    </row>
    <row r="91" spans="1:45" s="155" customFormat="1" ht="12" x14ac:dyDescent="0.2">
      <c r="A91" s="252" t="s">
        <v>816</v>
      </c>
      <c r="B91" s="253">
        <v>24427.2580645161</v>
      </c>
      <c r="C91" s="254">
        <v>24401.3</v>
      </c>
      <c r="D91" s="255">
        <v>24350.6451612903</v>
      </c>
      <c r="E91" s="254">
        <v>24666.2903225806</v>
      </c>
      <c r="F91" s="255">
        <v>21727.3636363636</v>
      </c>
      <c r="G91" s="254">
        <v>0</v>
      </c>
      <c r="H91" s="254">
        <v>0</v>
      </c>
      <c r="I91" s="255">
        <v>0</v>
      </c>
      <c r="J91" s="254">
        <v>0</v>
      </c>
      <c r="K91" s="255">
        <v>0</v>
      </c>
      <c r="L91" s="255">
        <v>0</v>
      </c>
      <c r="M91" s="254">
        <v>0</v>
      </c>
      <c r="N91" s="255">
        <v>24046.972413793101</v>
      </c>
      <c r="O91" s="256"/>
      <c r="P91" s="257"/>
      <c r="Q91" s="257"/>
      <c r="R91" s="257"/>
      <c r="S91" s="257"/>
      <c r="T91" s="257"/>
      <c r="U91" s="257"/>
      <c r="V91" s="258"/>
      <c r="W91" s="259"/>
      <c r="X91" s="259"/>
      <c r="Y91" s="259"/>
      <c r="Z91" s="259"/>
      <c r="AA91" s="260"/>
      <c r="AB91" s="260"/>
    </row>
    <row r="92" spans="1:45" s="155" customFormat="1" ht="12" x14ac:dyDescent="0.2">
      <c r="A92" s="261" t="s">
        <v>793</v>
      </c>
      <c r="B92" s="216">
        <v>1360.83870967742</v>
      </c>
      <c r="C92" s="262">
        <v>1356.56666666667</v>
      </c>
      <c r="D92" s="262">
        <v>1300.61290322581</v>
      </c>
      <c r="E92" s="262">
        <v>1357.5161290322601</v>
      </c>
      <c r="F92" s="262">
        <v>1229.77272727273</v>
      </c>
      <c r="G92" s="262">
        <v>0</v>
      </c>
      <c r="H92" s="262">
        <v>0</v>
      </c>
      <c r="I92" s="262">
        <v>0</v>
      </c>
      <c r="J92" s="262">
        <v>0</v>
      </c>
      <c r="K92" s="262">
        <v>0</v>
      </c>
      <c r="L92" s="262">
        <v>0</v>
      </c>
      <c r="M92" s="262">
        <v>0</v>
      </c>
      <c r="N92" s="262">
        <v>1326.48275862069</v>
      </c>
      <c r="O92" s="164"/>
      <c r="P92" s="257"/>
      <c r="Q92" s="257"/>
      <c r="R92" s="257"/>
      <c r="S92" s="257"/>
      <c r="T92" s="257"/>
      <c r="U92" s="182"/>
      <c r="V92" s="258"/>
      <c r="W92" s="259"/>
      <c r="X92" s="259"/>
      <c r="Y92" s="259"/>
      <c r="Z92" s="259"/>
      <c r="AA92" s="260"/>
      <c r="AB92" s="260"/>
      <c r="AC92" s="260"/>
      <c r="AD92" s="260"/>
      <c r="AE92" s="260"/>
      <c r="AF92" s="260"/>
      <c r="AG92" s="260"/>
    </row>
    <row r="93" spans="1:45" s="155" customFormat="1" ht="12" x14ac:dyDescent="0.2">
      <c r="A93" s="263" t="s">
        <v>794</v>
      </c>
      <c r="B93" s="216">
        <v>738.16129032258095</v>
      </c>
      <c r="C93" s="262">
        <v>723.46666666666704</v>
      </c>
      <c r="D93" s="262">
        <v>686.677419354839</v>
      </c>
      <c r="E93" s="262">
        <v>662.77419354838696</v>
      </c>
      <c r="F93" s="262">
        <v>614.81818181818198</v>
      </c>
      <c r="G93" s="262">
        <v>0</v>
      </c>
      <c r="H93" s="262">
        <v>0</v>
      </c>
      <c r="I93" s="262">
        <v>0</v>
      </c>
      <c r="J93" s="262">
        <v>0</v>
      </c>
      <c r="K93" s="262">
        <v>0</v>
      </c>
      <c r="L93" s="262">
        <v>0</v>
      </c>
      <c r="M93" s="262">
        <v>0</v>
      </c>
      <c r="N93" s="262">
        <v>689.28275862068995</v>
      </c>
      <c r="O93" s="164"/>
      <c r="P93" s="232"/>
      <c r="Q93" s="232"/>
      <c r="R93" s="232"/>
      <c r="S93" s="232"/>
      <c r="T93" s="232"/>
      <c r="U93" s="232"/>
      <c r="V93" s="251"/>
      <c r="W93" s="197"/>
      <c r="X93" s="197"/>
      <c r="Y93" s="197"/>
      <c r="Z93" s="197"/>
      <c r="AA93" s="260"/>
      <c r="AB93" s="260"/>
      <c r="AC93" s="260"/>
      <c r="AG93" s="260"/>
    </row>
    <row r="94" spans="1:45" s="265" customFormat="1" ht="12" x14ac:dyDescent="0.2">
      <c r="A94" s="263" t="s">
        <v>796</v>
      </c>
      <c r="B94" s="216">
        <v>22328.2580645161</v>
      </c>
      <c r="C94" s="262">
        <v>22321.266666666699</v>
      </c>
      <c r="D94" s="262">
        <v>22363.3548387097</v>
      </c>
      <c r="E94" s="262">
        <v>22646</v>
      </c>
      <c r="F94" s="262">
        <v>19882.772727272699</v>
      </c>
      <c r="G94" s="262">
        <v>0</v>
      </c>
      <c r="H94" s="262">
        <v>0</v>
      </c>
      <c r="I94" s="262">
        <v>0</v>
      </c>
      <c r="J94" s="262">
        <v>0</v>
      </c>
      <c r="K94" s="262">
        <v>0</v>
      </c>
      <c r="L94" s="262">
        <v>0</v>
      </c>
      <c r="M94" s="262">
        <v>0</v>
      </c>
      <c r="N94" s="262">
        <v>22031.206896551699</v>
      </c>
      <c r="O94" s="257"/>
      <c r="P94" s="257"/>
      <c r="Q94" s="257"/>
      <c r="R94" s="257"/>
      <c r="S94" s="257"/>
      <c r="T94" s="257"/>
      <c r="U94" s="257"/>
      <c r="V94" s="258"/>
      <c r="W94" s="264"/>
      <c r="X94" s="264"/>
      <c r="Y94" s="264"/>
      <c r="Z94" s="264"/>
      <c r="AA94" s="264"/>
      <c r="AB94" s="264"/>
      <c r="AC94" s="264"/>
      <c r="AD94" s="264"/>
      <c r="AE94" s="264"/>
      <c r="AF94" s="264"/>
      <c r="AG94" s="264"/>
    </row>
    <row r="95" spans="1:45" s="155" customFormat="1" ht="12" x14ac:dyDescent="0.2">
      <c r="A95" s="252" t="s">
        <v>817</v>
      </c>
      <c r="B95" s="253">
        <v>14284.1612903226</v>
      </c>
      <c r="C95" s="254">
        <v>14594.7</v>
      </c>
      <c r="D95" s="255">
        <v>14791.967741935499</v>
      </c>
      <c r="E95" s="254">
        <v>15537.1935483871</v>
      </c>
      <c r="F95" s="255">
        <v>20820.090909090901</v>
      </c>
      <c r="G95" s="254">
        <v>0</v>
      </c>
      <c r="H95" s="254">
        <v>0</v>
      </c>
      <c r="I95" s="255">
        <v>0</v>
      </c>
      <c r="J95" s="254">
        <v>0</v>
      </c>
      <c r="K95" s="255">
        <v>0</v>
      </c>
      <c r="L95" s="255">
        <v>0</v>
      </c>
      <c r="M95" s="254">
        <v>0</v>
      </c>
      <c r="N95" s="255">
        <v>15716.524137930999</v>
      </c>
      <c r="O95" s="164"/>
      <c r="P95" s="257"/>
      <c r="Q95" s="257"/>
      <c r="R95" s="257"/>
      <c r="S95" s="257"/>
      <c r="T95" s="257"/>
      <c r="U95" s="257"/>
      <c r="V95" s="258"/>
      <c r="W95" s="260"/>
      <c r="X95" s="260"/>
      <c r="Y95" s="260"/>
      <c r="Z95" s="260"/>
      <c r="AA95" s="260"/>
      <c r="AB95" s="260"/>
      <c r="AC95" s="260"/>
      <c r="AD95" s="260"/>
      <c r="AE95" s="260"/>
      <c r="AF95" s="260"/>
      <c r="AG95" s="260"/>
    </row>
    <row r="96" spans="1:45" s="155" customFormat="1" ht="12" x14ac:dyDescent="0.2">
      <c r="A96" s="261" t="s">
        <v>793</v>
      </c>
      <c r="B96" s="216">
        <v>9216.1612903225796</v>
      </c>
      <c r="C96" s="262">
        <v>9337.2666666666701</v>
      </c>
      <c r="D96" s="262">
        <v>9372.7096774193506</v>
      </c>
      <c r="E96" s="262">
        <v>9619.8387096774204</v>
      </c>
      <c r="F96" s="262">
        <v>11131.409090909099</v>
      </c>
      <c r="G96" s="262">
        <v>0</v>
      </c>
      <c r="H96" s="262">
        <v>0</v>
      </c>
      <c r="I96" s="262">
        <v>0</v>
      </c>
      <c r="J96" s="262">
        <v>0</v>
      </c>
      <c r="K96" s="262">
        <v>0</v>
      </c>
      <c r="L96" s="262">
        <v>0</v>
      </c>
      <c r="M96" s="262">
        <v>0</v>
      </c>
      <c r="N96" s="262">
        <v>9651.5793103448304</v>
      </c>
      <c r="O96" s="164"/>
      <c r="P96" s="257"/>
      <c r="Q96" s="257"/>
      <c r="R96" s="257"/>
      <c r="S96" s="257"/>
      <c r="T96" s="257"/>
      <c r="U96" s="257"/>
      <c r="V96" s="258"/>
      <c r="W96" s="260"/>
      <c r="X96" s="260"/>
      <c r="Y96" s="260"/>
      <c r="Z96" s="260"/>
      <c r="AA96" s="260"/>
      <c r="AB96" s="260"/>
      <c r="AC96" s="201"/>
      <c r="AD96" s="260"/>
      <c r="AE96" s="260"/>
      <c r="AF96" s="260"/>
      <c r="AG96" s="260"/>
    </row>
    <row r="97" spans="1:34" s="155" customFormat="1" ht="12" x14ac:dyDescent="0.2">
      <c r="A97" s="263" t="s">
        <v>794</v>
      </c>
      <c r="B97" s="216">
        <v>4176.0967741935501</v>
      </c>
      <c r="C97" s="262">
        <v>4356.3999999999996</v>
      </c>
      <c r="D97" s="262">
        <v>4511.3870967741896</v>
      </c>
      <c r="E97" s="262">
        <v>4826.8064516128998</v>
      </c>
      <c r="F97" s="262">
        <v>6618.0454545454504</v>
      </c>
      <c r="G97" s="262">
        <v>0</v>
      </c>
      <c r="H97" s="262">
        <v>0</v>
      </c>
      <c r="I97" s="262">
        <v>0</v>
      </c>
      <c r="J97" s="262">
        <v>0</v>
      </c>
      <c r="K97" s="262">
        <v>0</v>
      </c>
      <c r="L97" s="262">
        <v>0</v>
      </c>
      <c r="M97" s="262">
        <v>0</v>
      </c>
      <c r="N97" s="262">
        <v>4794.70344827586</v>
      </c>
      <c r="O97" s="164"/>
      <c r="P97" s="257"/>
      <c r="Q97" s="257"/>
      <c r="R97" s="257"/>
      <c r="S97" s="257"/>
      <c r="T97" s="182"/>
      <c r="U97" s="257"/>
      <c r="V97" s="258"/>
      <c r="W97" s="260"/>
      <c r="X97" s="260"/>
      <c r="Y97" s="260"/>
      <c r="Z97" s="260"/>
      <c r="AA97" s="260"/>
      <c r="AB97" s="260"/>
      <c r="AC97" s="260"/>
      <c r="AD97" s="260"/>
      <c r="AE97" s="260"/>
      <c r="AF97" s="260"/>
      <c r="AG97" s="260"/>
    </row>
    <row r="98" spans="1:34" s="155" customFormat="1" ht="12" x14ac:dyDescent="0.2">
      <c r="A98" s="263" t="s">
        <v>796</v>
      </c>
      <c r="B98" s="262">
        <v>891.90322580645204</v>
      </c>
      <c r="C98" s="262">
        <v>901.03333333333296</v>
      </c>
      <c r="D98" s="262">
        <v>907.87096774193503</v>
      </c>
      <c r="E98" s="262">
        <v>1090.5483870967701</v>
      </c>
      <c r="F98" s="262">
        <v>3070.6363636363599</v>
      </c>
      <c r="G98" s="262">
        <v>0</v>
      </c>
      <c r="H98" s="262">
        <v>0</v>
      </c>
      <c r="I98" s="262">
        <v>0</v>
      </c>
      <c r="J98" s="262">
        <v>0</v>
      </c>
      <c r="K98" s="262">
        <v>0</v>
      </c>
      <c r="L98" s="262">
        <v>0</v>
      </c>
      <c r="M98" s="262">
        <v>0</v>
      </c>
      <c r="N98" s="262">
        <v>1270.2413793103401</v>
      </c>
      <c r="O98" s="164"/>
      <c r="P98" s="257"/>
      <c r="Q98" s="257"/>
      <c r="R98" s="257"/>
      <c r="S98" s="257"/>
      <c r="T98" s="257"/>
      <c r="U98" s="257"/>
      <c r="V98" s="258"/>
      <c r="W98" s="260"/>
      <c r="X98" s="260"/>
      <c r="Y98" s="260"/>
      <c r="Z98" s="201"/>
      <c r="AA98" s="260"/>
      <c r="AB98" s="260"/>
      <c r="AC98" s="260"/>
      <c r="AD98" s="260"/>
      <c r="AG98" s="260"/>
    </row>
    <row r="99" spans="1:34" s="155" customFormat="1" ht="12" x14ac:dyDescent="0.2">
      <c r="A99" s="252" t="s">
        <v>818</v>
      </c>
      <c r="B99" s="253">
        <v>38711.419354838697</v>
      </c>
      <c r="C99" s="254">
        <v>38996</v>
      </c>
      <c r="D99" s="255">
        <v>39142.612903225803</v>
      </c>
      <c r="E99" s="254">
        <v>40203.483870967699</v>
      </c>
      <c r="F99" s="255">
        <v>42547.4545454545</v>
      </c>
      <c r="G99" s="254">
        <v>0</v>
      </c>
      <c r="H99" s="254">
        <v>0</v>
      </c>
      <c r="I99" s="255">
        <v>0</v>
      </c>
      <c r="J99" s="254">
        <v>0</v>
      </c>
      <c r="K99" s="255">
        <v>0</v>
      </c>
      <c r="L99" s="255">
        <v>0</v>
      </c>
      <c r="M99" s="254">
        <v>0</v>
      </c>
      <c r="N99" s="255">
        <v>39763.4965517241</v>
      </c>
      <c r="O99" s="164"/>
      <c r="P99" s="257"/>
      <c r="Q99" s="257"/>
      <c r="R99" s="257"/>
      <c r="S99" s="257"/>
      <c r="T99" s="257"/>
      <c r="U99" s="257"/>
      <c r="V99" s="258"/>
      <c r="W99" s="260"/>
      <c r="X99" s="260"/>
      <c r="Y99" s="260"/>
      <c r="Z99" s="260"/>
      <c r="AA99" s="260"/>
      <c r="AB99" s="260"/>
      <c r="AC99" s="260"/>
      <c r="AD99" s="260"/>
      <c r="AG99" s="260"/>
    </row>
    <row r="100" spans="1:34" s="155" customFormat="1" ht="12" x14ac:dyDescent="0.2">
      <c r="A100" s="261" t="s">
        <v>793</v>
      </c>
      <c r="B100" s="216">
        <v>10577</v>
      </c>
      <c r="C100" s="262">
        <v>10693.833333333299</v>
      </c>
      <c r="D100" s="262">
        <v>10673.322580645199</v>
      </c>
      <c r="E100" s="262">
        <v>10977.3548387097</v>
      </c>
      <c r="F100" s="262">
        <v>12361.1818181818</v>
      </c>
      <c r="G100" s="262">
        <v>0</v>
      </c>
      <c r="H100" s="262">
        <v>0</v>
      </c>
      <c r="I100" s="262">
        <v>0</v>
      </c>
      <c r="J100" s="262">
        <v>0</v>
      </c>
      <c r="K100" s="262">
        <v>0</v>
      </c>
      <c r="L100" s="262">
        <v>0</v>
      </c>
      <c r="M100" s="262">
        <v>0</v>
      </c>
      <c r="N100" s="262">
        <v>10978.062068965501</v>
      </c>
      <c r="O100" s="164"/>
      <c r="P100" s="257"/>
      <c r="Q100" s="257"/>
      <c r="R100" s="260"/>
      <c r="S100" s="257"/>
      <c r="T100" s="257"/>
      <c r="U100" s="257"/>
      <c r="V100" s="258"/>
      <c r="W100" s="260"/>
      <c r="X100" s="260"/>
      <c r="Y100" s="260"/>
      <c r="Z100" s="260"/>
      <c r="AA100" s="260"/>
      <c r="AB100" s="260"/>
    </row>
    <row r="101" spans="1:34" s="155" customFormat="1" ht="12" x14ac:dyDescent="0.2">
      <c r="A101" s="263" t="s">
        <v>794</v>
      </c>
      <c r="B101" s="216">
        <v>4914.2580645161297</v>
      </c>
      <c r="C101" s="262">
        <v>5079.8666666666704</v>
      </c>
      <c r="D101" s="262">
        <v>5198.0645161290304</v>
      </c>
      <c r="E101" s="262">
        <v>5489.5806451612898</v>
      </c>
      <c r="F101" s="262">
        <v>7232.8636363636397</v>
      </c>
      <c r="G101" s="262">
        <v>0</v>
      </c>
      <c r="H101" s="262">
        <v>0</v>
      </c>
      <c r="I101" s="262">
        <v>0</v>
      </c>
      <c r="J101" s="262">
        <v>0</v>
      </c>
      <c r="K101" s="262">
        <v>0</v>
      </c>
      <c r="L101" s="262">
        <v>0</v>
      </c>
      <c r="M101" s="262">
        <v>0</v>
      </c>
      <c r="N101" s="262">
        <v>5483.9862068965504</v>
      </c>
      <c r="O101" s="164"/>
      <c r="P101" s="257"/>
      <c r="Q101" s="257"/>
      <c r="R101" s="182"/>
      <c r="S101" s="257"/>
      <c r="T101" s="257"/>
      <c r="U101" s="257"/>
      <c r="V101" s="258"/>
      <c r="W101" s="260"/>
      <c r="X101" s="260"/>
      <c r="Y101" s="260"/>
      <c r="Z101" s="260"/>
      <c r="AA101" s="260"/>
      <c r="AB101" s="260"/>
    </row>
    <row r="102" spans="1:34" s="155" customFormat="1" ht="12" x14ac:dyDescent="0.2">
      <c r="A102" s="263" t="s">
        <v>796</v>
      </c>
      <c r="B102" s="216">
        <v>23220.161290322601</v>
      </c>
      <c r="C102" s="262">
        <v>23222.3</v>
      </c>
      <c r="D102" s="262">
        <v>23271.225806451599</v>
      </c>
      <c r="E102" s="262">
        <v>23736.548387096798</v>
      </c>
      <c r="F102" s="262">
        <v>22953.409090909099</v>
      </c>
      <c r="G102" s="262">
        <v>0</v>
      </c>
      <c r="H102" s="262">
        <v>0</v>
      </c>
      <c r="I102" s="262">
        <v>0</v>
      </c>
      <c r="J102" s="262">
        <v>0</v>
      </c>
      <c r="K102" s="262">
        <v>0</v>
      </c>
      <c r="L102" s="262">
        <v>0</v>
      </c>
      <c r="M102" s="262">
        <v>0</v>
      </c>
      <c r="N102" s="262">
        <v>23301.448275862102</v>
      </c>
      <c r="O102" s="164"/>
      <c r="P102" s="257"/>
      <c r="Q102" s="257"/>
      <c r="R102" s="182"/>
      <c r="S102" s="182"/>
      <c r="T102" s="257"/>
      <c r="U102" s="257"/>
      <c r="V102" s="258"/>
      <c r="W102" s="260"/>
      <c r="X102" s="260"/>
      <c r="Y102" s="260"/>
      <c r="Z102" s="260"/>
      <c r="AA102" s="260"/>
      <c r="AB102" s="260"/>
    </row>
    <row r="103" spans="1:34" s="155" customFormat="1" ht="12" x14ac:dyDescent="0.2">
      <c r="A103" s="219"/>
      <c r="F103" s="153"/>
      <c r="G103" s="153"/>
      <c r="H103" s="153"/>
      <c r="I103" s="153"/>
      <c r="J103" s="153"/>
      <c r="K103" s="153"/>
      <c r="L103" s="164"/>
      <c r="M103" s="164"/>
      <c r="N103" s="164"/>
      <c r="O103" s="164"/>
      <c r="P103" s="257"/>
      <c r="Q103" s="257"/>
      <c r="R103" s="257"/>
      <c r="S103" s="182"/>
      <c r="T103" s="257"/>
      <c r="U103" s="257"/>
      <c r="V103" s="258"/>
      <c r="W103" s="260"/>
      <c r="X103" s="260"/>
      <c r="Y103" s="260"/>
      <c r="Z103" s="260"/>
      <c r="AA103" s="260"/>
      <c r="AB103" s="260"/>
    </row>
    <row r="104" spans="1:34" s="155" customFormat="1" ht="12" customHeight="1" x14ac:dyDescent="0.2">
      <c r="A104" s="371"/>
      <c r="B104" s="372"/>
      <c r="C104" s="372"/>
      <c r="D104" s="372"/>
      <c r="E104" s="372"/>
      <c r="F104" s="372"/>
      <c r="G104" s="372"/>
      <c r="H104" s="372"/>
      <c r="I104" s="372"/>
      <c r="J104" s="372"/>
      <c r="K104" s="372"/>
      <c r="L104" s="372"/>
      <c r="M104" s="372"/>
      <c r="N104" s="372"/>
      <c r="O104" s="372"/>
      <c r="P104" s="372"/>
      <c r="Q104" s="372"/>
      <c r="R104" s="372"/>
      <c r="S104" s="372"/>
      <c r="T104" s="372"/>
      <c r="U104" s="372"/>
      <c r="V104" s="373"/>
    </row>
    <row r="105" spans="1:34" s="155" customFormat="1" ht="12" x14ac:dyDescent="0.2">
      <c r="A105" s="219"/>
      <c r="F105" s="153"/>
      <c r="G105" s="153"/>
      <c r="H105" s="153"/>
      <c r="I105" s="153"/>
      <c r="J105" s="153"/>
      <c r="K105" s="153"/>
      <c r="L105" s="164"/>
      <c r="M105" s="164"/>
      <c r="N105" s="164"/>
      <c r="O105" s="164"/>
      <c r="P105" s="164"/>
      <c r="Q105" s="164"/>
      <c r="R105" s="164"/>
      <c r="S105" s="164"/>
      <c r="T105" s="164"/>
      <c r="U105" s="164"/>
      <c r="V105" s="218"/>
      <c r="AA105" s="200"/>
      <c r="AB105" s="200"/>
      <c r="AC105" s="200"/>
      <c r="AD105" s="200"/>
      <c r="AE105" s="200"/>
      <c r="AF105" s="200"/>
      <c r="AG105" s="200"/>
    </row>
    <row r="106" spans="1:34" s="155" customFormat="1" ht="24.75" customHeight="1" x14ac:dyDescent="0.2">
      <c r="A106" s="383" t="s">
        <v>819</v>
      </c>
      <c r="B106" s="384"/>
      <c r="C106" s="384"/>
      <c r="D106" s="384"/>
      <c r="E106" s="384"/>
      <c r="F106" s="384"/>
      <c r="G106" s="384"/>
      <c r="H106" s="384"/>
      <c r="I106" s="384"/>
      <c r="J106" s="384"/>
      <c r="K106" s="384"/>
      <c r="L106" s="384"/>
      <c r="M106" s="384"/>
      <c r="N106" s="384"/>
      <c r="O106" s="164"/>
      <c r="P106" s="164"/>
      <c r="Q106" s="232"/>
      <c r="R106" s="232"/>
      <c r="S106" s="232"/>
      <c r="T106" s="232"/>
      <c r="U106" s="232"/>
      <c r="V106" s="251"/>
      <c r="W106" s="200"/>
      <c r="X106" s="200"/>
      <c r="Y106" s="200"/>
      <c r="Z106" s="200"/>
      <c r="AA106" s="200"/>
      <c r="AB106" s="200"/>
    </row>
    <row r="107" spans="1:34" s="155" customFormat="1" ht="12" x14ac:dyDescent="0.2">
      <c r="A107" s="172" t="s">
        <v>780</v>
      </c>
      <c r="B107" s="172" t="s">
        <v>781</v>
      </c>
      <c r="C107" s="172" t="s">
        <v>782</v>
      </c>
      <c r="D107" s="172" t="s">
        <v>783</v>
      </c>
      <c r="E107" s="172" t="s">
        <v>784</v>
      </c>
      <c r="F107" s="172" t="s">
        <v>785</v>
      </c>
      <c r="G107" s="172" t="s">
        <v>786</v>
      </c>
      <c r="H107" s="172" t="s">
        <v>787</v>
      </c>
      <c r="I107" s="172" t="s">
        <v>788</v>
      </c>
      <c r="J107" s="172" t="s">
        <v>789</v>
      </c>
      <c r="K107" s="172" t="s">
        <v>790</v>
      </c>
      <c r="L107" s="172" t="s">
        <v>791</v>
      </c>
      <c r="M107" s="172" t="s">
        <v>792</v>
      </c>
      <c r="N107" s="172" t="s">
        <v>815</v>
      </c>
      <c r="O107" s="164"/>
      <c r="P107" s="232"/>
      <c r="Q107" s="232"/>
      <c r="R107" s="232"/>
      <c r="S107" s="232"/>
      <c r="T107" s="232"/>
      <c r="U107" s="232"/>
      <c r="V107" s="251"/>
      <c r="W107" s="200"/>
      <c r="X107" s="200"/>
      <c r="Y107" s="200"/>
      <c r="Z107" s="200"/>
      <c r="AA107" s="200"/>
      <c r="AB107" s="200"/>
      <c r="AC107" s="260"/>
      <c r="AD107" s="260"/>
      <c r="AE107" s="260"/>
      <c r="AF107" s="260"/>
      <c r="AG107" s="260"/>
      <c r="AH107" s="260"/>
    </row>
    <row r="108" spans="1:34" s="155" customFormat="1" ht="12.75" customHeight="1" x14ac:dyDescent="0.2">
      <c r="A108" s="252" t="s">
        <v>816</v>
      </c>
      <c r="B108" s="266">
        <v>44.293243622091403</v>
      </c>
      <c r="C108" s="267">
        <v>48.114791547686998</v>
      </c>
      <c r="D108" s="268">
        <v>46.810106069534498</v>
      </c>
      <c r="E108" s="267">
        <v>52.538863976083697</v>
      </c>
      <c r="F108" s="268">
        <v>63.693501620330899</v>
      </c>
      <c r="G108" s="267">
        <v>0</v>
      </c>
      <c r="H108" s="267">
        <v>0</v>
      </c>
      <c r="I108" s="268">
        <v>0</v>
      </c>
      <c r="J108" s="267">
        <v>0</v>
      </c>
      <c r="K108" s="268">
        <v>0</v>
      </c>
      <c r="L108" s="268">
        <v>0</v>
      </c>
      <c r="M108" s="267">
        <v>0</v>
      </c>
      <c r="N108" s="268">
        <v>49.325936710343598</v>
      </c>
      <c r="O108" s="164"/>
      <c r="P108" s="164"/>
      <c r="Q108" s="232"/>
      <c r="R108" s="232"/>
      <c r="S108" s="232"/>
      <c r="T108" s="232"/>
      <c r="U108" s="232"/>
      <c r="V108" s="251"/>
      <c r="W108" s="200"/>
      <c r="X108" s="200"/>
      <c r="Y108" s="200"/>
      <c r="Z108" s="200"/>
      <c r="AA108" s="200"/>
      <c r="AB108" s="200"/>
      <c r="AC108" s="260"/>
      <c r="AD108" s="260"/>
      <c r="AE108" s="260"/>
      <c r="AF108" s="260"/>
      <c r="AG108" s="260"/>
      <c r="AH108" s="260"/>
    </row>
    <row r="109" spans="1:34" s="155" customFormat="1" ht="12" x14ac:dyDescent="0.2">
      <c r="A109" s="261" t="s">
        <v>793</v>
      </c>
      <c r="B109" s="269">
        <v>38.988023952095801</v>
      </c>
      <c r="C109" s="270">
        <v>42.702970297029701</v>
      </c>
      <c r="D109" s="270">
        <v>38.164070612668702</v>
      </c>
      <c r="E109" s="270">
        <v>39.4747039827772</v>
      </c>
      <c r="F109" s="270">
        <v>51.459523809523802</v>
      </c>
      <c r="G109" s="270">
        <v>0</v>
      </c>
      <c r="H109" s="270">
        <v>0</v>
      </c>
      <c r="I109" s="270">
        <v>0</v>
      </c>
      <c r="J109" s="270">
        <v>0</v>
      </c>
      <c r="K109" s="270">
        <v>0</v>
      </c>
      <c r="L109" s="270">
        <v>0</v>
      </c>
      <c r="M109" s="270">
        <v>0</v>
      </c>
      <c r="N109" s="270">
        <v>41.915261382799301</v>
      </c>
      <c r="O109" s="164"/>
      <c r="P109" s="164"/>
      <c r="Q109" s="164"/>
      <c r="R109" s="232"/>
      <c r="S109" s="232"/>
      <c r="T109" s="232"/>
      <c r="U109" s="232"/>
      <c r="V109" s="251"/>
      <c r="W109" s="200"/>
      <c r="X109" s="200"/>
      <c r="Y109" s="200"/>
      <c r="Z109" s="200"/>
      <c r="AA109" s="260"/>
      <c r="AB109" s="260"/>
      <c r="AC109" s="201"/>
      <c r="AD109" s="260"/>
      <c r="AE109" s="260"/>
      <c r="AF109" s="260"/>
      <c r="AH109" s="260"/>
    </row>
    <row r="110" spans="1:34" s="155" customFormat="1" ht="12" x14ac:dyDescent="0.2">
      <c r="A110" s="263" t="s">
        <v>794</v>
      </c>
      <c r="B110" s="269">
        <v>55.708556149732601</v>
      </c>
      <c r="C110" s="270">
        <v>61.601719197707702</v>
      </c>
      <c r="D110" s="270">
        <v>64.083086053412501</v>
      </c>
      <c r="E110" s="270">
        <v>65.058997050147497</v>
      </c>
      <c r="F110" s="270">
        <v>61.895306859205803</v>
      </c>
      <c r="G110" s="270">
        <v>0</v>
      </c>
      <c r="H110" s="270">
        <v>0</v>
      </c>
      <c r="I110" s="270">
        <v>0</v>
      </c>
      <c r="J110" s="270">
        <v>0</v>
      </c>
      <c r="K110" s="270">
        <v>0</v>
      </c>
      <c r="L110" s="270">
        <v>0</v>
      </c>
      <c r="M110" s="270">
        <v>0</v>
      </c>
      <c r="N110" s="270">
        <v>61.533412887828199</v>
      </c>
      <c r="O110" s="164"/>
      <c r="P110" s="164"/>
      <c r="Q110" s="232"/>
      <c r="R110" s="232"/>
      <c r="S110" s="232"/>
      <c r="T110" s="232"/>
      <c r="U110" s="232"/>
      <c r="V110" s="251"/>
      <c r="W110" s="200"/>
      <c r="X110" s="200"/>
      <c r="AA110" s="260"/>
      <c r="AB110" s="260"/>
      <c r="AC110" s="260"/>
      <c r="AD110" s="260"/>
      <c r="AE110" s="260"/>
      <c r="AF110" s="260"/>
      <c r="AG110" s="260"/>
      <c r="AH110" s="260"/>
    </row>
    <row r="111" spans="1:34" s="155" customFormat="1" ht="12" x14ac:dyDescent="0.2">
      <c r="A111" s="263" t="s">
        <v>796</v>
      </c>
      <c r="B111" s="269">
        <v>44.374418243872199</v>
      </c>
      <c r="C111" s="270">
        <v>48.174796426595002</v>
      </c>
      <c r="D111" s="270">
        <v>47.014173998045003</v>
      </c>
      <c r="E111" s="270">
        <v>53.271394096899897</v>
      </c>
      <c r="F111" s="270">
        <v>65.963758954909395</v>
      </c>
      <c r="G111" s="270">
        <v>0</v>
      </c>
      <c r="H111" s="270">
        <v>0</v>
      </c>
      <c r="I111" s="270">
        <v>0</v>
      </c>
      <c r="J111" s="270">
        <v>0</v>
      </c>
      <c r="K111" s="270">
        <v>0</v>
      </c>
      <c r="L111" s="270">
        <v>0</v>
      </c>
      <c r="M111" s="270">
        <v>0</v>
      </c>
      <c r="N111" s="270">
        <v>49.601477398428898</v>
      </c>
      <c r="O111" s="164"/>
      <c r="P111" s="232"/>
      <c r="Q111" s="232"/>
      <c r="R111" s="232"/>
      <c r="S111" s="232"/>
      <c r="T111" s="232"/>
      <c r="U111" s="232"/>
      <c r="V111" s="251"/>
      <c r="W111" s="200"/>
      <c r="X111" s="200"/>
      <c r="Y111" s="200"/>
      <c r="Z111" s="200"/>
    </row>
    <row r="112" spans="1:34" s="155" customFormat="1" ht="12" x14ac:dyDescent="0.2">
      <c r="A112" s="252" t="s">
        <v>817</v>
      </c>
      <c r="B112" s="266">
        <v>51.420986726771901</v>
      </c>
      <c r="C112" s="267">
        <v>50.710741620480299</v>
      </c>
      <c r="D112" s="268">
        <v>52.833997873471603</v>
      </c>
      <c r="E112" s="267">
        <v>51.933986216902397</v>
      </c>
      <c r="F112" s="268">
        <v>40.7606573582108</v>
      </c>
      <c r="G112" s="267">
        <v>0</v>
      </c>
      <c r="H112" s="267">
        <v>0</v>
      </c>
      <c r="I112" s="268">
        <v>0</v>
      </c>
      <c r="J112" s="267">
        <v>0</v>
      </c>
      <c r="K112" s="268">
        <v>0</v>
      </c>
      <c r="L112" s="268">
        <v>0</v>
      </c>
      <c r="M112" s="267">
        <v>0</v>
      </c>
      <c r="N112" s="268">
        <v>49.474779478860398</v>
      </c>
      <c r="O112" s="164"/>
      <c r="P112" s="232"/>
      <c r="Q112" s="232"/>
      <c r="R112" s="257"/>
      <c r="S112" s="257"/>
      <c r="T112" s="257"/>
      <c r="U112" s="257"/>
      <c r="V112" s="218"/>
      <c r="Z112" s="200"/>
      <c r="AA112" s="200"/>
      <c r="AB112" s="200"/>
      <c r="AC112" s="200"/>
      <c r="AD112" s="200"/>
      <c r="AE112" s="200"/>
      <c r="AF112" s="200"/>
    </row>
    <row r="113" spans="1:33" s="155" customFormat="1" ht="12" x14ac:dyDescent="0.2">
      <c r="A113" s="261" t="s">
        <v>793</v>
      </c>
      <c r="B113" s="269">
        <v>54.877396166134197</v>
      </c>
      <c r="C113" s="270">
        <v>50.8682121971596</v>
      </c>
      <c r="D113" s="270">
        <v>54.977502102607197</v>
      </c>
      <c r="E113" s="270">
        <v>53.182033096926702</v>
      </c>
      <c r="F113" s="270">
        <v>43.998913515862696</v>
      </c>
      <c r="G113" s="270">
        <v>0</v>
      </c>
      <c r="H113" s="270">
        <v>0</v>
      </c>
      <c r="I113" s="270">
        <v>0</v>
      </c>
      <c r="J113" s="270">
        <v>0</v>
      </c>
      <c r="K113" s="270">
        <v>0</v>
      </c>
      <c r="L113" s="270">
        <v>0</v>
      </c>
      <c r="M113" s="270">
        <v>0</v>
      </c>
      <c r="N113" s="270">
        <v>51.683491539414</v>
      </c>
      <c r="O113" s="164"/>
      <c r="P113" s="232"/>
      <c r="Q113" s="232"/>
      <c r="R113" s="232"/>
      <c r="S113" s="232"/>
      <c r="T113" s="232"/>
      <c r="U113" s="257"/>
      <c r="V113" s="251"/>
      <c r="W113" s="200"/>
      <c r="X113" s="200"/>
      <c r="Y113" s="200"/>
      <c r="Z113" s="200"/>
      <c r="AA113" s="200"/>
      <c r="AB113" s="200"/>
      <c r="AC113" s="200"/>
    </row>
    <row r="114" spans="1:33" s="155" customFormat="1" ht="12" customHeight="1" x14ac:dyDescent="0.2">
      <c r="A114" s="263" t="s">
        <v>794</v>
      </c>
      <c r="B114" s="269">
        <v>49.124278739458497</v>
      </c>
      <c r="C114" s="270">
        <v>52.721441947565502</v>
      </c>
      <c r="D114" s="270">
        <v>50.189655172413801</v>
      </c>
      <c r="E114" s="270">
        <v>52.7994037478705</v>
      </c>
      <c r="F114" s="270">
        <v>45.639184807781398</v>
      </c>
      <c r="G114" s="270">
        <v>0</v>
      </c>
      <c r="H114" s="270">
        <v>0</v>
      </c>
      <c r="I114" s="270">
        <v>0</v>
      </c>
      <c r="J114" s="270">
        <v>0</v>
      </c>
      <c r="K114" s="270">
        <v>0</v>
      </c>
      <c r="L114" s="270">
        <v>0</v>
      </c>
      <c r="M114" s="270">
        <v>0</v>
      </c>
      <c r="N114" s="270">
        <v>50.127567567567603</v>
      </c>
      <c r="O114" s="164"/>
      <c r="P114" s="232"/>
      <c r="Q114" s="232"/>
      <c r="R114" s="257"/>
      <c r="S114" s="257"/>
      <c r="T114" s="257"/>
      <c r="U114" s="257"/>
      <c r="V114" s="251"/>
      <c r="W114" s="200"/>
      <c r="X114" s="200"/>
      <c r="Y114" s="200"/>
      <c r="Z114" s="200"/>
      <c r="AA114" s="200"/>
      <c r="AB114" s="200"/>
    </row>
    <row r="115" spans="1:33" s="155" customFormat="1" ht="12" x14ac:dyDescent="0.2">
      <c r="A115" s="263" t="s">
        <v>796</v>
      </c>
      <c r="B115" s="269">
        <v>34.682758620689697</v>
      </c>
      <c r="C115" s="270">
        <v>42.9908256880734</v>
      </c>
      <c r="D115" s="270">
        <v>45.092198581560297</v>
      </c>
      <c r="E115" s="270">
        <v>42.0554899645809</v>
      </c>
      <c r="F115" s="270">
        <v>21.665165165165199</v>
      </c>
      <c r="G115" s="270">
        <v>0</v>
      </c>
      <c r="H115" s="270">
        <v>0</v>
      </c>
      <c r="I115" s="270">
        <v>0</v>
      </c>
      <c r="J115" s="270">
        <v>0</v>
      </c>
      <c r="K115" s="270">
        <v>0</v>
      </c>
      <c r="L115" s="270">
        <v>0</v>
      </c>
      <c r="M115" s="270">
        <v>0</v>
      </c>
      <c r="N115" s="270">
        <v>34.733624454148497</v>
      </c>
      <c r="O115" s="164"/>
      <c r="P115" s="232"/>
      <c r="Q115" s="232"/>
      <c r="R115" s="232"/>
      <c r="S115" s="232"/>
      <c r="T115" s="232"/>
      <c r="U115" s="232"/>
      <c r="V115" s="251"/>
      <c r="W115" s="200"/>
      <c r="X115" s="200"/>
      <c r="Y115" s="200"/>
      <c r="Z115" s="200"/>
      <c r="AA115" s="200"/>
      <c r="AB115" s="200"/>
    </row>
    <row r="116" spans="1:33" s="155" customFormat="1" ht="12" x14ac:dyDescent="0.2">
      <c r="A116" s="252" t="s">
        <v>818</v>
      </c>
      <c r="B116" s="266">
        <v>46.851082951379503</v>
      </c>
      <c r="C116" s="267">
        <v>49.026128045955701</v>
      </c>
      <c r="D116" s="268">
        <v>48.958151658767797</v>
      </c>
      <c r="E116" s="267">
        <v>52.292571259784403</v>
      </c>
      <c r="F116" s="268">
        <v>50.394883920894202</v>
      </c>
      <c r="G116" s="267">
        <v>0</v>
      </c>
      <c r="H116" s="267">
        <v>0</v>
      </c>
      <c r="I116" s="268">
        <v>0</v>
      </c>
      <c r="J116" s="267">
        <v>0</v>
      </c>
      <c r="K116" s="268">
        <v>0</v>
      </c>
      <c r="L116" s="268">
        <v>0</v>
      </c>
      <c r="M116" s="267">
        <v>0</v>
      </c>
      <c r="N116" s="268">
        <v>49.385126349423899</v>
      </c>
      <c r="O116" s="164"/>
      <c r="P116" s="164"/>
      <c r="Q116" s="164"/>
      <c r="R116" s="164"/>
      <c r="S116" s="164"/>
      <c r="T116" s="164"/>
      <c r="U116" s="164"/>
      <c r="V116" s="218"/>
    </row>
    <row r="117" spans="1:33" s="155" customFormat="1" ht="12" x14ac:dyDescent="0.2">
      <c r="A117" s="261" t="s">
        <v>793</v>
      </c>
      <c r="B117" s="269">
        <v>52.228286189683899</v>
      </c>
      <c r="C117" s="270">
        <v>49.445843394273901</v>
      </c>
      <c r="D117" s="270">
        <v>52.1463542577374</v>
      </c>
      <c r="E117" s="270">
        <v>51.061448792672799</v>
      </c>
      <c r="F117" s="270">
        <v>45.150496141124599</v>
      </c>
      <c r="G117" s="270">
        <v>0</v>
      </c>
      <c r="H117" s="270">
        <v>0</v>
      </c>
      <c r="I117" s="270">
        <v>0</v>
      </c>
      <c r="J117" s="270">
        <v>0</v>
      </c>
      <c r="K117" s="270">
        <v>0</v>
      </c>
      <c r="L117" s="270">
        <v>0</v>
      </c>
      <c r="M117" s="270">
        <v>0</v>
      </c>
      <c r="N117" s="270">
        <v>50.084109891627001</v>
      </c>
      <c r="O117" s="164"/>
      <c r="P117" s="164"/>
      <c r="Q117" s="164"/>
      <c r="R117" s="164"/>
      <c r="S117" s="164"/>
      <c r="T117" s="164"/>
      <c r="U117" s="164"/>
      <c r="V117" s="218"/>
    </row>
    <row r="118" spans="1:33" s="155" customFormat="1" ht="12" x14ac:dyDescent="0.2">
      <c r="A118" s="263" t="s">
        <v>794</v>
      </c>
      <c r="B118" s="269">
        <v>50.061667301103903</v>
      </c>
      <c r="C118" s="270">
        <v>53.968611670020103</v>
      </c>
      <c r="D118" s="270">
        <v>52.032270759543501</v>
      </c>
      <c r="E118" s="270">
        <v>54.346110904354298</v>
      </c>
      <c r="F118" s="270">
        <v>47.487684729064</v>
      </c>
      <c r="G118" s="270">
        <v>0</v>
      </c>
      <c r="H118" s="270">
        <v>0</v>
      </c>
      <c r="I118" s="270">
        <v>0</v>
      </c>
      <c r="J118" s="270">
        <v>0</v>
      </c>
      <c r="K118" s="270">
        <v>0</v>
      </c>
      <c r="L118" s="270">
        <v>0</v>
      </c>
      <c r="M118" s="270">
        <v>0</v>
      </c>
      <c r="N118" s="270">
        <v>51.623825923606802</v>
      </c>
      <c r="O118" s="164"/>
      <c r="P118" s="164"/>
      <c r="Q118" s="164"/>
      <c r="R118" s="164"/>
      <c r="S118" s="164"/>
      <c r="T118" s="164"/>
      <c r="U118" s="164"/>
      <c r="V118" s="218"/>
    </row>
    <row r="119" spans="1:33" s="155" customFormat="1" ht="12" x14ac:dyDescent="0.2">
      <c r="A119" s="263" t="s">
        <v>796</v>
      </c>
      <c r="B119" s="269">
        <v>43.858412278769201</v>
      </c>
      <c r="C119" s="270">
        <v>47.919942870029303</v>
      </c>
      <c r="D119" s="270">
        <v>46.929750778816199</v>
      </c>
      <c r="E119" s="270">
        <v>52.4539196282592</v>
      </c>
      <c r="F119" s="270">
        <v>56.2556762092794</v>
      </c>
      <c r="G119" s="270">
        <v>0</v>
      </c>
      <c r="H119" s="270">
        <v>0</v>
      </c>
      <c r="I119" s="270">
        <v>0</v>
      </c>
      <c r="J119" s="270">
        <v>0</v>
      </c>
      <c r="K119" s="270">
        <v>0</v>
      </c>
      <c r="L119" s="270">
        <v>0</v>
      </c>
      <c r="M119" s="270">
        <v>0</v>
      </c>
      <c r="N119" s="270">
        <v>48.534885744617903</v>
      </c>
      <c r="O119" s="164"/>
      <c r="P119" s="164"/>
      <c r="Q119" s="164"/>
      <c r="R119" s="164"/>
      <c r="S119" s="164"/>
      <c r="T119" s="164"/>
      <c r="U119" s="164"/>
      <c r="V119" s="218"/>
    </row>
    <row r="120" spans="1:33" s="155" customFormat="1" ht="12" x14ac:dyDescent="0.2">
      <c r="A120" s="219"/>
      <c r="F120" s="153"/>
      <c r="G120" s="153"/>
      <c r="H120" s="153"/>
      <c r="I120" s="153"/>
      <c r="J120" s="153"/>
      <c r="K120" s="153"/>
      <c r="L120" s="164"/>
      <c r="M120" s="164"/>
      <c r="N120" s="164"/>
      <c r="O120" s="164"/>
      <c r="P120" s="164"/>
      <c r="Q120" s="164"/>
      <c r="R120" s="164"/>
      <c r="S120" s="164"/>
      <c r="T120" s="164"/>
      <c r="U120" s="164"/>
      <c r="V120" s="218"/>
    </row>
    <row r="121" spans="1:33" s="155" customFormat="1" ht="12" x14ac:dyDescent="0.2">
      <c r="A121" s="371"/>
      <c r="B121" s="372"/>
      <c r="C121" s="372"/>
      <c r="D121" s="372"/>
      <c r="E121" s="372"/>
      <c r="F121" s="372"/>
      <c r="G121" s="372"/>
      <c r="H121" s="372"/>
      <c r="I121" s="372"/>
      <c r="J121" s="372"/>
      <c r="K121" s="372"/>
      <c r="L121" s="372"/>
      <c r="M121" s="372"/>
      <c r="N121" s="372"/>
      <c r="O121" s="372"/>
      <c r="P121" s="372"/>
      <c r="Q121" s="372"/>
      <c r="R121" s="372"/>
      <c r="S121" s="372"/>
      <c r="T121" s="372"/>
      <c r="U121" s="372"/>
      <c r="V121" s="373"/>
    </row>
    <row r="122" spans="1:33" s="155" customFormat="1" ht="12" x14ac:dyDescent="0.2">
      <c r="A122" s="219"/>
      <c r="F122" s="153"/>
      <c r="G122" s="153"/>
      <c r="H122" s="153"/>
      <c r="I122" s="153"/>
      <c r="J122" s="153"/>
      <c r="K122" s="153"/>
      <c r="L122" s="164"/>
      <c r="M122" s="164"/>
      <c r="N122" s="164"/>
      <c r="O122" s="164"/>
      <c r="P122" s="164"/>
      <c r="Q122" s="164"/>
      <c r="R122" s="164"/>
      <c r="S122" s="232"/>
      <c r="T122" s="232"/>
      <c r="U122" s="232"/>
      <c r="V122" s="251"/>
    </row>
    <row r="123" spans="1:33" s="153" customFormat="1" ht="24.75" customHeight="1" x14ac:dyDescent="0.2">
      <c r="A123" s="374" t="s">
        <v>820</v>
      </c>
      <c r="B123" s="375"/>
      <c r="C123" s="375"/>
      <c r="D123" s="375"/>
      <c r="E123" s="375"/>
      <c r="F123" s="375"/>
      <c r="G123" s="375"/>
      <c r="H123" s="375"/>
      <c r="I123" s="375"/>
      <c r="J123" s="375"/>
      <c r="K123" s="375"/>
      <c r="L123" s="375"/>
      <c r="M123" s="375"/>
      <c r="N123" s="375"/>
      <c r="O123" s="164"/>
      <c r="P123" s="232"/>
      <c r="Q123" s="232"/>
      <c r="R123" s="232"/>
      <c r="S123" s="232"/>
      <c r="T123" s="232"/>
      <c r="U123" s="232"/>
      <c r="V123" s="251"/>
      <c r="W123" s="224"/>
      <c r="X123" s="224"/>
      <c r="Y123" s="224"/>
      <c r="Z123" s="224"/>
      <c r="AA123" s="224"/>
      <c r="AB123" s="224"/>
    </row>
    <row r="124" spans="1:33" s="155" customFormat="1" ht="12" x14ac:dyDescent="0.2">
      <c r="A124" s="171" t="s">
        <v>800</v>
      </c>
      <c r="B124" s="172" t="s">
        <v>781</v>
      </c>
      <c r="C124" s="172" t="s">
        <v>782</v>
      </c>
      <c r="D124" s="172" t="s">
        <v>783</v>
      </c>
      <c r="E124" s="172" t="s">
        <v>784</v>
      </c>
      <c r="F124" s="172" t="s">
        <v>785</v>
      </c>
      <c r="G124" s="172" t="s">
        <v>786</v>
      </c>
      <c r="H124" s="172" t="s">
        <v>787</v>
      </c>
      <c r="I124" s="172" t="s">
        <v>788</v>
      </c>
      <c r="J124" s="172" t="s">
        <v>789</v>
      </c>
      <c r="K124" s="172" t="s">
        <v>790</v>
      </c>
      <c r="L124" s="172" t="s">
        <v>791</v>
      </c>
      <c r="M124" s="172" t="s">
        <v>792</v>
      </c>
      <c r="N124" s="172" t="s">
        <v>815</v>
      </c>
      <c r="O124" s="164"/>
      <c r="P124" s="257"/>
      <c r="Q124" s="232"/>
      <c r="R124" s="232"/>
      <c r="S124" s="232"/>
      <c r="T124" s="232"/>
      <c r="U124" s="232"/>
      <c r="V124" s="251"/>
      <c r="W124" s="200"/>
      <c r="X124" s="200"/>
      <c r="Y124" s="200"/>
      <c r="Z124" s="200"/>
      <c r="AA124" s="200"/>
      <c r="AB124" s="200"/>
      <c r="AC124" s="200"/>
      <c r="AD124" s="200"/>
      <c r="AE124" s="200"/>
      <c r="AF124" s="200"/>
    </row>
    <row r="125" spans="1:33" s="155" customFormat="1" ht="12.75" customHeight="1" thickBot="1" x14ac:dyDescent="0.25">
      <c r="A125" s="177" t="s">
        <v>734</v>
      </c>
      <c r="B125" s="253">
        <v>38711.419354838697</v>
      </c>
      <c r="C125" s="254">
        <v>38996</v>
      </c>
      <c r="D125" s="255">
        <v>39142.612903225803</v>
      </c>
      <c r="E125" s="254">
        <v>40203.483870967699</v>
      </c>
      <c r="F125" s="255">
        <v>42547.4545454545</v>
      </c>
      <c r="G125" s="254">
        <v>0</v>
      </c>
      <c r="H125" s="254">
        <v>0</v>
      </c>
      <c r="I125" s="255">
        <v>0</v>
      </c>
      <c r="J125" s="254">
        <v>0</v>
      </c>
      <c r="K125" s="255">
        <v>0</v>
      </c>
      <c r="L125" s="255">
        <v>0</v>
      </c>
      <c r="M125" s="254">
        <v>0</v>
      </c>
      <c r="N125" s="253">
        <v>39763.4965517241</v>
      </c>
      <c r="O125" s="164"/>
      <c r="P125" s="257"/>
      <c r="Q125" s="257"/>
      <c r="R125" s="257"/>
      <c r="S125" s="257"/>
      <c r="T125" s="182"/>
      <c r="U125" s="257"/>
      <c r="V125" s="258"/>
      <c r="W125" s="260"/>
      <c r="X125" s="260"/>
      <c r="Y125" s="260"/>
      <c r="Z125" s="260"/>
      <c r="AA125" s="260"/>
      <c r="AB125" s="260"/>
    </row>
    <row r="126" spans="1:33" s="155" customFormat="1" ht="12.75" thickTop="1" x14ac:dyDescent="0.2">
      <c r="A126" s="188" t="s">
        <v>766</v>
      </c>
      <c r="B126" s="216">
        <v>38711.419354838697</v>
      </c>
      <c r="C126" s="262">
        <v>38996</v>
      </c>
      <c r="D126" s="262">
        <v>39142.612903225803</v>
      </c>
      <c r="E126" s="262">
        <v>40203.483870967699</v>
      </c>
      <c r="F126" s="262">
        <v>42547.4545454545</v>
      </c>
      <c r="G126" s="262">
        <v>0</v>
      </c>
      <c r="H126" s="262">
        <v>0</v>
      </c>
      <c r="I126" s="262">
        <v>0</v>
      </c>
      <c r="J126" s="262">
        <v>0</v>
      </c>
      <c r="K126" s="262">
        <v>0</v>
      </c>
      <c r="L126" s="262">
        <v>0</v>
      </c>
      <c r="M126" s="262">
        <v>0</v>
      </c>
      <c r="N126" s="216">
        <v>39763.4965517241</v>
      </c>
      <c r="O126" s="164"/>
      <c r="P126" s="257"/>
      <c r="Q126" s="257"/>
      <c r="R126" s="257"/>
      <c r="S126" s="257"/>
      <c r="T126" s="257"/>
      <c r="U126" s="257"/>
      <c r="V126" s="258"/>
      <c r="W126" s="260"/>
      <c r="X126" s="260"/>
      <c r="Y126" s="260"/>
      <c r="Z126" s="260"/>
      <c r="AA126" s="200"/>
      <c r="AB126" s="260"/>
      <c r="AF126" s="260"/>
      <c r="AG126" s="260"/>
    </row>
    <row r="127" spans="1:33" s="272" customFormat="1" ht="23.25" customHeight="1" x14ac:dyDescent="0.2">
      <c r="A127" s="219"/>
      <c r="B127" s="155"/>
      <c r="C127" s="155"/>
      <c r="D127" s="155"/>
      <c r="E127" s="155"/>
      <c r="F127" s="153"/>
      <c r="G127" s="153"/>
      <c r="H127" s="153"/>
      <c r="I127" s="153"/>
      <c r="J127" s="153"/>
      <c r="K127" s="153"/>
      <c r="L127" s="164"/>
      <c r="M127" s="164"/>
      <c r="N127" s="164"/>
      <c r="O127" s="164"/>
      <c r="P127" s="257"/>
      <c r="Q127" s="257"/>
      <c r="R127" s="257"/>
      <c r="S127" s="257"/>
      <c r="T127" s="257"/>
      <c r="U127" s="257"/>
      <c r="V127" s="258"/>
      <c r="W127" s="271"/>
      <c r="X127" s="271"/>
      <c r="Y127" s="271"/>
      <c r="Z127" s="271"/>
      <c r="AA127" s="271"/>
      <c r="AB127" s="271"/>
      <c r="AC127" s="271"/>
      <c r="AD127" s="271"/>
      <c r="AE127" s="271"/>
      <c r="AF127" s="271"/>
      <c r="AG127" s="271"/>
    </row>
    <row r="128" spans="1:33" s="155" customFormat="1" ht="12.75" customHeight="1" x14ac:dyDescent="0.2">
      <c r="A128" s="374" t="s">
        <v>821</v>
      </c>
      <c r="B128" s="375"/>
      <c r="C128" s="375"/>
      <c r="D128" s="375"/>
      <c r="E128" s="375"/>
      <c r="F128" s="375"/>
      <c r="G128" s="375"/>
      <c r="H128" s="375"/>
      <c r="I128" s="375"/>
      <c r="J128" s="375"/>
      <c r="K128" s="375"/>
      <c r="L128" s="375"/>
      <c r="M128" s="375"/>
      <c r="N128" s="375"/>
      <c r="O128" s="164"/>
      <c r="P128" s="164"/>
      <c r="Q128" s="257"/>
      <c r="R128" s="257"/>
      <c r="S128" s="232"/>
      <c r="T128" s="232"/>
      <c r="U128" s="232"/>
      <c r="V128" s="258"/>
      <c r="W128" s="260"/>
      <c r="X128" s="260"/>
      <c r="Y128" s="260"/>
      <c r="Z128" s="260"/>
      <c r="AA128" s="260"/>
    </row>
    <row r="129" spans="1:32" s="155" customFormat="1" ht="12.75" customHeight="1" x14ac:dyDescent="0.2">
      <c r="A129" s="171" t="s">
        <v>800</v>
      </c>
      <c r="B129" s="172" t="s">
        <v>781</v>
      </c>
      <c r="C129" s="172" t="s">
        <v>782</v>
      </c>
      <c r="D129" s="172" t="s">
        <v>783</v>
      </c>
      <c r="E129" s="172" t="s">
        <v>784</v>
      </c>
      <c r="F129" s="172" t="s">
        <v>785</v>
      </c>
      <c r="G129" s="172" t="s">
        <v>786</v>
      </c>
      <c r="H129" s="172" t="s">
        <v>787</v>
      </c>
      <c r="I129" s="172" t="s">
        <v>788</v>
      </c>
      <c r="J129" s="172" t="s">
        <v>789</v>
      </c>
      <c r="K129" s="172" t="s">
        <v>790</v>
      </c>
      <c r="L129" s="172" t="s">
        <v>791</v>
      </c>
      <c r="M129" s="172" t="s">
        <v>792</v>
      </c>
      <c r="N129" s="172" t="s">
        <v>815</v>
      </c>
      <c r="O129" s="164"/>
      <c r="P129" s="232"/>
      <c r="Q129" s="232"/>
      <c r="R129" s="232"/>
      <c r="S129" s="232"/>
      <c r="T129" s="232"/>
      <c r="U129" s="232"/>
      <c r="V129" s="251"/>
      <c r="W129" s="200"/>
      <c r="X129" s="200"/>
      <c r="Y129" s="200"/>
      <c r="Z129" s="200"/>
      <c r="AA129" s="200"/>
      <c r="AB129" s="200"/>
      <c r="AC129" s="200"/>
      <c r="AD129" s="200"/>
      <c r="AE129" s="200"/>
      <c r="AF129" s="200"/>
    </row>
    <row r="130" spans="1:32" s="153" customFormat="1" ht="14.25" customHeight="1" thickBot="1" x14ac:dyDescent="0.25">
      <c r="A130" s="177" t="s">
        <v>734</v>
      </c>
      <c r="B130" s="266">
        <v>46.851082951379503</v>
      </c>
      <c r="C130" s="267">
        <v>49.026128045955701</v>
      </c>
      <c r="D130" s="268">
        <v>48.958151658767797</v>
      </c>
      <c r="E130" s="267">
        <v>52.292571259784403</v>
      </c>
      <c r="F130" s="268">
        <v>50.394883920894202</v>
      </c>
      <c r="G130" s="267">
        <v>0</v>
      </c>
      <c r="H130" s="267">
        <v>0</v>
      </c>
      <c r="I130" s="268">
        <v>0</v>
      </c>
      <c r="J130" s="267">
        <v>0</v>
      </c>
      <c r="K130" s="268">
        <v>0</v>
      </c>
      <c r="L130" s="268">
        <v>0</v>
      </c>
      <c r="M130" s="267">
        <v>0</v>
      </c>
      <c r="N130" s="268">
        <v>49.385126349423899</v>
      </c>
      <c r="P130" s="224"/>
      <c r="Q130" s="224"/>
      <c r="R130" s="224"/>
      <c r="S130" s="224"/>
      <c r="T130" s="224"/>
      <c r="U130" s="224"/>
      <c r="V130" s="273"/>
      <c r="W130" s="224"/>
      <c r="X130" s="224"/>
      <c r="Y130" s="224"/>
      <c r="Z130" s="224"/>
      <c r="AA130" s="274"/>
      <c r="AB130" s="224"/>
    </row>
    <row r="131" spans="1:32" s="155" customFormat="1" ht="12.75" customHeight="1" thickTop="1" x14ac:dyDescent="0.2">
      <c r="A131" s="188" t="s">
        <v>766</v>
      </c>
      <c r="B131" s="269">
        <v>46.851082951379503</v>
      </c>
      <c r="C131" s="270">
        <v>49.026128045955701</v>
      </c>
      <c r="D131" s="270">
        <v>48.958151658767797</v>
      </c>
      <c r="E131" s="270">
        <v>52.292571259784403</v>
      </c>
      <c r="F131" s="270">
        <v>50.394883920894202</v>
      </c>
      <c r="G131" s="270">
        <v>0</v>
      </c>
      <c r="H131" s="270">
        <v>0</v>
      </c>
      <c r="I131" s="270">
        <v>0</v>
      </c>
      <c r="J131" s="270">
        <v>0</v>
      </c>
      <c r="K131" s="270">
        <v>0</v>
      </c>
      <c r="L131" s="270">
        <v>0</v>
      </c>
      <c r="M131" s="270">
        <v>0</v>
      </c>
      <c r="N131" s="270">
        <v>49.385126349423899</v>
      </c>
      <c r="O131" s="164"/>
      <c r="P131" s="164"/>
      <c r="Q131" s="164"/>
      <c r="R131" s="232"/>
      <c r="S131" s="232"/>
      <c r="T131" s="232"/>
      <c r="U131" s="232"/>
      <c r="V131" s="275"/>
      <c r="W131" s="200"/>
      <c r="X131" s="200"/>
      <c r="Y131" s="200"/>
      <c r="Z131" s="200"/>
      <c r="AA131" s="200"/>
      <c r="AB131" s="200"/>
      <c r="AC131" s="200"/>
    </row>
    <row r="132" spans="1:32" s="155" customFormat="1" ht="12.75" customHeight="1" x14ac:dyDescent="0.2">
      <c r="A132" s="193"/>
      <c r="B132" s="276"/>
      <c r="C132" s="276"/>
      <c r="D132" s="276"/>
      <c r="E132" s="276"/>
      <c r="F132" s="276"/>
      <c r="G132" s="276"/>
      <c r="H132" s="276"/>
      <c r="I132" s="276"/>
      <c r="J132" s="276"/>
      <c r="K132" s="276"/>
      <c r="L132" s="276"/>
      <c r="M132" s="276"/>
      <c r="N132" s="276"/>
      <c r="O132" s="164"/>
      <c r="P132" s="164"/>
      <c r="Q132" s="164"/>
      <c r="R132" s="164"/>
      <c r="S132" s="164"/>
      <c r="T132" s="164"/>
      <c r="U132" s="164"/>
      <c r="V132" s="277"/>
    </row>
    <row r="133" spans="1:32" s="155" customFormat="1" ht="12" x14ac:dyDescent="0.2">
      <c r="A133" s="374" t="s">
        <v>822</v>
      </c>
      <c r="B133" s="375"/>
      <c r="C133" s="375"/>
      <c r="D133" s="375"/>
      <c r="E133" s="375"/>
      <c r="F133" s="375"/>
      <c r="G133" s="375"/>
      <c r="H133" s="375"/>
      <c r="I133" s="375"/>
      <c r="J133" s="375"/>
      <c r="K133" s="375"/>
      <c r="L133" s="375"/>
      <c r="M133" s="375"/>
      <c r="N133" s="375"/>
      <c r="O133" s="164"/>
      <c r="P133" s="164"/>
      <c r="Q133" s="164"/>
      <c r="R133" s="232"/>
      <c r="S133" s="232"/>
      <c r="T133" s="232"/>
      <c r="U133" s="232"/>
      <c r="V133" s="275"/>
      <c r="W133" s="200"/>
      <c r="X133" s="200"/>
      <c r="Y133" s="200"/>
      <c r="Z133" s="200"/>
      <c r="AA133" s="200"/>
      <c r="AB133" s="200"/>
      <c r="AC133" s="200"/>
    </row>
    <row r="134" spans="1:32" s="155" customFormat="1" ht="12" x14ac:dyDescent="0.2">
      <c r="A134" s="171" t="s">
        <v>823</v>
      </c>
      <c r="B134" s="172" t="s">
        <v>781</v>
      </c>
      <c r="C134" s="172" t="s">
        <v>782</v>
      </c>
      <c r="D134" s="172" t="s">
        <v>783</v>
      </c>
      <c r="E134" s="172" t="s">
        <v>784</v>
      </c>
      <c r="F134" s="172" t="s">
        <v>785</v>
      </c>
      <c r="G134" s="172" t="s">
        <v>786</v>
      </c>
      <c r="H134" s="172" t="s">
        <v>787</v>
      </c>
      <c r="I134" s="172" t="s">
        <v>788</v>
      </c>
      <c r="J134" s="172" t="s">
        <v>789</v>
      </c>
      <c r="K134" s="172" t="s">
        <v>790</v>
      </c>
      <c r="L134" s="172" t="s">
        <v>791</v>
      </c>
      <c r="M134" s="172" t="s">
        <v>792</v>
      </c>
      <c r="N134" s="172" t="s">
        <v>815</v>
      </c>
      <c r="O134" s="164"/>
      <c r="P134" s="164"/>
      <c r="Q134" s="164"/>
      <c r="R134" s="232"/>
      <c r="S134" s="232"/>
      <c r="T134" s="232"/>
      <c r="U134" s="232"/>
      <c r="V134" s="275"/>
      <c r="W134" s="200"/>
      <c r="X134" s="200"/>
      <c r="Y134" s="200"/>
      <c r="Z134" s="200"/>
      <c r="AA134" s="200"/>
      <c r="AB134" s="200"/>
      <c r="AC134" s="200"/>
    </row>
    <row r="135" spans="1:32" ht="15.75" thickBot="1" x14ac:dyDescent="0.3">
      <c r="A135" s="177" t="s">
        <v>734</v>
      </c>
      <c r="B135" s="266">
        <v>46.851082951379503</v>
      </c>
      <c r="C135" s="267">
        <v>49.026128045955701</v>
      </c>
      <c r="D135" s="268">
        <v>48.958151658767797</v>
      </c>
      <c r="E135" s="267">
        <v>52.292571259784403</v>
      </c>
      <c r="F135" s="268">
        <v>50.394883920894202</v>
      </c>
      <c r="G135" s="267">
        <v>0</v>
      </c>
      <c r="H135" s="267">
        <v>0</v>
      </c>
      <c r="I135" s="268">
        <v>0</v>
      </c>
      <c r="J135" s="267">
        <v>0</v>
      </c>
      <c r="K135" s="268">
        <v>0</v>
      </c>
      <c r="L135" s="268">
        <v>0</v>
      </c>
      <c r="M135" s="267">
        <v>0</v>
      </c>
      <c r="N135" s="268">
        <v>49.385126349423899</v>
      </c>
      <c r="V135" s="277"/>
    </row>
    <row r="136" spans="1:32" ht="15.75" thickTop="1" x14ac:dyDescent="0.25">
      <c r="A136" s="183" t="s">
        <v>586</v>
      </c>
      <c r="B136" s="269">
        <v>44.293243622091403</v>
      </c>
      <c r="C136" s="270">
        <v>48.114791547686998</v>
      </c>
      <c r="D136" s="270">
        <v>46.810106069534498</v>
      </c>
      <c r="E136" s="270">
        <v>52.538863976083697</v>
      </c>
      <c r="F136" s="270">
        <v>63.693501620330899</v>
      </c>
      <c r="G136" s="270">
        <v>0</v>
      </c>
      <c r="H136" s="270">
        <v>0</v>
      </c>
      <c r="I136" s="270">
        <v>0</v>
      </c>
      <c r="J136" s="270">
        <v>0</v>
      </c>
      <c r="K136" s="270">
        <v>0</v>
      </c>
      <c r="L136" s="270">
        <v>0</v>
      </c>
      <c r="M136" s="270">
        <v>0</v>
      </c>
      <c r="N136" s="270">
        <v>49.325936710343598</v>
      </c>
      <c r="V136" s="277"/>
    </row>
    <row r="137" spans="1:32" x14ac:dyDescent="0.25">
      <c r="A137" s="188" t="s">
        <v>605</v>
      </c>
      <c r="B137" s="269">
        <v>51.420986726771901</v>
      </c>
      <c r="C137" s="270">
        <v>50.710741620480299</v>
      </c>
      <c r="D137" s="270">
        <v>52.833997873471603</v>
      </c>
      <c r="E137" s="270">
        <v>51.933986216902397</v>
      </c>
      <c r="F137" s="270">
        <v>40.7606573582108</v>
      </c>
      <c r="G137" s="270">
        <v>0</v>
      </c>
      <c r="H137" s="270">
        <v>0</v>
      </c>
      <c r="I137" s="270">
        <v>0</v>
      </c>
      <c r="J137" s="270">
        <v>0</v>
      </c>
      <c r="K137" s="270">
        <v>0</v>
      </c>
      <c r="L137" s="270">
        <v>0</v>
      </c>
      <c r="M137" s="270">
        <v>0</v>
      </c>
      <c r="N137" s="270">
        <v>49.474779478860398</v>
      </c>
      <c r="O137" s="278"/>
      <c r="V137" s="277"/>
    </row>
    <row r="138" spans="1:32" x14ac:dyDescent="0.25">
      <c r="A138" s="189"/>
      <c r="B138" s="276"/>
      <c r="C138" s="276"/>
      <c r="D138" s="276"/>
      <c r="E138" s="276"/>
      <c r="F138" s="276"/>
      <c r="G138" s="276"/>
      <c r="H138" s="276"/>
      <c r="I138" s="276"/>
      <c r="J138" s="276"/>
      <c r="K138" s="279"/>
      <c r="L138" s="276"/>
      <c r="M138" s="276"/>
      <c r="N138" s="280"/>
      <c r="O138" s="278"/>
      <c r="V138" s="277"/>
    </row>
    <row r="139" spans="1:32" x14ac:dyDescent="0.25">
      <c r="A139" s="281" t="s">
        <v>824</v>
      </c>
      <c r="B139" s="276"/>
      <c r="C139" s="276"/>
      <c r="D139" s="276"/>
      <c r="E139" s="276"/>
      <c r="F139" s="276"/>
      <c r="G139" s="276"/>
      <c r="H139" s="276"/>
      <c r="I139" s="276"/>
      <c r="J139" s="276"/>
      <c r="K139" s="279"/>
      <c r="L139" s="276"/>
      <c r="M139" s="276"/>
      <c r="N139" s="280"/>
      <c r="O139" s="278"/>
      <c r="V139" s="277"/>
    </row>
    <row r="140" spans="1:32" x14ac:dyDescent="0.25">
      <c r="A140" s="171" t="s">
        <v>825</v>
      </c>
      <c r="B140" s="282" t="s">
        <v>781</v>
      </c>
      <c r="C140" s="282" t="s">
        <v>782</v>
      </c>
      <c r="D140" s="282" t="s">
        <v>783</v>
      </c>
      <c r="E140" s="282" t="s">
        <v>784</v>
      </c>
      <c r="F140" s="282" t="s">
        <v>785</v>
      </c>
      <c r="G140" s="282" t="s">
        <v>786</v>
      </c>
      <c r="H140" s="282" t="s">
        <v>787</v>
      </c>
      <c r="I140" s="282" t="s">
        <v>788</v>
      </c>
      <c r="J140" s="282" t="s">
        <v>789</v>
      </c>
      <c r="K140" s="282" t="s">
        <v>790</v>
      </c>
      <c r="L140" s="282" t="s">
        <v>791</v>
      </c>
      <c r="M140" s="282" t="s">
        <v>792</v>
      </c>
      <c r="N140" s="282" t="s">
        <v>815</v>
      </c>
      <c r="O140" s="278"/>
      <c r="V140" s="277"/>
      <c r="W140" s="155"/>
    </row>
    <row r="141" spans="1:32" x14ac:dyDescent="0.25">
      <c r="A141" s="283" t="s">
        <v>770</v>
      </c>
      <c r="B141" s="216">
        <v>826</v>
      </c>
      <c r="C141" s="262">
        <v>859</v>
      </c>
      <c r="D141" s="262">
        <v>1156</v>
      </c>
      <c r="E141" s="262">
        <v>1043</v>
      </c>
      <c r="F141" s="262">
        <v>352</v>
      </c>
      <c r="G141" s="262">
        <v>0</v>
      </c>
      <c r="H141" s="262">
        <v>0</v>
      </c>
      <c r="I141" s="262">
        <v>0</v>
      </c>
      <c r="J141" s="262">
        <v>0</v>
      </c>
      <c r="K141" s="262">
        <v>0</v>
      </c>
      <c r="L141" s="262">
        <v>0</v>
      </c>
      <c r="M141" s="262">
        <v>0</v>
      </c>
      <c r="N141" s="262">
        <f>SUM(B141:M141)</f>
        <v>4236</v>
      </c>
      <c r="O141" s="278"/>
      <c r="V141" s="277"/>
      <c r="W141" s="155"/>
    </row>
    <row r="142" spans="1:32" x14ac:dyDescent="0.25">
      <c r="A142" s="283" t="s">
        <v>826</v>
      </c>
      <c r="B142" s="216">
        <v>409</v>
      </c>
      <c r="C142" s="262">
        <v>444</v>
      </c>
      <c r="D142" s="262">
        <v>511</v>
      </c>
      <c r="E142" s="262">
        <v>641</v>
      </c>
      <c r="F142" s="262">
        <v>629</v>
      </c>
      <c r="G142" s="262">
        <v>623</v>
      </c>
      <c r="H142" s="262">
        <v>631</v>
      </c>
      <c r="I142" s="262">
        <v>513</v>
      </c>
      <c r="J142" s="262">
        <v>524</v>
      </c>
      <c r="K142" s="262">
        <v>553</v>
      </c>
      <c r="L142" s="262">
        <v>877</v>
      </c>
      <c r="M142" s="262">
        <v>698</v>
      </c>
      <c r="N142" s="262">
        <f t="shared" ref="N142:N143" si="18">SUM(B142:M142)</f>
        <v>7053</v>
      </c>
      <c r="O142" s="278"/>
      <c r="V142" s="277"/>
      <c r="W142" s="155"/>
    </row>
    <row r="143" spans="1:32" x14ac:dyDescent="0.25">
      <c r="A143" s="284" t="s">
        <v>827</v>
      </c>
      <c r="B143" s="216">
        <v>70</v>
      </c>
      <c r="C143" s="262">
        <v>251</v>
      </c>
      <c r="D143" s="262">
        <v>193</v>
      </c>
      <c r="E143" s="262">
        <v>354</v>
      </c>
      <c r="F143" s="262">
        <v>213</v>
      </c>
      <c r="G143" s="262">
        <v>518</v>
      </c>
      <c r="H143" s="262">
        <v>638</v>
      </c>
      <c r="I143" s="262">
        <v>583</v>
      </c>
      <c r="J143" s="262">
        <v>661</v>
      </c>
      <c r="K143" s="262">
        <v>761</v>
      </c>
      <c r="L143" s="262">
        <v>628</v>
      </c>
      <c r="M143" s="262">
        <v>422</v>
      </c>
      <c r="N143" s="262">
        <f t="shared" si="18"/>
        <v>5292</v>
      </c>
      <c r="O143" s="278"/>
      <c r="V143" s="277"/>
      <c r="W143" s="155"/>
    </row>
    <row r="144" spans="1:32" x14ac:dyDescent="0.25">
      <c r="A144" s="285"/>
      <c r="B144" s="189"/>
      <c r="C144" s="286"/>
      <c r="D144" s="286"/>
      <c r="E144" s="286"/>
      <c r="F144" s="286"/>
      <c r="G144" s="286"/>
      <c r="H144" s="286"/>
      <c r="I144" s="286"/>
      <c r="J144" s="286"/>
      <c r="K144" s="286"/>
      <c r="L144" s="279"/>
      <c r="M144" s="286"/>
      <c r="N144" s="286"/>
      <c r="O144" s="278"/>
      <c r="P144" s="278"/>
      <c r="V144" s="277"/>
      <c r="W144" s="155"/>
    </row>
    <row r="145" spans="1:22" x14ac:dyDescent="0.25">
      <c r="A145" s="281" t="s">
        <v>828</v>
      </c>
      <c r="B145" s="276"/>
      <c r="C145" s="276"/>
      <c r="D145" s="276"/>
      <c r="E145" s="276"/>
      <c r="F145" s="276"/>
      <c r="G145" s="276"/>
      <c r="H145" s="276"/>
      <c r="I145" s="276"/>
      <c r="J145" s="276"/>
      <c r="K145" s="279"/>
      <c r="L145" s="276"/>
      <c r="M145" s="276"/>
      <c r="N145" s="280"/>
      <c r="O145" s="278"/>
      <c r="V145" s="277"/>
    </row>
    <row r="146" spans="1:22" x14ac:dyDescent="0.25">
      <c r="A146" s="171" t="s">
        <v>825</v>
      </c>
      <c r="B146" s="171" t="s">
        <v>829</v>
      </c>
      <c r="C146" s="282" t="s">
        <v>781</v>
      </c>
      <c r="D146" s="282" t="s">
        <v>782</v>
      </c>
      <c r="E146" s="282" t="s">
        <v>783</v>
      </c>
      <c r="F146" s="282" t="s">
        <v>784</v>
      </c>
      <c r="G146" s="282" t="s">
        <v>785</v>
      </c>
      <c r="H146" s="282" t="s">
        <v>786</v>
      </c>
      <c r="I146" s="282" t="s">
        <v>787</v>
      </c>
      <c r="J146" s="282" t="s">
        <v>788</v>
      </c>
      <c r="K146" s="282" t="s">
        <v>789</v>
      </c>
      <c r="L146" s="282" t="s">
        <v>790</v>
      </c>
      <c r="M146" s="282" t="s">
        <v>791</v>
      </c>
      <c r="N146" s="282" t="s">
        <v>792</v>
      </c>
      <c r="O146" s="282" t="s">
        <v>815</v>
      </c>
      <c r="P146" s="278"/>
      <c r="V146" s="277"/>
    </row>
    <row r="147" spans="1:22" x14ac:dyDescent="0.25">
      <c r="A147" s="368" t="s">
        <v>770</v>
      </c>
      <c r="B147" s="215" t="s">
        <v>830</v>
      </c>
      <c r="C147" s="216">
        <v>597</v>
      </c>
      <c r="D147" s="262">
        <v>623</v>
      </c>
      <c r="E147" s="262">
        <v>773</v>
      </c>
      <c r="F147" s="262">
        <v>660</v>
      </c>
      <c r="G147" s="262">
        <v>218</v>
      </c>
      <c r="H147" s="262">
        <v>0</v>
      </c>
      <c r="I147" s="262">
        <v>0</v>
      </c>
      <c r="J147" s="262">
        <v>0</v>
      </c>
      <c r="K147" s="262">
        <v>0</v>
      </c>
      <c r="L147" s="262">
        <v>0</v>
      </c>
      <c r="M147" s="262">
        <v>0</v>
      </c>
      <c r="N147" s="262">
        <v>0</v>
      </c>
      <c r="O147" s="287">
        <f>SUM(C147:N147)</f>
        <v>2871</v>
      </c>
      <c r="P147" s="278"/>
      <c r="V147" s="277"/>
    </row>
    <row r="148" spans="1:22" x14ac:dyDescent="0.25">
      <c r="A148" s="369"/>
      <c r="B148" s="215" t="s">
        <v>831</v>
      </c>
      <c r="C148" s="216">
        <v>151</v>
      </c>
      <c r="D148" s="262">
        <v>175</v>
      </c>
      <c r="E148" s="262">
        <v>306</v>
      </c>
      <c r="F148" s="262">
        <v>267</v>
      </c>
      <c r="G148" s="262">
        <v>107</v>
      </c>
      <c r="H148" s="262">
        <v>0</v>
      </c>
      <c r="I148" s="262">
        <v>0</v>
      </c>
      <c r="J148" s="262">
        <v>0</v>
      </c>
      <c r="K148" s="262">
        <v>0</v>
      </c>
      <c r="L148" s="262">
        <v>0</v>
      </c>
      <c r="M148" s="262">
        <v>0</v>
      </c>
      <c r="N148" s="262">
        <v>0</v>
      </c>
      <c r="O148" s="287">
        <f>SUM(C148:N148)</f>
        <v>1006</v>
      </c>
      <c r="P148" s="278"/>
      <c r="V148" s="277"/>
    </row>
    <row r="149" spans="1:22" x14ac:dyDescent="0.25">
      <c r="A149" s="368" t="s">
        <v>826</v>
      </c>
      <c r="B149" s="215" t="s">
        <v>830</v>
      </c>
      <c r="C149" s="216">
        <v>322</v>
      </c>
      <c r="D149" s="262">
        <v>355</v>
      </c>
      <c r="E149" s="262">
        <v>351</v>
      </c>
      <c r="F149" s="262">
        <v>388</v>
      </c>
      <c r="G149" s="262">
        <v>375</v>
      </c>
      <c r="H149" s="262">
        <v>452</v>
      </c>
      <c r="I149" s="262">
        <v>435</v>
      </c>
      <c r="J149" s="262">
        <v>334</v>
      </c>
      <c r="K149" s="262">
        <v>354</v>
      </c>
      <c r="L149" s="262">
        <v>323</v>
      </c>
      <c r="M149" s="262">
        <v>575</v>
      </c>
      <c r="N149" s="262">
        <v>409</v>
      </c>
      <c r="O149" s="287">
        <f>SUM(C149:N149)</f>
        <v>4673</v>
      </c>
      <c r="P149" s="278"/>
      <c r="V149" s="277"/>
    </row>
    <row r="150" spans="1:22" x14ac:dyDescent="0.25">
      <c r="A150" s="369"/>
      <c r="B150" s="215" t="s">
        <v>831</v>
      </c>
      <c r="C150" s="216">
        <v>54</v>
      </c>
      <c r="D150" s="262">
        <v>66</v>
      </c>
      <c r="E150" s="262">
        <v>54</v>
      </c>
      <c r="F150" s="262">
        <v>71</v>
      </c>
      <c r="G150" s="262">
        <v>101</v>
      </c>
      <c r="H150" s="262">
        <v>79</v>
      </c>
      <c r="I150" s="262">
        <v>123</v>
      </c>
      <c r="J150" s="262">
        <v>115</v>
      </c>
      <c r="K150" s="262">
        <v>112</v>
      </c>
      <c r="L150" s="262">
        <v>167</v>
      </c>
      <c r="M150" s="262">
        <v>196</v>
      </c>
      <c r="N150" s="262">
        <v>223</v>
      </c>
      <c r="O150" s="287">
        <f t="shared" ref="O150" si="19">SUM(C150:N150)</f>
        <v>1361</v>
      </c>
      <c r="P150" s="278"/>
      <c r="V150" s="277"/>
    </row>
    <row r="151" spans="1:22" x14ac:dyDescent="0.25">
      <c r="A151" s="368" t="s">
        <v>827</v>
      </c>
      <c r="B151" s="215" t="s">
        <v>830</v>
      </c>
      <c r="C151" s="216">
        <v>51</v>
      </c>
      <c r="D151" s="262">
        <v>208</v>
      </c>
      <c r="E151" s="262">
        <v>153</v>
      </c>
      <c r="F151" s="262">
        <v>320</v>
      </c>
      <c r="G151" s="262">
        <v>104</v>
      </c>
      <c r="H151" s="262">
        <v>406</v>
      </c>
      <c r="I151" s="262">
        <v>519</v>
      </c>
      <c r="J151" s="262">
        <v>496</v>
      </c>
      <c r="K151" s="262">
        <v>582</v>
      </c>
      <c r="L151" s="262">
        <v>639</v>
      </c>
      <c r="M151" s="262">
        <v>533</v>
      </c>
      <c r="N151" s="262">
        <v>310</v>
      </c>
      <c r="O151" s="287">
        <f>SUM(C151:N151)</f>
        <v>4321</v>
      </c>
      <c r="P151" s="278"/>
      <c r="V151" s="277"/>
    </row>
    <row r="152" spans="1:22" x14ac:dyDescent="0.25">
      <c r="A152" s="369"/>
      <c r="B152" s="215" t="s">
        <v>831</v>
      </c>
      <c r="C152" s="216">
        <v>7</v>
      </c>
      <c r="D152" s="262">
        <v>5</v>
      </c>
      <c r="E152" s="262">
        <v>8</v>
      </c>
      <c r="F152" s="262">
        <v>22</v>
      </c>
      <c r="G152" s="262">
        <v>59</v>
      </c>
      <c r="H152" s="262">
        <v>71</v>
      </c>
      <c r="I152" s="262">
        <v>76</v>
      </c>
      <c r="J152" s="262">
        <v>42</v>
      </c>
      <c r="K152" s="262">
        <v>31</v>
      </c>
      <c r="L152" s="262">
        <v>48</v>
      </c>
      <c r="M152" s="262">
        <v>66</v>
      </c>
      <c r="N152" s="262">
        <v>55</v>
      </c>
      <c r="O152" s="287">
        <f t="shared" ref="O152" si="20">SUM(C152:N152)</f>
        <v>490</v>
      </c>
      <c r="P152" s="278"/>
      <c r="V152" s="277"/>
    </row>
    <row r="153" spans="1:22" x14ac:dyDescent="0.25">
      <c r="B153" s="278"/>
      <c r="C153" s="278"/>
      <c r="D153" s="278"/>
      <c r="E153" s="278"/>
      <c r="F153" s="278"/>
      <c r="G153" s="278"/>
      <c r="H153" s="278"/>
      <c r="I153" s="278"/>
      <c r="J153" s="278"/>
      <c r="K153" s="278"/>
      <c r="L153" s="278"/>
      <c r="M153" s="278"/>
      <c r="V153" s="277"/>
    </row>
    <row r="154" spans="1:22" ht="15.75" thickBot="1" x14ac:dyDescent="0.3">
      <c r="A154" s="288"/>
      <c r="B154" s="288"/>
      <c r="C154" s="288"/>
      <c r="D154" s="288"/>
      <c r="E154" s="288"/>
      <c r="F154" s="288"/>
      <c r="G154" s="288"/>
      <c r="H154" s="288"/>
      <c r="I154" s="288"/>
      <c r="J154" s="288"/>
      <c r="K154" s="288"/>
      <c r="L154" s="288"/>
      <c r="M154" s="288"/>
      <c r="N154" s="288"/>
      <c r="O154" s="288"/>
      <c r="P154" s="288"/>
      <c r="Q154" s="288"/>
      <c r="R154" s="288"/>
      <c r="S154" s="288"/>
      <c r="T154" s="288"/>
      <c r="U154" s="288"/>
      <c r="V154" s="289"/>
    </row>
    <row r="155" spans="1:22" x14ac:dyDescent="0.25">
      <c r="B155" s="290"/>
      <c r="C155" s="290"/>
      <c r="D155" s="290"/>
      <c r="E155" s="290"/>
      <c r="F155" s="290"/>
      <c r="G155" s="290"/>
      <c r="H155" s="290"/>
      <c r="I155" s="290"/>
      <c r="J155" s="290"/>
      <c r="K155" s="290"/>
      <c r="L155" s="290"/>
      <c r="M155" s="290"/>
      <c r="P155" s="290"/>
    </row>
    <row r="156" spans="1:22" ht="15.75" thickBot="1" x14ac:dyDescent="0.3">
      <c r="A156" s="370" t="s">
        <v>832</v>
      </c>
      <c r="B156" s="370"/>
      <c r="C156" s="370"/>
      <c r="D156" s="370"/>
      <c r="E156" s="370"/>
      <c r="F156" s="370"/>
      <c r="G156" s="370"/>
      <c r="H156" s="370"/>
      <c r="I156" s="370"/>
      <c r="J156" s="370"/>
      <c r="K156" s="370"/>
      <c r="L156" s="370"/>
      <c r="M156" s="370"/>
      <c r="N156" s="370"/>
    </row>
    <row r="157" spans="1:22" x14ac:dyDescent="0.25">
      <c r="A157" s="291" t="s">
        <v>833</v>
      </c>
      <c r="B157" s="292" t="s">
        <v>834</v>
      </c>
      <c r="C157" s="293" t="s">
        <v>734</v>
      </c>
      <c r="D157" s="290"/>
      <c r="E157" s="290"/>
      <c r="F157" s="290"/>
      <c r="G157" s="290"/>
      <c r="H157" s="290"/>
      <c r="I157" s="290"/>
      <c r="J157" s="290"/>
      <c r="K157" s="290"/>
      <c r="L157" s="290"/>
      <c r="M157" s="278"/>
      <c r="P157" s="290"/>
    </row>
    <row r="158" spans="1:22" ht="15.75" thickBot="1" x14ac:dyDescent="0.3">
      <c r="A158" s="294" t="s">
        <v>734</v>
      </c>
      <c r="B158" s="295"/>
      <c r="C158" s="296">
        <f>SUM(C159:C177)</f>
        <v>28</v>
      </c>
      <c r="D158" s="290"/>
      <c r="E158" s="290"/>
      <c r="F158" s="290"/>
      <c r="G158" s="290"/>
      <c r="H158" s="278"/>
      <c r="I158" s="278"/>
    </row>
    <row r="159" spans="1:22" ht="15.75" thickTop="1" x14ac:dyDescent="0.25">
      <c r="A159" s="297" t="s">
        <v>45</v>
      </c>
      <c r="B159" s="207" t="s">
        <v>835</v>
      </c>
      <c r="C159" s="298">
        <v>2</v>
      </c>
      <c r="D159" s="278"/>
      <c r="E159" s="290"/>
      <c r="F159" s="278"/>
    </row>
    <row r="160" spans="1:22" x14ac:dyDescent="0.25">
      <c r="A160" s="299" t="s">
        <v>836</v>
      </c>
      <c r="B160" s="213" t="s">
        <v>837</v>
      </c>
      <c r="C160" s="300">
        <v>1</v>
      </c>
    </row>
    <row r="161" spans="1:3" x14ac:dyDescent="0.25">
      <c r="A161" s="299" t="s">
        <v>105</v>
      </c>
      <c r="B161" s="213" t="s">
        <v>838</v>
      </c>
      <c r="C161" s="300">
        <v>1</v>
      </c>
    </row>
    <row r="162" spans="1:3" x14ac:dyDescent="0.25">
      <c r="A162" s="301" t="s">
        <v>839</v>
      </c>
      <c r="B162" s="302" t="s">
        <v>840</v>
      </c>
      <c r="C162" s="303">
        <v>1</v>
      </c>
    </row>
    <row r="163" spans="1:3" x14ac:dyDescent="0.25">
      <c r="A163" s="301" t="s">
        <v>119</v>
      </c>
      <c r="B163" s="302" t="s">
        <v>841</v>
      </c>
      <c r="C163" s="303">
        <v>2</v>
      </c>
    </row>
    <row r="164" spans="1:3" x14ac:dyDescent="0.25">
      <c r="A164" s="301" t="s">
        <v>179</v>
      </c>
      <c r="B164" s="302" t="s">
        <v>842</v>
      </c>
      <c r="C164" s="303">
        <v>3</v>
      </c>
    </row>
    <row r="165" spans="1:3" x14ac:dyDescent="0.25">
      <c r="A165" s="301" t="s">
        <v>198</v>
      </c>
      <c r="B165" s="302" t="s">
        <v>843</v>
      </c>
      <c r="C165" s="303">
        <v>1</v>
      </c>
    </row>
    <row r="166" spans="1:3" x14ac:dyDescent="0.25">
      <c r="A166" s="301" t="s">
        <v>517</v>
      </c>
      <c r="B166" s="302" t="s">
        <v>844</v>
      </c>
      <c r="C166" s="303">
        <v>2</v>
      </c>
    </row>
    <row r="167" spans="1:3" x14ac:dyDescent="0.25">
      <c r="A167" s="301" t="s">
        <v>845</v>
      </c>
      <c r="B167" s="302" t="s">
        <v>846</v>
      </c>
      <c r="C167" s="303">
        <v>2</v>
      </c>
    </row>
    <row r="168" spans="1:3" x14ac:dyDescent="0.25">
      <c r="A168" s="301" t="s">
        <v>227</v>
      </c>
      <c r="B168" s="302" t="s">
        <v>847</v>
      </c>
      <c r="C168" s="303">
        <v>1</v>
      </c>
    </row>
    <row r="169" spans="1:3" x14ac:dyDescent="0.25">
      <c r="A169" s="301" t="s">
        <v>848</v>
      </c>
      <c r="B169" s="302" t="s">
        <v>849</v>
      </c>
      <c r="C169" s="303">
        <v>1</v>
      </c>
    </row>
    <row r="170" spans="1:3" x14ac:dyDescent="0.25">
      <c r="A170" s="301" t="s">
        <v>850</v>
      </c>
      <c r="B170" s="302" t="s">
        <v>851</v>
      </c>
      <c r="C170" s="303">
        <v>1</v>
      </c>
    </row>
    <row r="171" spans="1:3" x14ac:dyDescent="0.25">
      <c r="A171" s="301" t="s">
        <v>282</v>
      </c>
      <c r="B171" s="302" t="s">
        <v>852</v>
      </c>
      <c r="C171" s="303">
        <v>1</v>
      </c>
    </row>
    <row r="172" spans="1:3" x14ac:dyDescent="0.25">
      <c r="A172" s="301" t="s">
        <v>853</v>
      </c>
      <c r="B172" s="302" t="s">
        <v>854</v>
      </c>
      <c r="C172" s="303">
        <v>1</v>
      </c>
    </row>
    <row r="173" spans="1:3" x14ac:dyDescent="0.25">
      <c r="A173" s="301" t="s">
        <v>855</v>
      </c>
      <c r="B173" s="302" t="s">
        <v>856</v>
      </c>
      <c r="C173" s="303">
        <v>1</v>
      </c>
    </row>
    <row r="174" spans="1:3" x14ac:dyDescent="0.25">
      <c r="A174" s="301" t="s">
        <v>368</v>
      </c>
      <c r="B174" s="302" t="s">
        <v>857</v>
      </c>
      <c r="C174" s="303">
        <v>1</v>
      </c>
    </row>
    <row r="175" spans="1:3" x14ac:dyDescent="0.25">
      <c r="A175" s="301" t="s">
        <v>512</v>
      </c>
      <c r="B175" s="302" t="s">
        <v>858</v>
      </c>
      <c r="C175" s="303">
        <v>1</v>
      </c>
    </row>
    <row r="176" spans="1:3" x14ac:dyDescent="0.25">
      <c r="A176" s="301" t="s">
        <v>859</v>
      </c>
      <c r="B176" s="302" t="s">
        <v>860</v>
      </c>
      <c r="C176" s="303">
        <v>2</v>
      </c>
    </row>
    <row r="177" spans="1:3" ht="15.75" thickBot="1" x14ac:dyDescent="0.3">
      <c r="A177" s="304" t="s">
        <v>482</v>
      </c>
      <c r="B177" s="305" t="s">
        <v>861</v>
      </c>
      <c r="C177" s="306">
        <v>3</v>
      </c>
    </row>
  </sheetData>
  <mergeCells count="45">
    <mergeCell ref="A3:D3"/>
    <mergeCell ref="A1:D1"/>
    <mergeCell ref="A2:D2"/>
    <mergeCell ref="E2:H2"/>
    <mergeCell ref="I2:L2"/>
    <mergeCell ref="M2:P2"/>
    <mergeCell ref="A16:V16"/>
    <mergeCell ref="A4:V4"/>
    <mergeCell ref="A6:V6"/>
    <mergeCell ref="A8:D8"/>
    <mergeCell ref="G8:K8"/>
    <mergeCell ref="M8:Q8"/>
    <mergeCell ref="G9:H9"/>
    <mergeCell ref="M9:N9"/>
    <mergeCell ref="G10:H10"/>
    <mergeCell ref="M10:N10"/>
    <mergeCell ref="F11:G11"/>
    <mergeCell ref="M11:N11"/>
    <mergeCell ref="M12:N12"/>
    <mergeCell ref="A18:F18"/>
    <mergeCell ref="I18:V18"/>
    <mergeCell ref="A25:V25"/>
    <mergeCell ref="A27:E27"/>
    <mergeCell ref="H27:L27"/>
    <mergeCell ref="N27:R27"/>
    <mergeCell ref="A106:N106"/>
    <mergeCell ref="H28:I28"/>
    <mergeCell ref="N28:O28"/>
    <mergeCell ref="H29:I29"/>
    <mergeCell ref="N29:O29"/>
    <mergeCell ref="H30:I30"/>
    <mergeCell ref="N30:O30"/>
    <mergeCell ref="A32:V32"/>
    <mergeCell ref="A35:E35"/>
    <mergeCell ref="A87:V87"/>
    <mergeCell ref="A89:N89"/>
    <mergeCell ref="A104:V104"/>
    <mergeCell ref="A151:A152"/>
    <mergeCell ref="A156:N156"/>
    <mergeCell ref="A121:V121"/>
    <mergeCell ref="A123:N123"/>
    <mergeCell ref="A128:N128"/>
    <mergeCell ref="A133:N133"/>
    <mergeCell ref="A147:A148"/>
    <mergeCell ref="A149:A150"/>
  </mergeCells>
  <pageMargins left="0.25" right="0.25" top="0.5" bottom="0.25" header="0.3" footer="0.3"/>
  <pageSetup scale="65" fitToWidth="0" fitToHeight="0"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3F6616-ECEE-45D6-A027-769B21C8D9C7}">
  <dimension ref="A1:BA34"/>
  <sheetViews>
    <sheetView showGridLines="0" zoomScale="90" zoomScaleNormal="90" workbookViewId="0">
      <pane xSplit="1" topLeftCell="AM1" activePane="topRight" state="frozen"/>
      <selection pane="topRight" activeCell="AT27" sqref="AT27"/>
    </sheetView>
  </sheetViews>
  <sheetFormatPr defaultColWidth="9.140625" defaultRowHeight="15.75" x14ac:dyDescent="0.25"/>
  <cols>
    <col min="1" max="1" width="71.140625" style="43" customWidth="1"/>
    <col min="2" max="43" width="9.140625" style="43"/>
    <col min="44" max="51" width="8.85546875" style="43" customWidth="1"/>
    <col min="52" max="16384" width="9.140625" style="43"/>
  </cols>
  <sheetData>
    <row r="1" spans="1:53" x14ac:dyDescent="0.25">
      <c r="A1" s="307" t="s">
        <v>862</v>
      </c>
    </row>
    <row r="2" spans="1:53" x14ac:dyDescent="0.25">
      <c r="A2" s="307"/>
    </row>
    <row r="3" spans="1:53" x14ac:dyDescent="0.25">
      <c r="A3" s="307"/>
    </row>
    <row r="4" spans="1:53" x14ac:dyDescent="0.25">
      <c r="A4" s="422" t="s">
        <v>863</v>
      </c>
      <c r="B4" s="308">
        <v>2023</v>
      </c>
      <c r="C4" s="309"/>
      <c r="D4" s="309"/>
      <c r="E4" s="309"/>
      <c r="F4" s="309"/>
      <c r="G4" s="309"/>
      <c r="H4" s="309"/>
      <c r="I4" s="309"/>
      <c r="J4" s="309"/>
      <c r="K4" s="309"/>
      <c r="L4" s="309"/>
      <c r="M4" s="309"/>
      <c r="N4" s="309"/>
      <c r="O4" s="309"/>
      <c r="P4" s="309"/>
      <c r="Q4" s="309"/>
      <c r="R4" s="309"/>
      <c r="S4" s="309"/>
      <c r="T4" s="309"/>
      <c r="U4" s="309"/>
      <c r="V4" s="309"/>
      <c r="W4" s="309"/>
      <c r="X4" s="309"/>
      <c r="Y4" s="310"/>
      <c r="Z4" s="311">
        <v>2024</v>
      </c>
      <c r="AA4" s="311"/>
      <c r="AB4" s="311"/>
      <c r="AC4" s="311"/>
      <c r="AD4" s="311"/>
      <c r="AE4" s="311"/>
      <c r="AF4" s="311"/>
      <c r="AG4" s="311"/>
      <c r="AH4" s="311"/>
      <c r="AI4" s="311"/>
      <c r="AJ4" s="311"/>
      <c r="AK4" s="311"/>
      <c r="AL4" s="311"/>
      <c r="AM4" s="311"/>
      <c r="AN4" s="311"/>
      <c r="AO4" s="311"/>
      <c r="AP4" s="311"/>
      <c r="AQ4" s="311"/>
      <c r="AR4" s="311"/>
      <c r="AS4" s="311"/>
      <c r="AT4" s="311"/>
      <c r="AU4" s="311"/>
      <c r="AV4" s="311"/>
      <c r="AW4" s="312"/>
      <c r="AX4" s="313">
        <v>2025</v>
      </c>
      <c r="AY4" s="313"/>
      <c r="AZ4" s="313"/>
      <c r="BA4" s="314"/>
    </row>
    <row r="5" spans="1:53" x14ac:dyDescent="0.25">
      <c r="A5" s="422"/>
      <c r="B5" s="419" t="s">
        <v>864</v>
      </c>
      <c r="C5" s="420"/>
      <c r="D5" s="419" t="s">
        <v>865</v>
      </c>
      <c r="E5" s="420"/>
      <c r="F5" s="419" t="s">
        <v>866</v>
      </c>
      <c r="G5" s="420"/>
      <c r="H5" s="419" t="s">
        <v>867</v>
      </c>
      <c r="I5" s="420"/>
      <c r="J5" s="419" t="s">
        <v>788</v>
      </c>
      <c r="K5" s="420"/>
      <c r="L5" s="419" t="s">
        <v>868</v>
      </c>
      <c r="M5" s="420"/>
      <c r="N5" s="419" t="s">
        <v>869</v>
      </c>
      <c r="O5" s="420"/>
      <c r="P5" s="419" t="s">
        <v>870</v>
      </c>
      <c r="Q5" s="420"/>
      <c r="R5" s="419" t="s">
        <v>871</v>
      </c>
      <c r="S5" s="420"/>
      <c r="T5" s="419" t="s">
        <v>872</v>
      </c>
      <c r="U5" s="420"/>
      <c r="V5" s="419" t="s">
        <v>873</v>
      </c>
      <c r="W5" s="420"/>
      <c r="X5" s="419" t="s">
        <v>874</v>
      </c>
      <c r="Y5" s="420"/>
      <c r="Z5" s="417" t="s">
        <v>864</v>
      </c>
      <c r="AA5" s="418"/>
      <c r="AB5" s="417" t="s">
        <v>865</v>
      </c>
      <c r="AC5" s="418"/>
      <c r="AD5" s="417" t="s">
        <v>866</v>
      </c>
      <c r="AE5" s="418"/>
      <c r="AF5" s="417" t="s">
        <v>867</v>
      </c>
      <c r="AG5" s="418"/>
      <c r="AH5" s="417" t="s">
        <v>788</v>
      </c>
      <c r="AI5" s="418"/>
      <c r="AJ5" s="417" t="s">
        <v>868</v>
      </c>
      <c r="AK5" s="418"/>
      <c r="AL5" s="417" t="s">
        <v>869</v>
      </c>
      <c r="AM5" s="418"/>
      <c r="AN5" s="417" t="s">
        <v>870</v>
      </c>
      <c r="AO5" s="418"/>
      <c r="AP5" s="417" t="s">
        <v>871</v>
      </c>
      <c r="AQ5" s="418"/>
      <c r="AR5" s="417" t="s">
        <v>872</v>
      </c>
      <c r="AS5" s="418"/>
      <c r="AT5" s="417" t="s">
        <v>873</v>
      </c>
      <c r="AU5" s="418"/>
      <c r="AV5" s="417" t="s">
        <v>874</v>
      </c>
      <c r="AW5" s="418"/>
      <c r="AX5" s="415" t="s">
        <v>864</v>
      </c>
      <c r="AY5" s="416"/>
      <c r="AZ5" s="415" t="s">
        <v>865</v>
      </c>
      <c r="BA5" s="416"/>
    </row>
    <row r="6" spans="1:53" x14ac:dyDescent="0.25">
      <c r="A6" s="422"/>
      <c r="B6" s="315" t="s">
        <v>875</v>
      </c>
      <c r="C6" s="315" t="s">
        <v>876</v>
      </c>
      <c r="D6" s="315" t="s">
        <v>875</v>
      </c>
      <c r="E6" s="315" t="s">
        <v>876</v>
      </c>
      <c r="F6" s="315" t="s">
        <v>875</v>
      </c>
      <c r="G6" s="315" t="s">
        <v>876</v>
      </c>
      <c r="H6" s="315" t="s">
        <v>875</v>
      </c>
      <c r="I6" s="315" t="s">
        <v>876</v>
      </c>
      <c r="J6" s="315" t="s">
        <v>875</v>
      </c>
      <c r="K6" s="315" t="s">
        <v>876</v>
      </c>
      <c r="L6" s="315" t="s">
        <v>875</v>
      </c>
      <c r="M6" s="315" t="s">
        <v>876</v>
      </c>
      <c r="N6" s="315" t="s">
        <v>875</v>
      </c>
      <c r="O6" s="315" t="s">
        <v>876</v>
      </c>
      <c r="P6" s="315" t="s">
        <v>875</v>
      </c>
      <c r="Q6" s="315" t="s">
        <v>876</v>
      </c>
      <c r="R6" s="315" t="s">
        <v>875</v>
      </c>
      <c r="S6" s="315" t="s">
        <v>876</v>
      </c>
      <c r="T6" s="315" t="s">
        <v>875</v>
      </c>
      <c r="U6" s="315" t="s">
        <v>876</v>
      </c>
      <c r="V6" s="315" t="s">
        <v>875</v>
      </c>
      <c r="W6" s="315" t="s">
        <v>876</v>
      </c>
      <c r="X6" s="315" t="s">
        <v>875</v>
      </c>
      <c r="Y6" s="315" t="s">
        <v>876</v>
      </c>
      <c r="Z6" s="316" t="s">
        <v>875</v>
      </c>
      <c r="AA6" s="316" t="s">
        <v>876</v>
      </c>
      <c r="AB6" s="316" t="s">
        <v>875</v>
      </c>
      <c r="AC6" s="316" t="s">
        <v>876</v>
      </c>
      <c r="AD6" s="316" t="s">
        <v>875</v>
      </c>
      <c r="AE6" s="316" t="s">
        <v>876</v>
      </c>
      <c r="AF6" s="316" t="s">
        <v>875</v>
      </c>
      <c r="AG6" s="316" t="s">
        <v>876</v>
      </c>
      <c r="AH6" s="316" t="s">
        <v>875</v>
      </c>
      <c r="AI6" s="316" t="s">
        <v>876</v>
      </c>
      <c r="AJ6" s="316" t="s">
        <v>875</v>
      </c>
      <c r="AK6" s="316" t="s">
        <v>876</v>
      </c>
      <c r="AL6" s="316" t="s">
        <v>875</v>
      </c>
      <c r="AM6" s="316" t="s">
        <v>876</v>
      </c>
      <c r="AN6" s="316" t="s">
        <v>875</v>
      </c>
      <c r="AO6" s="316" t="s">
        <v>876</v>
      </c>
      <c r="AP6" s="316" t="s">
        <v>875</v>
      </c>
      <c r="AQ6" s="316" t="s">
        <v>876</v>
      </c>
      <c r="AR6" s="316" t="s">
        <v>875</v>
      </c>
      <c r="AS6" s="316" t="s">
        <v>876</v>
      </c>
      <c r="AT6" s="316" t="s">
        <v>875</v>
      </c>
      <c r="AU6" s="316" t="s">
        <v>876</v>
      </c>
      <c r="AV6" s="316" t="s">
        <v>875</v>
      </c>
      <c r="AW6" s="316" t="s">
        <v>876</v>
      </c>
      <c r="AX6" s="317" t="s">
        <v>875</v>
      </c>
      <c r="AY6" s="317" t="s">
        <v>876</v>
      </c>
      <c r="AZ6" s="317" t="s">
        <v>875</v>
      </c>
      <c r="BA6" s="317" t="s">
        <v>876</v>
      </c>
    </row>
    <row r="7" spans="1:53" x14ac:dyDescent="0.25">
      <c r="A7" s="318" t="s">
        <v>877</v>
      </c>
      <c r="B7" s="319">
        <v>50.077658426273302</v>
      </c>
      <c r="C7" s="319">
        <v>43.682359565160901</v>
      </c>
      <c r="D7" s="319">
        <v>42.8849597689292</v>
      </c>
      <c r="E7" s="319">
        <v>42.793431428339098</v>
      </c>
      <c r="F7" s="319">
        <v>43.019862114248198</v>
      </c>
      <c r="G7" s="319">
        <v>45.321667390360403</v>
      </c>
      <c r="H7" s="319">
        <v>48.512544145301099</v>
      </c>
      <c r="I7" s="319">
        <v>50.272072432594697</v>
      </c>
      <c r="J7" s="319">
        <v>43.268614947011102</v>
      </c>
      <c r="K7" s="319">
        <v>35.515960701047199</v>
      </c>
      <c r="L7" s="319">
        <v>38.078070847470002</v>
      </c>
      <c r="M7" s="319">
        <v>39.270787586005</v>
      </c>
      <c r="N7" s="319">
        <v>42.1362040288302</v>
      </c>
      <c r="O7" s="319">
        <v>42.786277168932997</v>
      </c>
      <c r="P7" s="319">
        <v>39.808013122535201</v>
      </c>
      <c r="Q7" s="319">
        <v>38.775142406590902</v>
      </c>
      <c r="R7" s="319">
        <v>39.5924269346241</v>
      </c>
      <c r="S7" s="319">
        <v>41.875955231963403</v>
      </c>
      <c r="T7" s="319">
        <v>42.9138738536613</v>
      </c>
      <c r="U7" s="319">
        <v>43.546961036236802</v>
      </c>
      <c r="V7" s="319">
        <v>45.120786661849003</v>
      </c>
      <c r="W7" s="319">
        <v>49.731165088513798</v>
      </c>
      <c r="X7" s="319">
        <v>47.522367040371101</v>
      </c>
      <c r="Y7" s="319">
        <v>51.771931276026599</v>
      </c>
      <c r="Z7" s="319">
        <v>52.979935818612603</v>
      </c>
      <c r="AA7" s="319">
        <v>50.791533546325901</v>
      </c>
      <c r="AB7" s="319">
        <v>49.791127167630002</v>
      </c>
      <c r="AC7" s="319">
        <v>49.976735015772903</v>
      </c>
      <c r="AD7" s="319">
        <v>52.243794608027301</v>
      </c>
      <c r="AE7" s="319">
        <v>57.474983343380202</v>
      </c>
      <c r="AF7" s="319">
        <v>57.4653049351992</v>
      </c>
      <c r="AG7" s="319">
        <v>53.038229128129203</v>
      </c>
      <c r="AH7" s="319">
        <v>51.096821369944799</v>
      </c>
      <c r="AI7" s="319">
        <v>48.689999422932701</v>
      </c>
      <c r="AJ7" s="319">
        <v>48.943587243317701</v>
      </c>
      <c r="AK7" s="319">
        <v>51.507137204326298</v>
      </c>
      <c r="AL7" s="319">
        <v>53.008566818248497</v>
      </c>
      <c r="AM7" s="319">
        <v>53.8983598707051</v>
      </c>
      <c r="AN7" s="319">
        <v>54.131327732104701</v>
      </c>
      <c r="AO7" s="319">
        <v>53.920766255958299</v>
      </c>
      <c r="AP7" s="319">
        <v>54.472243985955103</v>
      </c>
      <c r="AQ7" s="319">
        <v>56.155186841725602</v>
      </c>
      <c r="AR7" s="319">
        <v>57.572688356164399</v>
      </c>
      <c r="AS7" s="319">
        <v>57.659695499414397</v>
      </c>
      <c r="AT7" s="319">
        <v>59.418050987997901</v>
      </c>
      <c r="AU7" s="319">
        <v>62.241220394353</v>
      </c>
      <c r="AV7" s="319">
        <v>63.030963739061697</v>
      </c>
      <c r="AW7" s="319">
        <v>64.331420091835597</v>
      </c>
      <c r="AX7" s="319">
        <v>67.762001524002997</v>
      </c>
      <c r="AY7" s="319">
        <v>63.771543408360102</v>
      </c>
      <c r="AZ7" s="319">
        <v>60.6800924224124</v>
      </c>
      <c r="BA7" s="319">
        <v>0</v>
      </c>
    </row>
    <row r="8" spans="1:53" x14ac:dyDescent="0.25">
      <c r="A8" s="318" t="s">
        <v>878</v>
      </c>
      <c r="B8" s="319">
        <v>71.904302019315196</v>
      </c>
      <c r="C8" s="319">
        <v>59.022913256955803</v>
      </c>
      <c r="D8" s="319">
        <v>58.804856115107903</v>
      </c>
      <c r="E8" s="319">
        <v>56.031290074377999</v>
      </c>
      <c r="F8" s="319">
        <v>52.507682593138298</v>
      </c>
      <c r="G8" s="319">
        <v>53.2716579959285</v>
      </c>
      <c r="H8" s="319">
        <v>55.766170368562399</v>
      </c>
      <c r="I8" s="319">
        <v>61.291329479768798</v>
      </c>
      <c r="J8" s="319">
        <v>62.604145077720197</v>
      </c>
      <c r="K8" s="319">
        <v>53.525115473441097</v>
      </c>
      <c r="L8" s="319">
        <v>51.425330341560702</v>
      </c>
      <c r="M8" s="319">
        <v>55.124661912957897</v>
      </c>
      <c r="N8" s="319">
        <v>56.2574047954866</v>
      </c>
      <c r="O8" s="319">
        <v>59.815751093826002</v>
      </c>
      <c r="P8" s="319">
        <v>62.833025586916399</v>
      </c>
      <c r="Q8" s="319">
        <v>64.755285412262197</v>
      </c>
      <c r="R8" s="319">
        <v>68.187044534412905</v>
      </c>
      <c r="S8" s="319">
        <v>68.341557440246703</v>
      </c>
      <c r="T8" s="319">
        <v>74.314603536794095</v>
      </c>
      <c r="U8" s="319">
        <v>92.067290392227406</v>
      </c>
      <c r="V8" s="319">
        <v>97.720650910499799</v>
      </c>
      <c r="W8" s="319">
        <v>113.121052631579</v>
      </c>
      <c r="X8" s="319">
        <v>129.61562306261601</v>
      </c>
      <c r="Y8" s="319">
        <v>146.55374351371401</v>
      </c>
      <c r="Z8" s="319">
        <v>77.981526404179903</v>
      </c>
      <c r="AA8" s="319">
        <v>75.938209331651905</v>
      </c>
      <c r="AB8" s="319">
        <v>76.470211291998595</v>
      </c>
      <c r="AC8" s="319">
        <v>81.219173135945098</v>
      </c>
      <c r="AD8" s="319">
        <v>84.981841763942896</v>
      </c>
      <c r="AE8" s="319">
        <v>85.947713679336303</v>
      </c>
      <c r="AF8" s="319">
        <v>87.7138511458122</v>
      </c>
      <c r="AG8" s="319">
        <v>86.285536159600994</v>
      </c>
      <c r="AH8" s="319">
        <v>83.976139294926895</v>
      </c>
      <c r="AI8" s="319">
        <v>83.456290941947103</v>
      </c>
      <c r="AJ8" s="319">
        <v>83.823098724610304</v>
      </c>
      <c r="AK8" s="319">
        <v>83.342960288808698</v>
      </c>
      <c r="AL8" s="319">
        <v>81.917795422699697</v>
      </c>
      <c r="AM8" s="319">
        <v>80.867273151387906</v>
      </c>
      <c r="AN8" s="319">
        <v>79.539192949907203</v>
      </c>
      <c r="AO8" s="319">
        <v>80.371352785145902</v>
      </c>
      <c r="AP8" s="319">
        <v>80.3619439071567</v>
      </c>
      <c r="AQ8" s="319">
        <v>79.239981785063705</v>
      </c>
      <c r="AR8" s="319">
        <v>78.667110519307599</v>
      </c>
      <c r="AS8" s="319">
        <v>78.786775178026403</v>
      </c>
      <c r="AT8" s="319">
        <v>80.447890295358604</v>
      </c>
      <c r="AU8" s="319">
        <v>81.869486038041302</v>
      </c>
      <c r="AV8" s="319">
        <v>81.5182467274891</v>
      </c>
      <c r="AW8" s="319">
        <v>85.330518460329898</v>
      </c>
      <c r="AX8" s="319">
        <v>88.650464335111593</v>
      </c>
      <c r="AY8" s="319">
        <v>85.389610389610397</v>
      </c>
      <c r="AZ8" s="319">
        <v>87.131161668390206</v>
      </c>
      <c r="BA8" s="319">
        <v>0</v>
      </c>
    </row>
    <row r="9" spans="1:53" x14ac:dyDescent="0.25">
      <c r="A9" s="320" t="s">
        <v>734</v>
      </c>
      <c r="B9" s="321">
        <v>52.365263400045997</v>
      </c>
      <c r="C9" s="321">
        <v>45.474946450428398</v>
      </c>
      <c r="D9" s="321">
        <v>44.8112146820935</v>
      </c>
      <c r="E9" s="321">
        <v>44.604399845619398</v>
      </c>
      <c r="F9" s="321">
        <v>44.567876644115501</v>
      </c>
      <c r="G9" s="321">
        <v>46.602018141415599</v>
      </c>
      <c r="H9" s="321">
        <v>49.659961389961403</v>
      </c>
      <c r="I9" s="321">
        <v>51.897872158969797</v>
      </c>
      <c r="J9" s="321">
        <v>45.535598574437103</v>
      </c>
      <c r="K9" s="321">
        <v>37.512175610380503</v>
      </c>
      <c r="L9" s="321">
        <v>39.781840748520104</v>
      </c>
      <c r="M9" s="321">
        <v>41.324806473192901</v>
      </c>
      <c r="N9" s="321">
        <v>44.054872400907101</v>
      </c>
      <c r="O9" s="321">
        <v>45.017676848106497</v>
      </c>
      <c r="P9" s="321">
        <v>42.498428060658398</v>
      </c>
      <c r="Q9" s="321">
        <v>41.5954901454514</v>
      </c>
      <c r="R9" s="321">
        <v>42.507194541502699</v>
      </c>
      <c r="S9" s="321">
        <v>44.649465377467699</v>
      </c>
      <c r="T9" s="321">
        <v>45.724969997191202</v>
      </c>
      <c r="U9" s="321">
        <v>46.842363809663503</v>
      </c>
      <c r="V9" s="321">
        <v>48.4058121808987</v>
      </c>
      <c r="W9" s="321">
        <v>53.170097339389997</v>
      </c>
      <c r="X9" s="321">
        <v>51.022946572553998</v>
      </c>
      <c r="Y9" s="321">
        <v>55.171576708322199</v>
      </c>
      <c r="Z9" s="321">
        <v>56.4418634695881</v>
      </c>
      <c r="AA9" s="321">
        <v>54.338457629272</v>
      </c>
      <c r="AB9" s="321">
        <v>53.606578491108102</v>
      </c>
      <c r="AC9" s="321">
        <v>54.193090173720201</v>
      </c>
      <c r="AD9" s="321">
        <v>56.660533946605298</v>
      </c>
      <c r="AE9" s="321">
        <v>61.495858536319503</v>
      </c>
      <c r="AF9" s="321">
        <v>61.623299509366603</v>
      </c>
      <c r="AG9" s="321">
        <v>57.333387027491398</v>
      </c>
      <c r="AH9" s="321">
        <v>55.105380402023201</v>
      </c>
      <c r="AI9" s="321">
        <v>52.627836766022803</v>
      </c>
      <c r="AJ9" s="321">
        <v>52.720372359470097</v>
      </c>
      <c r="AK9" s="321">
        <v>54.963393603678902</v>
      </c>
      <c r="AL9" s="321">
        <v>56.235019678369397</v>
      </c>
      <c r="AM9" s="321">
        <v>56.9651714899599</v>
      </c>
      <c r="AN9" s="321">
        <v>57.0514139502652</v>
      </c>
      <c r="AO9" s="321">
        <v>56.845536476109203</v>
      </c>
      <c r="AP9" s="321">
        <v>57.246547659144497</v>
      </c>
      <c r="AQ9" s="321">
        <v>58.751760698645199</v>
      </c>
      <c r="AR9" s="321">
        <v>59.9762554999241</v>
      </c>
      <c r="AS9" s="321">
        <v>60.206219192191703</v>
      </c>
      <c r="AT9" s="321">
        <v>61.890492844209597</v>
      </c>
      <c r="AU9" s="321">
        <v>64.714143680212104</v>
      </c>
      <c r="AV9" s="321">
        <v>65.408176277065095</v>
      </c>
      <c r="AW9" s="321">
        <v>66.951676141932893</v>
      </c>
      <c r="AX9" s="321">
        <v>70.372672494690605</v>
      </c>
      <c r="AY9" s="321">
        <v>66.567609182530802</v>
      </c>
      <c r="AZ9" s="321">
        <v>64.1769276339774</v>
      </c>
      <c r="BA9" s="321">
        <v>0</v>
      </c>
    </row>
    <row r="11" spans="1:53" x14ac:dyDescent="0.25">
      <c r="A11" s="307" t="s">
        <v>879</v>
      </c>
    </row>
    <row r="12" spans="1:53" x14ac:dyDescent="0.25">
      <c r="A12" s="56"/>
    </row>
    <row r="13" spans="1:53" x14ac:dyDescent="0.25">
      <c r="A13" s="56"/>
    </row>
    <row r="14" spans="1:53" x14ac:dyDescent="0.25">
      <c r="A14" s="421" t="s">
        <v>863</v>
      </c>
      <c r="B14" s="308">
        <v>2023</v>
      </c>
      <c r="C14" s="309"/>
      <c r="D14" s="309"/>
      <c r="E14" s="309"/>
      <c r="F14" s="309"/>
      <c r="G14" s="309"/>
      <c r="H14" s="309"/>
      <c r="I14" s="309"/>
      <c r="J14" s="309"/>
      <c r="K14" s="309"/>
      <c r="L14" s="309"/>
      <c r="M14" s="309"/>
      <c r="N14" s="309"/>
      <c r="O14" s="309"/>
      <c r="P14" s="309"/>
      <c r="Q14" s="309"/>
      <c r="R14" s="309"/>
      <c r="S14" s="309"/>
      <c r="T14" s="309"/>
      <c r="U14" s="309"/>
      <c r="V14" s="309"/>
      <c r="W14" s="309"/>
      <c r="X14" s="309"/>
      <c r="Y14" s="310"/>
      <c r="Z14" s="311">
        <v>2024</v>
      </c>
      <c r="AA14" s="311"/>
      <c r="AB14" s="311"/>
      <c r="AC14" s="311"/>
      <c r="AD14" s="311"/>
      <c r="AE14" s="311"/>
      <c r="AF14" s="311"/>
      <c r="AG14" s="311"/>
      <c r="AH14" s="311"/>
      <c r="AI14" s="311"/>
      <c r="AJ14" s="311"/>
      <c r="AK14" s="311"/>
      <c r="AL14" s="311"/>
      <c r="AM14" s="311"/>
      <c r="AN14" s="311"/>
      <c r="AO14" s="311"/>
      <c r="AP14" s="311"/>
      <c r="AQ14" s="311"/>
      <c r="AR14" s="311"/>
      <c r="AS14" s="311"/>
      <c r="AT14" s="311"/>
      <c r="AU14" s="311"/>
      <c r="AV14" s="311"/>
      <c r="AW14" s="312"/>
      <c r="AX14" s="313">
        <v>2025</v>
      </c>
      <c r="AY14" s="313"/>
      <c r="AZ14" s="313"/>
      <c r="BA14" s="314"/>
    </row>
    <row r="15" spans="1:53" x14ac:dyDescent="0.25">
      <c r="A15" s="421"/>
      <c r="B15" s="419" t="s">
        <v>864</v>
      </c>
      <c r="C15" s="420"/>
      <c r="D15" s="419" t="s">
        <v>865</v>
      </c>
      <c r="E15" s="420"/>
      <c r="F15" s="419" t="s">
        <v>866</v>
      </c>
      <c r="G15" s="420"/>
      <c r="H15" s="419" t="s">
        <v>867</v>
      </c>
      <c r="I15" s="420"/>
      <c r="J15" s="419" t="s">
        <v>788</v>
      </c>
      <c r="K15" s="420"/>
      <c r="L15" s="419" t="s">
        <v>868</v>
      </c>
      <c r="M15" s="420"/>
      <c r="N15" s="419" t="s">
        <v>869</v>
      </c>
      <c r="O15" s="420"/>
      <c r="P15" s="419" t="s">
        <v>870</v>
      </c>
      <c r="Q15" s="420"/>
      <c r="R15" s="419" t="s">
        <v>871</v>
      </c>
      <c r="S15" s="420"/>
      <c r="T15" s="419" t="s">
        <v>872</v>
      </c>
      <c r="U15" s="420"/>
      <c r="V15" s="419" t="s">
        <v>873</v>
      </c>
      <c r="W15" s="420"/>
      <c r="X15" s="419" t="s">
        <v>874</v>
      </c>
      <c r="Y15" s="420"/>
      <c r="Z15" s="417" t="s">
        <v>864</v>
      </c>
      <c r="AA15" s="418"/>
      <c r="AB15" s="417" t="s">
        <v>865</v>
      </c>
      <c r="AC15" s="418"/>
      <c r="AD15" s="417" t="s">
        <v>866</v>
      </c>
      <c r="AE15" s="418"/>
      <c r="AF15" s="417" t="s">
        <v>867</v>
      </c>
      <c r="AG15" s="418"/>
      <c r="AH15" s="417" t="s">
        <v>788</v>
      </c>
      <c r="AI15" s="418"/>
      <c r="AJ15" s="417" t="s">
        <v>868</v>
      </c>
      <c r="AK15" s="418"/>
      <c r="AL15" s="417" t="s">
        <v>869</v>
      </c>
      <c r="AM15" s="418"/>
      <c r="AN15" s="417" t="s">
        <v>870</v>
      </c>
      <c r="AO15" s="418"/>
      <c r="AP15" s="417" t="s">
        <v>871</v>
      </c>
      <c r="AQ15" s="418"/>
      <c r="AR15" s="417" t="s">
        <v>872</v>
      </c>
      <c r="AS15" s="418"/>
      <c r="AT15" s="417" t="s">
        <v>873</v>
      </c>
      <c r="AU15" s="418"/>
      <c r="AV15" s="417" t="s">
        <v>874</v>
      </c>
      <c r="AW15" s="418"/>
      <c r="AX15" s="415" t="s">
        <v>864</v>
      </c>
      <c r="AY15" s="416"/>
      <c r="AZ15" s="415" t="s">
        <v>865</v>
      </c>
      <c r="BA15" s="416"/>
    </row>
    <row r="16" spans="1:53" x14ac:dyDescent="0.25">
      <c r="A16" s="421"/>
      <c r="B16" s="315" t="s">
        <v>875</v>
      </c>
      <c r="C16" s="315" t="s">
        <v>876</v>
      </c>
      <c r="D16" s="315" t="s">
        <v>875</v>
      </c>
      <c r="E16" s="315" t="s">
        <v>876</v>
      </c>
      <c r="F16" s="315" t="s">
        <v>875</v>
      </c>
      <c r="G16" s="315" t="s">
        <v>876</v>
      </c>
      <c r="H16" s="315" t="s">
        <v>875</v>
      </c>
      <c r="I16" s="315" t="s">
        <v>876</v>
      </c>
      <c r="J16" s="315" t="s">
        <v>875</v>
      </c>
      <c r="K16" s="315" t="s">
        <v>876</v>
      </c>
      <c r="L16" s="315" t="s">
        <v>875</v>
      </c>
      <c r="M16" s="315" t="s">
        <v>876</v>
      </c>
      <c r="N16" s="315" t="s">
        <v>875</v>
      </c>
      <c r="O16" s="315" t="s">
        <v>876</v>
      </c>
      <c r="P16" s="315" t="s">
        <v>875</v>
      </c>
      <c r="Q16" s="315" t="s">
        <v>876</v>
      </c>
      <c r="R16" s="315" t="s">
        <v>875</v>
      </c>
      <c r="S16" s="315" t="s">
        <v>876</v>
      </c>
      <c r="T16" s="315" t="s">
        <v>875</v>
      </c>
      <c r="U16" s="315" t="s">
        <v>876</v>
      </c>
      <c r="V16" s="315" t="s">
        <v>875</v>
      </c>
      <c r="W16" s="315" t="s">
        <v>876</v>
      </c>
      <c r="X16" s="315" t="s">
        <v>875</v>
      </c>
      <c r="Y16" s="315" t="s">
        <v>876</v>
      </c>
      <c r="Z16" s="316" t="s">
        <v>875</v>
      </c>
      <c r="AA16" s="316" t="s">
        <v>876</v>
      </c>
      <c r="AB16" s="316" t="s">
        <v>875</v>
      </c>
      <c r="AC16" s="316" t="s">
        <v>876</v>
      </c>
      <c r="AD16" s="316" t="s">
        <v>875</v>
      </c>
      <c r="AE16" s="316" t="s">
        <v>876</v>
      </c>
      <c r="AF16" s="316" t="s">
        <v>875</v>
      </c>
      <c r="AG16" s="316" t="s">
        <v>876</v>
      </c>
      <c r="AH16" s="316" t="s">
        <v>875</v>
      </c>
      <c r="AI16" s="316" t="s">
        <v>876</v>
      </c>
      <c r="AJ16" s="316" t="s">
        <v>875</v>
      </c>
      <c r="AK16" s="316" t="s">
        <v>876</v>
      </c>
      <c r="AL16" s="316" t="s">
        <v>875</v>
      </c>
      <c r="AM16" s="316" t="s">
        <v>876</v>
      </c>
      <c r="AN16" s="316" t="s">
        <v>875</v>
      </c>
      <c r="AO16" s="316" t="s">
        <v>876</v>
      </c>
      <c r="AP16" s="316" t="s">
        <v>875</v>
      </c>
      <c r="AQ16" s="316" t="s">
        <v>876</v>
      </c>
      <c r="AR16" s="316" t="s">
        <v>875</v>
      </c>
      <c r="AS16" s="316" t="s">
        <v>876</v>
      </c>
      <c r="AT16" s="316" t="s">
        <v>875</v>
      </c>
      <c r="AU16" s="316" t="s">
        <v>876</v>
      </c>
      <c r="AV16" s="316" t="s">
        <v>875</v>
      </c>
      <c r="AW16" s="316" t="s">
        <v>876</v>
      </c>
      <c r="AX16" s="317" t="s">
        <v>875</v>
      </c>
      <c r="AY16" s="317" t="s">
        <v>876</v>
      </c>
      <c r="AZ16" s="317" t="s">
        <v>875</v>
      </c>
      <c r="BA16" s="317" t="s">
        <v>876</v>
      </c>
    </row>
    <row r="17" spans="1:53" x14ac:dyDescent="0.25">
      <c r="A17" s="322" t="s">
        <v>877</v>
      </c>
      <c r="B17" s="323"/>
      <c r="C17" s="323"/>
      <c r="D17" s="323"/>
      <c r="E17" s="323"/>
      <c r="F17" s="323"/>
      <c r="G17" s="323"/>
      <c r="H17" s="323"/>
      <c r="I17" s="323"/>
      <c r="J17" s="323"/>
      <c r="K17" s="323"/>
      <c r="L17" s="323"/>
      <c r="M17" s="323"/>
      <c r="N17" s="323"/>
      <c r="O17" s="323"/>
      <c r="P17" s="323"/>
      <c r="Q17" s="323"/>
      <c r="R17" s="323"/>
      <c r="S17" s="323"/>
      <c r="T17" s="323"/>
      <c r="U17" s="323"/>
      <c r="V17" s="323"/>
      <c r="W17" s="323"/>
      <c r="X17" s="323"/>
      <c r="Y17" s="323"/>
      <c r="Z17" s="323"/>
      <c r="AA17" s="323"/>
      <c r="AB17" s="323"/>
      <c r="AC17" s="323"/>
      <c r="AD17" s="323"/>
      <c r="AE17" s="323"/>
      <c r="AF17" s="323"/>
      <c r="AG17" s="323"/>
      <c r="AH17" s="323"/>
      <c r="AI17" s="323"/>
      <c r="AJ17" s="323"/>
      <c r="AK17" s="323"/>
      <c r="AL17" s="323"/>
      <c r="AM17" s="323"/>
      <c r="AN17" s="323"/>
      <c r="AO17" s="323"/>
      <c r="AP17" s="323"/>
      <c r="AQ17" s="323"/>
      <c r="AR17" s="323"/>
      <c r="AS17" s="323"/>
      <c r="AT17" s="323"/>
      <c r="AU17" s="323"/>
      <c r="AV17" s="323"/>
      <c r="AW17" s="323"/>
      <c r="AX17" s="323"/>
      <c r="AY17" s="323"/>
      <c r="AZ17" s="323"/>
      <c r="BA17" s="323"/>
    </row>
    <row r="18" spans="1:53" x14ac:dyDescent="0.25">
      <c r="A18" s="324" t="s">
        <v>880</v>
      </c>
      <c r="B18" s="324">
        <v>18356</v>
      </c>
      <c r="C18" s="324">
        <v>22026</v>
      </c>
      <c r="D18" s="324">
        <v>23176</v>
      </c>
      <c r="E18" s="324">
        <v>23562</v>
      </c>
      <c r="F18" s="324">
        <v>23326</v>
      </c>
      <c r="G18" s="324">
        <v>21987</v>
      </c>
      <c r="H18" s="324">
        <v>20755</v>
      </c>
      <c r="I18" s="324">
        <v>18911</v>
      </c>
      <c r="J18" s="324">
        <v>20705</v>
      </c>
      <c r="K18" s="324">
        <v>26752</v>
      </c>
      <c r="L18" s="324">
        <v>26400</v>
      </c>
      <c r="M18" s="324">
        <v>26307</v>
      </c>
      <c r="N18" s="324">
        <v>25999</v>
      </c>
      <c r="O18" s="324">
        <v>26225</v>
      </c>
      <c r="P18" s="324">
        <v>27603</v>
      </c>
      <c r="Q18" s="324">
        <v>29998</v>
      </c>
      <c r="R18" s="324">
        <v>31502</v>
      </c>
      <c r="S18" s="324">
        <v>32067</v>
      </c>
      <c r="T18" s="324">
        <v>34446</v>
      </c>
      <c r="U18" s="324">
        <v>36891</v>
      </c>
      <c r="V18" s="324">
        <v>37429</v>
      </c>
      <c r="W18" s="324">
        <v>35089</v>
      </c>
      <c r="X18" s="324">
        <v>34834</v>
      </c>
      <c r="Y18" s="324">
        <v>34821</v>
      </c>
      <c r="Z18" s="324">
        <v>31681</v>
      </c>
      <c r="AA18" s="324">
        <v>32131</v>
      </c>
      <c r="AB18" s="324">
        <v>32888</v>
      </c>
      <c r="AC18" s="324">
        <v>33774</v>
      </c>
      <c r="AD18" s="324">
        <v>32724</v>
      </c>
      <c r="AE18" s="324">
        <v>29535</v>
      </c>
      <c r="AF18" s="324">
        <v>28840</v>
      </c>
      <c r="AG18" s="324">
        <v>30296</v>
      </c>
      <c r="AH18" s="324">
        <v>31358</v>
      </c>
      <c r="AI18" s="324">
        <v>32608</v>
      </c>
      <c r="AJ18" s="324">
        <v>32753</v>
      </c>
      <c r="AK18" s="324">
        <v>31971</v>
      </c>
      <c r="AL18" s="324">
        <v>31833</v>
      </c>
      <c r="AM18" s="324">
        <v>31076</v>
      </c>
      <c r="AN18" s="324">
        <v>30828</v>
      </c>
      <c r="AO18" s="324">
        <v>31066</v>
      </c>
      <c r="AP18" s="324">
        <v>32121</v>
      </c>
      <c r="AQ18" s="324">
        <v>32277</v>
      </c>
      <c r="AR18" s="324">
        <v>32622</v>
      </c>
      <c r="AS18" s="324">
        <v>33348</v>
      </c>
      <c r="AT18" s="324">
        <v>33004</v>
      </c>
      <c r="AU18" s="324">
        <v>31695</v>
      </c>
      <c r="AV18" s="324">
        <v>31478</v>
      </c>
      <c r="AW18" s="324">
        <v>32874</v>
      </c>
      <c r="AX18" s="324">
        <v>32448</v>
      </c>
      <c r="AY18" s="324">
        <v>34242</v>
      </c>
      <c r="AZ18" s="324">
        <v>35015</v>
      </c>
      <c r="BA18" s="324">
        <v>0</v>
      </c>
    </row>
    <row r="19" spans="1:53" x14ac:dyDescent="0.25">
      <c r="A19" s="324" t="s">
        <v>881</v>
      </c>
      <c r="B19" s="324">
        <v>801</v>
      </c>
      <c r="C19" s="324">
        <v>769</v>
      </c>
      <c r="D19" s="324">
        <v>773</v>
      </c>
      <c r="E19" s="324">
        <v>766</v>
      </c>
      <c r="F19" s="324">
        <v>782</v>
      </c>
      <c r="G19" s="324">
        <v>794</v>
      </c>
      <c r="H19" s="324">
        <v>791</v>
      </c>
      <c r="I19" s="324">
        <v>820</v>
      </c>
      <c r="J19" s="324">
        <v>822</v>
      </c>
      <c r="K19" s="324">
        <v>779</v>
      </c>
      <c r="L19" s="324">
        <v>753</v>
      </c>
      <c r="M19" s="324">
        <v>757</v>
      </c>
      <c r="N19" s="324">
        <v>795</v>
      </c>
      <c r="O19" s="324">
        <v>803</v>
      </c>
      <c r="P19" s="324">
        <v>804</v>
      </c>
      <c r="Q19" s="324">
        <v>839</v>
      </c>
      <c r="R19" s="324">
        <v>887</v>
      </c>
      <c r="S19" s="324">
        <v>917</v>
      </c>
      <c r="T19" s="324">
        <v>931</v>
      </c>
      <c r="U19" s="324">
        <v>958</v>
      </c>
      <c r="V19" s="324">
        <v>1018</v>
      </c>
      <c r="W19" s="324">
        <v>1053</v>
      </c>
      <c r="X19" s="324">
        <v>1098</v>
      </c>
      <c r="Y19" s="324">
        <v>1161</v>
      </c>
      <c r="Z19" s="324">
        <v>1345</v>
      </c>
      <c r="AA19" s="324">
        <v>1354</v>
      </c>
      <c r="AB19" s="324">
        <v>1384</v>
      </c>
      <c r="AC19" s="324">
        <v>1396</v>
      </c>
      <c r="AD19" s="324">
        <v>1540</v>
      </c>
      <c r="AE19" s="324">
        <v>1611</v>
      </c>
      <c r="AF19" s="324">
        <v>1718</v>
      </c>
      <c r="AG19" s="324">
        <v>1763</v>
      </c>
      <c r="AH19" s="324">
        <v>1750</v>
      </c>
      <c r="AI19" s="324">
        <v>1639</v>
      </c>
      <c r="AJ19" s="324">
        <v>1683</v>
      </c>
      <c r="AK19" s="324">
        <v>1712</v>
      </c>
      <c r="AL19" s="324">
        <v>1787</v>
      </c>
      <c r="AM19" s="324">
        <v>1879</v>
      </c>
      <c r="AN19" s="324">
        <v>1912</v>
      </c>
      <c r="AO19" s="324">
        <v>1827</v>
      </c>
      <c r="AP19" s="324">
        <v>1859</v>
      </c>
      <c r="AQ19" s="324">
        <v>1886</v>
      </c>
      <c r="AR19" s="324">
        <v>1913</v>
      </c>
      <c r="AS19" s="324">
        <v>1991</v>
      </c>
      <c r="AT19" s="324">
        <v>2018</v>
      </c>
      <c r="AU19" s="324">
        <v>2044</v>
      </c>
      <c r="AV19" s="324">
        <v>2100</v>
      </c>
      <c r="AW19" s="324">
        <v>2221</v>
      </c>
      <c r="AX19" s="324">
        <v>2318</v>
      </c>
      <c r="AY19" s="324">
        <v>2395</v>
      </c>
      <c r="AZ19" s="324">
        <v>2410</v>
      </c>
      <c r="BA19" s="324">
        <v>0</v>
      </c>
    </row>
    <row r="20" spans="1:53" x14ac:dyDescent="0.25">
      <c r="A20" s="324" t="s">
        <v>882</v>
      </c>
      <c r="B20" s="324">
        <v>227</v>
      </c>
      <c r="C20" s="324">
        <v>219</v>
      </c>
      <c r="D20" s="324">
        <v>217</v>
      </c>
      <c r="E20" s="324">
        <v>207</v>
      </c>
      <c r="F20" s="324">
        <v>198</v>
      </c>
      <c r="G20" s="324">
        <v>189</v>
      </c>
      <c r="H20" s="324">
        <v>200</v>
      </c>
      <c r="I20" s="324">
        <v>204</v>
      </c>
      <c r="J20" s="324">
        <v>213</v>
      </c>
      <c r="K20" s="324">
        <v>202</v>
      </c>
      <c r="L20" s="324">
        <v>202</v>
      </c>
      <c r="M20" s="324">
        <v>209</v>
      </c>
      <c r="N20" s="324">
        <v>207</v>
      </c>
      <c r="O20" s="324">
        <v>200</v>
      </c>
      <c r="P20" s="324">
        <v>191</v>
      </c>
      <c r="Q20" s="324">
        <v>185</v>
      </c>
      <c r="R20" s="324">
        <v>201</v>
      </c>
      <c r="S20" s="324">
        <v>201</v>
      </c>
      <c r="T20" s="324">
        <v>217</v>
      </c>
      <c r="U20" s="324">
        <v>230</v>
      </c>
      <c r="V20" s="324">
        <v>244</v>
      </c>
      <c r="W20" s="324">
        <v>238</v>
      </c>
      <c r="X20" s="324">
        <v>229</v>
      </c>
      <c r="Y20" s="324">
        <v>226</v>
      </c>
      <c r="Z20" s="324">
        <v>256</v>
      </c>
      <c r="AA20" s="324">
        <v>262</v>
      </c>
      <c r="AB20" s="324">
        <v>272</v>
      </c>
      <c r="AC20" s="324">
        <v>278</v>
      </c>
      <c r="AD20" s="324">
        <v>287</v>
      </c>
      <c r="AE20" s="324">
        <v>318</v>
      </c>
      <c r="AF20" s="324">
        <v>327</v>
      </c>
      <c r="AG20" s="324">
        <v>322</v>
      </c>
      <c r="AH20" s="324">
        <v>339</v>
      </c>
      <c r="AI20" s="324">
        <v>354</v>
      </c>
      <c r="AJ20" s="324">
        <v>374</v>
      </c>
      <c r="AK20" s="324">
        <v>377</v>
      </c>
      <c r="AL20" s="324">
        <v>409</v>
      </c>
      <c r="AM20" s="324">
        <v>400</v>
      </c>
      <c r="AN20" s="324">
        <v>411</v>
      </c>
      <c r="AO20" s="324">
        <v>404</v>
      </c>
      <c r="AP20" s="324">
        <v>419</v>
      </c>
      <c r="AQ20" s="324">
        <v>433</v>
      </c>
      <c r="AR20" s="324">
        <v>441</v>
      </c>
      <c r="AS20" s="324">
        <v>458</v>
      </c>
      <c r="AT20" s="324">
        <v>485</v>
      </c>
      <c r="AU20" s="324">
        <v>475</v>
      </c>
      <c r="AV20" s="324">
        <v>521</v>
      </c>
      <c r="AW20" s="324">
        <v>552</v>
      </c>
      <c r="AX20" s="324">
        <v>599</v>
      </c>
      <c r="AY20" s="324">
        <v>621</v>
      </c>
      <c r="AZ20" s="324">
        <v>595</v>
      </c>
      <c r="BA20" s="324">
        <v>0</v>
      </c>
    </row>
    <row r="21" spans="1:53" ht="16.5" thickBot="1" x14ac:dyDescent="0.3">
      <c r="A21" s="325" t="s">
        <v>883</v>
      </c>
      <c r="B21" s="325">
        <v>73</v>
      </c>
      <c r="C21" s="325">
        <v>75</v>
      </c>
      <c r="D21" s="325">
        <v>69</v>
      </c>
      <c r="E21" s="325">
        <v>67</v>
      </c>
      <c r="F21" s="325">
        <v>62</v>
      </c>
      <c r="G21" s="325">
        <v>60</v>
      </c>
      <c r="H21" s="325">
        <v>57</v>
      </c>
      <c r="I21" s="325">
        <v>56</v>
      </c>
      <c r="J21" s="325">
        <v>57</v>
      </c>
      <c r="K21" s="325">
        <v>54</v>
      </c>
      <c r="L21" s="325">
        <v>56</v>
      </c>
      <c r="M21" s="325">
        <v>51</v>
      </c>
      <c r="N21" s="325">
        <v>54</v>
      </c>
      <c r="O21" s="325">
        <v>55</v>
      </c>
      <c r="P21" s="325">
        <v>55</v>
      </c>
      <c r="Q21" s="325">
        <v>51</v>
      </c>
      <c r="R21" s="325">
        <v>52</v>
      </c>
      <c r="S21" s="325">
        <v>53</v>
      </c>
      <c r="T21" s="325">
        <v>63</v>
      </c>
      <c r="U21" s="325">
        <v>59</v>
      </c>
      <c r="V21" s="325">
        <v>55</v>
      </c>
      <c r="W21" s="325">
        <v>55</v>
      </c>
      <c r="X21" s="325">
        <v>53</v>
      </c>
      <c r="Y21" s="325">
        <v>53</v>
      </c>
      <c r="Z21" s="325">
        <v>61</v>
      </c>
      <c r="AA21" s="325">
        <v>57</v>
      </c>
      <c r="AB21" s="325">
        <v>56</v>
      </c>
      <c r="AC21" s="325">
        <v>56</v>
      </c>
      <c r="AD21" s="325">
        <v>56</v>
      </c>
      <c r="AE21" s="325">
        <v>55</v>
      </c>
      <c r="AF21" s="325">
        <v>56</v>
      </c>
      <c r="AG21" s="325">
        <v>55</v>
      </c>
      <c r="AH21" s="325">
        <v>58</v>
      </c>
      <c r="AI21" s="325">
        <v>57</v>
      </c>
      <c r="AJ21" s="325">
        <v>58</v>
      </c>
      <c r="AK21" s="325">
        <v>57</v>
      </c>
      <c r="AL21" s="325">
        <v>56</v>
      </c>
      <c r="AM21" s="325">
        <v>57</v>
      </c>
      <c r="AN21" s="325">
        <v>56</v>
      </c>
      <c r="AO21" s="325">
        <v>60</v>
      </c>
      <c r="AP21" s="325">
        <v>62</v>
      </c>
      <c r="AQ21" s="325">
        <v>59</v>
      </c>
      <c r="AR21" s="325">
        <v>64</v>
      </c>
      <c r="AS21" s="325">
        <v>65</v>
      </c>
      <c r="AT21" s="325">
        <v>70</v>
      </c>
      <c r="AU21" s="325">
        <v>70</v>
      </c>
      <c r="AV21" s="325">
        <v>70</v>
      </c>
      <c r="AW21" s="325">
        <v>69</v>
      </c>
      <c r="AX21" s="325">
        <v>68</v>
      </c>
      <c r="AY21" s="325">
        <v>62</v>
      </c>
      <c r="AZ21" s="325">
        <v>66</v>
      </c>
      <c r="BA21" s="325">
        <v>0</v>
      </c>
    </row>
    <row r="22" spans="1:53" x14ac:dyDescent="0.25">
      <c r="A22" s="326" t="s">
        <v>734</v>
      </c>
      <c r="B22" s="326">
        <v>19457</v>
      </c>
      <c r="C22" s="326">
        <v>23089</v>
      </c>
      <c r="D22" s="326">
        <v>24235</v>
      </c>
      <c r="E22" s="326">
        <v>24602</v>
      </c>
      <c r="F22" s="326">
        <v>24368</v>
      </c>
      <c r="G22" s="326">
        <v>23030</v>
      </c>
      <c r="H22" s="326">
        <v>21803</v>
      </c>
      <c r="I22" s="326">
        <v>19991</v>
      </c>
      <c r="J22" s="326">
        <v>21797</v>
      </c>
      <c r="K22" s="326">
        <v>27787</v>
      </c>
      <c r="L22" s="326">
        <v>27411</v>
      </c>
      <c r="M22" s="326">
        <v>27324</v>
      </c>
      <c r="N22" s="326">
        <v>27055</v>
      </c>
      <c r="O22" s="326">
        <v>27283</v>
      </c>
      <c r="P22" s="326">
        <v>28653</v>
      </c>
      <c r="Q22" s="326">
        <v>31073</v>
      </c>
      <c r="R22" s="326">
        <v>32642</v>
      </c>
      <c r="S22" s="326">
        <v>33238</v>
      </c>
      <c r="T22" s="326">
        <v>35657</v>
      </c>
      <c r="U22" s="326">
        <v>38138</v>
      </c>
      <c r="V22" s="326">
        <v>38746</v>
      </c>
      <c r="W22" s="326">
        <v>36435</v>
      </c>
      <c r="X22" s="326">
        <v>36214</v>
      </c>
      <c r="Y22" s="326">
        <v>36261</v>
      </c>
      <c r="Z22" s="326">
        <v>33343</v>
      </c>
      <c r="AA22" s="326">
        <v>33804</v>
      </c>
      <c r="AB22" s="326">
        <v>34600</v>
      </c>
      <c r="AC22" s="326">
        <v>35504</v>
      </c>
      <c r="AD22" s="326">
        <v>34607</v>
      </c>
      <c r="AE22" s="326">
        <v>31519</v>
      </c>
      <c r="AF22" s="326">
        <v>30941</v>
      </c>
      <c r="AG22" s="326">
        <v>32436</v>
      </c>
      <c r="AH22" s="326">
        <v>33505</v>
      </c>
      <c r="AI22" s="326">
        <v>34658</v>
      </c>
      <c r="AJ22" s="326">
        <v>34868</v>
      </c>
      <c r="AK22" s="326">
        <v>34117</v>
      </c>
      <c r="AL22" s="326">
        <v>34085</v>
      </c>
      <c r="AM22" s="326">
        <v>33412</v>
      </c>
      <c r="AN22" s="326">
        <v>33207</v>
      </c>
      <c r="AO22" s="326">
        <v>33357</v>
      </c>
      <c r="AP22" s="326">
        <v>34461</v>
      </c>
      <c r="AQ22" s="326">
        <v>34655</v>
      </c>
      <c r="AR22" s="326">
        <v>35040</v>
      </c>
      <c r="AS22" s="326">
        <v>35862</v>
      </c>
      <c r="AT22" s="326">
        <v>35577</v>
      </c>
      <c r="AU22" s="326">
        <v>34284</v>
      </c>
      <c r="AV22" s="326">
        <v>34169</v>
      </c>
      <c r="AW22" s="326">
        <v>35716</v>
      </c>
      <c r="AX22" s="326">
        <v>35433</v>
      </c>
      <c r="AY22" s="326">
        <v>37320</v>
      </c>
      <c r="AZ22" s="326">
        <v>38086</v>
      </c>
      <c r="BA22" s="326">
        <v>0</v>
      </c>
    </row>
    <row r="23" spans="1:53" x14ac:dyDescent="0.25">
      <c r="A23" s="322" t="s">
        <v>878</v>
      </c>
      <c r="B23" s="323"/>
      <c r="C23" s="323"/>
      <c r="D23" s="323"/>
      <c r="E23" s="323"/>
      <c r="F23" s="323"/>
      <c r="G23" s="323"/>
      <c r="H23" s="323"/>
      <c r="I23" s="323"/>
      <c r="J23" s="323"/>
      <c r="K23" s="323"/>
      <c r="L23" s="323"/>
      <c r="M23" s="323"/>
      <c r="N23" s="323"/>
      <c r="O23" s="323"/>
      <c r="P23" s="323"/>
      <c r="Q23" s="323"/>
      <c r="R23" s="323"/>
      <c r="S23" s="323"/>
      <c r="T23" s="323"/>
      <c r="U23" s="323"/>
      <c r="V23" s="323"/>
      <c r="W23" s="323"/>
      <c r="X23" s="323"/>
      <c r="Y23" s="323"/>
      <c r="Z23" s="323"/>
      <c r="AA23" s="323"/>
      <c r="AB23" s="323"/>
      <c r="AC23" s="323"/>
      <c r="AD23" s="323"/>
      <c r="AE23" s="323"/>
      <c r="AF23" s="323"/>
      <c r="AG23" s="323"/>
      <c r="AH23" s="323"/>
      <c r="AI23" s="323"/>
      <c r="AJ23" s="323"/>
      <c r="AK23" s="323"/>
      <c r="AL23" s="323"/>
      <c r="AM23" s="323"/>
      <c r="AN23" s="323"/>
      <c r="AO23" s="323"/>
      <c r="AP23" s="323"/>
      <c r="AQ23" s="323"/>
      <c r="AR23" s="323"/>
      <c r="AS23" s="323"/>
      <c r="AT23" s="323"/>
      <c r="AU23" s="323"/>
      <c r="AV23" s="323"/>
      <c r="AW23" s="323"/>
      <c r="AX23" s="323"/>
      <c r="AY23" s="323"/>
      <c r="AZ23" s="323"/>
      <c r="BA23" s="323"/>
    </row>
    <row r="24" spans="1:53" x14ac:dyDescent="0.25">
      <c r="A24" s="324" t="s">
        <v>880</v>
      </c>
      <c r="B24" s="324">
        <v>2089</v>
      </c>
      <c r="C24" s="324">
        <v>2861</v>
      </c>
      <c r="D24" s="324">
        <v>3122</v>
      </c>
      <c r="E24" s="324">
        <v>3678</v>
      </c>
      <c r="F24" s="324">
        <v>4536</v>
      </c>
      <c r="G24" s="324">
        <v>4211</v>
      </c>
      <c r="H24" s="324">
        <v>3888</v>
      </c>
      <c r="I24" s="324">
        <v>3252</v>
      </c>
      <c r="J24" s="324">
        <v>2737</v>
      </c>
      <c r="K24" s="324">
        <v>3312</v>
      </c>
      <c r="L24" s="324">
        <v>3855</v>
      </c>
      <c r="M24" s="324">
        <v>3889</v>
      </c>
      <c r="N24" s="324">
        <v>4048</v>
      </c>
      <c r="O24" s="324">
        <v>3905</v>
      </c>
      <c r="P24" s="324">
        <v>3590</v>
      </c>
      <c r="Q24" s="324">
        <v>3576</v>
      </c>
      <c r="R24" s="324">
        <v>3476</v>
      </c>
      <c r="S24" s="324">
        <v>3669</v>
      </c>
      <c r="T24" s="324">
        <v>3272</v>
      </c>
      <c r="U24" s="324">
        <v>2536</v>
      </c>
      <c r="V24" s="324">
        <v>2338</v>
      </c>
      <c r="W24" s="324">
        <v>1844</v>
      </c>
      <c r="X24" s="324">
        <v>1360</v>
      </c>
      <c r="Y24" s="324">
        <v>1060</v>
      </c>
      <c r="Z24" s="324">
        <v>5065</v>
      </c>
      <c r="AA24" s="324">
        <v>5236</v>
      </c>
      <c r="AB24" s="324">
        <v>5427</v>
      </c>
      <c r="AC24" s="324">
        <v>5166</v>
      </c>
      <c r="AD24" s="324">
        <v>4991</v>
      </c>
      <c r="AE24" s="324">
        <v>4728</v>
      </c>
      <c r="AF24" s="324">
        <v>4397</v>
      </c>
      <c r="AG24" s="324">
        <v>4289</v>
      </c>
      <c r="AH24" s="324">
        <v>4095</v>
      </c>
      <c r="AI24" s="324">
        <v>3882</v>
      </c>
      <c r="AJ24" s="324">
        <v>3648</v>
      </c>
      <c r="AK24" s="324">
        <v>3595</v>
      </c>
      <c r="AL24" s="324">
        <v>3741</v>
      </c>
      <c r="AM24" s="324">
        <v>3782</v>
      </c>
      <c r="AN24" s="324">
        <v>3849</v>
      </c>
      <c r="AO24" s="324">
        <v>3712</v>
      </c>
      <c r="AP24" s="324">
        <v>3730</v>
      </c>
      <c r="AQ24" s="324">
        <v>3995</v>
      </c>
      <c r="AR24" s="324">
        <v>4088</v>
      </c>
      <c r="AS24" s="324">
        <v>4455</v>
      </c>
      <c r="AT24" s="324">
        <v>4256</v>
      </c>
      <c r="AU24" s="324">
        <v>4447</v>
      </c>
      <c r="AV24" s="324">
        <v>4553</v>
      </c>
      <c r="AW24" s="324">
        <v>4594</v>
      </c>
      <c r="AX24" s="324">
        <v>4536</v>
      </c>
      <c r="AY24" s="324">
        <v>4992</v>
      </c>
      <c r="AZ24" s="324">
        <v>5242</v>
      </c>
      <c r="BA24" s="324">
        <v>0</v>
      </c>
    </row>
    <row r="25" spans="1:53" x14ac:dyDescent="0.25">
      <c r="A25" s="324" t="s">
        <v>881</v>
      </c>
      <c r="B25" s="324">
        <v>153</v>
      </c>
      <c r="C25" s="324">
        <v>157</v>
      </c>
      <c r="D25" s="324">
        <v>175</v>
      </c>
      <c r="E25" s="324">
        <v>183</v>
      </c>
      <c r="F25" s="324">
        <v>180</v>
      </c>
      <c r="G25" s="324">
        <v>172</v>
      </c>
      <c r="H25" s="324">
        <v>166</v>
      </c>
      <c r="I25" s="324">
        <v>164</v>
      </c>
      <c r="J25" s="324">
        <v>118</v>
      </c>
      <c r="K25" s="324">
        <v>115</v>
      </c>
      <c r="L25" s="324">
        <v>117</v>
      </c>
      <c r="M25" s="324">
        <v>136</v>
      </c>
      <c r="N25" s="324">
        <v>165</v>
      </c>
      <c r="O25" s="324">
        <v>170</v>
      </c>
      <c r="P25" s="324">
        <v>162</v>
      </c>
      <c r="Q25" s="324">
        <v>166</v>
      </c>
      <c r="R25" s="324">
        <v>189</v>
      </c>
      <c r="S25" s="324">
        <v>177</v>
      </c>
      <c r="T25" s="324">
        <v>193</v>
      </c>
      <c r="U25" s="324">
        <v>206</v>
      </c>
      <c r="V25" s="324">
        <v>208</v>
      </c>
      <c r="W25" s="324">
        <v>209</v>
      </c>
      <c r="X25" s="324">
        <v>217</v>
      </c>
      <c r="Y25" s="324">
        <v>249</v>
      </c>
      <c r="Z25" s="324">
        <v>268</v>
      </c>
      <c r="AA25" s="324">
        <v>284</v>
      </c>
      <c r="AB25" s="324">
        <v>314</v>
      </c>
      <c r="AC25" s="324">
        <v>330</v>
      </c>
      <c r="AD25" s="324">
        <v>366</v>
      </c>
      <c r="AE25" s="324">
        <v>416</v>
      </c>
      <c r="AF25" s="324">
        <v>491</v>
      </c>
      <c r="AG25" s="324">
        <v>474</v>
      </c>
      <c r="AH25" s="324">
        <v>508</v>
      </c>
      <c r="AI25" s="324">
        <v>503</v>
      </c>
      <c r="AJ25" s="324">
        <v>542</v>
      </c>
      <c r="AK25" s="324">
        <v>513</v>
      </c>
      <c r="AL25" s="324">
        <v>487</v>
      </c>
      <c r="AM25" s="324">
        <v>443</v>
      </c>
      <c r="AN25" s="324">
        <v>397</v>
      </c>
      <c r="AO25" s="324">
        <v>370</v>
      </c>
      <c r="AP25" s="324">
        <v>340</v>
      </c>
      <c r="AQ25" s="324">
        <v>328</v>
      </c>
      <c r="AR25" s="324">
        <v>336</v>
      </c>
      <c r="AS25" s="324">
        <v>376</v>
      </c>
      <c r="AT25" s="324">
        <v>383</v>
      </c>
      <c r="AU25" s="324">
        <v>390</v>
      </c>
      <c r="AV25" s="324">
        <v>383</v>
      </c>
      <c r="AW25" s="324">
        <v>395</v>
      </c>
      <c r="AX25" s="324">
        <v>419</v>
      </c>
      <c r="AY25" s="324">
        <v>454</v>
      </c>
      <c r="AZ25" s="324">
        <v>461</v>
      </c>
      <c r="BA25" s="324">
        <v>0</v>
      </c>
    </row>
    <row r="26" spans="1:53" x14ac:dyDescent="0.25">
      <c r="A26" s="324" t="s">
        <v>882</v>
      </c>
      <c r="B26" s="324">
        <v>30</v>
      </c>
      <c r="C26" s="324">
        <v>31</v>
      </c>
      <c r="D26" s="324">
        <v>33</v>
      </c>
      <c r="E26" s="324">
        <v>32</v>
      </c>
      <c r="F26" s="324">
        <v>29</v>
      </c>
      <c r="G26" s="324">
        <v>32</v>
      </c>
      <c r="H26" s="324">
        <v>38</v>
      </c>
      <c r="I26" s="324">
        <v>39</v>
      </c>
      <c r="J26" s="324">
        <v>35</v>
      </c>
      <c r="K26" s="324">
        <v>32</v>
      </c>
      <c r="L26" s="324">
        <v>34</v>
      </c>
      <c r="M26" s="324">
        <v>37</v>
      </c>
      <c r="N26" s="324">
        <v>35</v>
      </c>
      <c r="O26" s="324">
        <v>32</v>
      </c>
      <c r="P26" s="324">
        <v>32</v>
      </c>
      <c r="Q26" s="324">
        <v>35</v>
      </c>
      <c r="R26" s="324">
        <v>34</v>
      </c>
      <c r="S26" s="324">
        <v>37</v>
      </c>
      <c r="T26" s="324">
        <v>39</v>
      </c>
      <c r="U26" s="324">
        <v>35</v>
      </c>
      <c r="V26" s="324">
        <v>34</v>
      </c>
      <c r="W26" s="324">
        <v>36</v>
      </c>
      <c r="X26" s="324">
        <v>35</v>
      </c>
      <c r="Y26" s="324">
        <v>38</v>
      </c>
      <c r="Z26" s="324">
        <v>26</v>
      </c>
      <c r="AA26" s="324">
        <v>31</v>
      </c>
      <c r="AB26" s="324">
        <v>33</v>
      </c>
      <c r="AC26" s="324">
        <v>43</v>
      </c>
      <c r="AD26" s="324">
        <v>40</v>
      </c>
      <c r="AE26" s="324">
        <v>39</v>
      </c>
      <c r="AF26" s="324">
        <v>43</v>
      </c>
      <c r="AG26" s="324">
        <v>49</v>
      </c>
      <c r="AH26" s="324">
        <v>49</v>
      </c>
      <c r="AI26" s="324">
        <v>42</v>
      </c>
      <c r="AJ26" s="324">
        <v>44</v>
      </c>
      <c r="AK26" s="324">
        <v>47</v>
      </c>
      <c r="AL26" s="324">
        <v>54</v>
      </c>
      <c r="AM26" s="324">
        <v>62</v>
      </c>
      <c r="AN26" s="324">
        <v>66</v>
      </c>
      <c r="AO26" s="324">
        <v>65</v>
      </c>
      <c r="AP26" s="324">
        <v>66</v>
      </c>
      <c r="AQ26" s="324">
        <v>69</v>
      </c>
      <c r="AR26" s="324">
        <v>82</v>
      </c>
      <c r="AS26" s="324">
        <v>84</v>
      </c>
      <c r="AT26" s="324">
        <v>99</v>
      </c>
      <c r="AU26" s="324">
        <v>102</v>
      </c>
      <c r="AV26" s="324">
        <v>103</v>
      </c>
      <c r="AW26" s="324">
        <v>99</v>
      </c>
      <c r="AX26" s="324">
        <v>100</v>
      </c>
      <c r="AY26" s="324">
        <v>92</v>
      </c>
      <c r="AZ26" s="324">
        <v>93</v>
      </c>
      <c r="BA26" s="324">
        <v>0</v>
      </c>
    </row>
    <row r="27" spans="1:53" ht="16.5" thickBot="1" x14ac:dyDescent="0.3">
      <c r="A27" s="325" t="s">
        <v>883</v>
      </c>
      <c r="B27" s="325">
        <v>6</v>
      </c>
      <c r="C27" s="325">
        <v>6</v>
      </c>
      <c r="D27" s="325">
        <v>6</v>
      </c>
      <c r="E27" s="325">
        <v>6</v>
      </c>
      <c r="F27" s="325">
        <v>6</v>
      </c>
      <c r="G27" s="325">
        <v>6</v>
      </c>
      <c r="H27" s="325">
        <v>5</v>
      </c>
      <c r="I27" s="325">
        <v>5</v>
      </c>
      <c r="J27" s="325">
        <v>5</v>
      </c>
      <c r="K27" s="325">
        <v>5</v>
      </c>
      <c r="L27" s="325">
        <v>5</v>
      </c>
      <c r="M27" s="325">
        <v>5</v>
      </c>
      <c r="N27" s="325">
        <v>6</v>
      </c>
      <c r="O27" s="325">
        <v>7</v>
      </c>
      <c r="P27" s="325">
        <v>7</v>
      </c>
      <c r="Q27" s="325">
        <v>7</v>
      </c>
      <c r="R27" s="325">
        <v>6</v>
      </c>
      <c r="S27" s="325">
        <v>8</v>
      </c>
      <c r="T27" s="325">
        <v>2</v>
      </c>
      <c r="U27" s="325">
        <v>2</v>
      </c>
      <c r="V27" s="325">
        <v>1</v>
      </c>
      <c r="W27" s="325">
        <v>1</v>
      </c>
      <c r="X27" s="325">
        <v>1</v>
      </c>
      <c r="Y27" s="325">
        <v>2</v>
      </c>
      <c r="Z27" s="325">
        <v>0</v>
      </c>
      <c r="AA27" s="325">
        <v>0</v>
      </c>
      <c r="AB27" s="325">
        <v>0</v>
      </c>
      <c r="AC27" s="325">
        <v>0</v>
      </c>
      <c r="AD27" s="325">
        <v>0</v>
      </c>
      <c r="AE27" s="325">
        <v>0</v>
      </c>
      <c r="AF27" s="325">
        <v>0</v>
      </c>
      <c r="AG27" s="325">
        <v>0</v>
      </c>
      <c r="AH27" s="325">
        <v>0</v>
      </c>
      <c r="AI27" s="325">
        <v>0</v>
      </c>
      <c r="AJ27" s="325">
        <v>0</v>
      </c>
      <c r="AK27" s="325">
        <v>0</v>
      </c>
      <c r="AL27" s="325">
        <v>0</v>
      </c>
      <c r="AM27" s="325">
        <v>0</v>
      </c>
      <c r="AN27" s="325">
        <v>0</v>
      </c>
      <c r="AO27" s="325">
        <v>0</v>
      </c>
      <c r="AP27" s="325">
        <v>0</v>
      </c>
      <c r="AQ27" s="325">
        <v>0</v>
      </c>
      <c r="AR27" s="325">
        <v>0</v>
      </c>
      <c r="AS27" s="325">
        <v>0</v>
      </c>
      <c r="AT27" s="325">
        <v>2</v>
      </c>
      <c r="AU27" s="325">
        <v>3</v>
      </c>
      <c r="AV27" s="325">
        <v>3</v>
      </c>
      <c r="AW27" s="325">
        <v>4</v>
      </c>
      <c r="AX27" s="325">
        <v>6</v>
      </c>
      <c r="AY27" s="325">
        <v>6</v>
      </c>
      <c r="AZ27" s="325">
        <v>6</v>
      </c>
      <c r="BA27" s="325">
        <v>0</v>
      </c>
    </row>
    <row r="28" spans="1:53" x14ac:dyDescent="0.25">
      <c r="A28" s="326" t="s">
        <v>734</v>
      </c>
      <c r="B28" s="326">
        <v>2278</v>
      </c>
      <c r="C28" s="326">
        <v>3055</v>
      </c>
      <c r="D28" s="326">
        <v>3336</v>
      </c>
      <c r="E28" s="326">
        <v>3899</v>
      </c>
      <c r="F28" s="326">
        <v>4751</v>
      </c>
      <c r="G28" s="326">
        <v>4421</v>
      </c>
      <c r="H28" s="326">
        <v>4097</v>
      </c>
      <c r="I28" s="326">
        <v>3460</v>
      </c>
      <c r="J28" s="326">
        <v>2895</v>
      </c>
      <c r="K28" s="326">
        <v>3464</v>
      </c>
      <c r="L28" s="326">
        <v>4011</v>
      </c>
      <c r="M28" s="326">
        <v>4067</v>
      </c>
      <c r="N28" s="326">
        <v>4254</v>
      </c>
      <c r="O28" s="326">
        <v>4114</v>
      </c>
      <c r="P28" s="326">
        <v>3791</v>
      </c>
      <c r="Q28" s="326">
        <v>3784</v>
      </c>
      <c r="R28" s="326">
        <v>3705</v>
      </c>
      <c r="S28" s="326">
        <v>3891</v>
      </c>
      <c r="T28" s="326">
        <v>3506</v>
      </c>
      <c r="U28" s="326">
        <v>2779</v>
      </c>
      <c r="V28" s="326">
        <v>2581</v>
      </c>
      <c r="W28" s="326">
        <v>2090</v>
      </c>
      <c r="X28" s="326">
        <v>1613</v>
      </c>
      <c r="Y28" s="326">
        <v>1349</v>
      </c>
      <c r="Z28" s="326">
        <v>5359</v>
      </c>
      <c r="AA28" s="326">
        <v>5551</v>
      </c>
      <c r="AB28" s="326">
        <v>5774</v>
      </c>
      <c r="AC28" s="326">
        <v>5539</v>
      </c>
      <c r="AD28" s="326">
        <v>5397</v>
      </c>
      <c r="AE28" s="326">
        <v>5183</v>
      </c>
      <c r="AF28" s="326">
        <v>4931</v>
      </c>
      <c r="AG28" s="326">
        <v>4812</v>
      </c>
      <c r="AH28" s="326">
        <v>4652</v>
      </c>
      <c r="AI28" s="326">
        <v>4427</v>
      </c>
      <c r="AJ28" s="326">
        <v>4234</v>
      </c>
      <c r="AK28" s="326">
        <v>4155</v>
      </c>
      <c r="AL28" s="326">
        <v>4282</v>
      </c>
      <c r="AM28" s="326">
        <v>4287</v>
      </c>
      <c r="AN28" s="326">
        <v>4312</v>
      </c>
      <c r="AO28" s="326">
        <v>4147</v>
      </c>
      <c r="AP28" s="326">
        <v>4136</v>
      </c>
      <c r="AQ28" s="326">
        <v>4392</v>
      </c>
      <c r="AR28" s="326">
        <v>4506</v>
      </c>
      <c r="AS28" s="326">
        <v>4915</v>
      </c>
      <c r="AT28" s="326">
        <v>4740</v>
      </c>
      <c r="AU28" s="326">
        <v>4942</v>
      </c>
      <c r="AV28" s="326">
        <v>5042</v>
      </c>
      <c r="AW28" s="326">
        <v>5092</v>
      </c>
      <c r="AX28" s="326">
        <v>5061</v>
      </c>
      <c r="AY28" s="326">
        <v>5544</v>
      </c>
      <c r="AZ28" s="326">
        <v>5802</v>
      </c>
      <c r="BA28" s="326">
        <v>0</v>
      </c>
    </row>
    <row r="29" spans="1:53" x14ac:dyDescent="0.25">
      <c r="A29" s="322" t="s">
        <v>734</v>
      </c>
      <c r="B29" s="323"/>
      <c r="C29" s="323"/>
      <c r="D29" s="323"/>
      <c r="E29" s="323"/>
      <c r="F29" s="323"/>
      <c r="G29" s="323"/>
      <c r="H29" s="323"/>
      <c r="I29" s="323"/>
      <c r="J29" s="323"/>
      <c r="K29" s="323"/>
      <c r="L29" s="323"/>
      <c r="M29" s="323"/>
      <c r="N29" s="323"/>
      <c r="O29" s="323"/>
      <c r="P29" s="323"/>
      <c r="Q29" s="323"/>
      <c r="R29" s="323"/>
      <c r="S29" s="323"/>
      <c r="T29" s="323"/>
      <c r="U29" s="323"/>
      <c r="V29" s="323"/>
      <c r="W29" s="323"/>
      <c r="X29" s="323"/>
      <c r="Y29" s="323"/>
      <c r="Z29" s="323"/>
      <c r="AA29" s="323"/>
      <c r="AB29" s="323"/>
      <c r="AC29" s="323"/>
      <c r="AD29" s="323"/>
      <c r="AE29" s="323"/>
      <c r="AF29" s="323"/>
      <c r="AG29" s="323"/>
      <c r="AH29" s="323"/>
      <c r="AI29" s="323"/>
      <c r="AJ29" s="323"/>
      <c r="AK29" s="323"/>
      <c r="AL29" s="323"/>
      <c r="AM29" s="323"/>
      <c r="AN29" s="323"/>
      <c r="AO29" s="323"/>
      <c r="AP29" s="323"/>
      <c r="AQ29" s="323"/>
      <c r="AR29" s="323"/>
      <c r="AS29" s="323"/>
      <c r="AT29" s="323"/>
      <c r="AU29" s="323"/>
      <c r="AV29" s="323"/>
      <c r="AW29" s="323"/>
      <c r="AX29" s="323"/>
      <c r="AY29" s="323"/>
      <c r="AZ29" s="323"/>
      <c r="BA29" s="323"/>
    </row>
    <row r="30" spans="1:53" x14ac:dyDescent="0.25">
      <c r="A30" s="324" t="s">
        <v>880</v>
      </c>
      <c r="B30" s="324">
        <f t="shared" ref="B30:AK33" si="0">SUM(B18,B24)</f>
        <v>20445</v>
      </c>
      <c r="C30" s="324">
        <f t="shared" si="0"/>
        <v>24887</v>
      </c>
      <c r="D30" s="324">
        <f t="shared" si="0"/>
        <v>26298</v>
      </c>
      <c r="E30" s="324">
        <f t="shared" si="0"/>
        <v>27240</v>
      </c>
      <c r="F30" s="324">
        <f t="shared" si="0"/>
        <v>27862</v>
      </c>
      <c r="G30" s="324">
        <f t="shared" si="0"/>
        <v>26198</v>
      </c>
      <c r="H30" s="324">
        <f t="shared" si="0"/>
        <v>24643</v>
      </c>
      <c r="I30" s="324">
        <f t="shared" si="0"/>
        <v>22163</v>
      </c>
      <c r="J30" s="324">
        <f t="shared" si="0"/>
        <v>23442</v>
      </c>
      <c r="K30" s="324">
        <f t="shared" si="0"/>
        <v>30064</v>
      </c>
      <c r="L30" s="324">
        <f t="shared" si="0"/>
        <v>30255</v>
      </c>
      <c r="M30" s="324">
        <f t="shared" si="0"/>
        <v>30196</v>
      </c>
      <c r="N30" s="324">
        <f t="shared" si="0"/>
        <v>30047</v>
      </c>
      <c r="O30" s="324">
        <f t="shared" si="0"/>
        <v>30130</v>
      </c>
      <c r="P30" s="324">
        <f t="shared" si="0"/>
        <v>31193</v>
      </c>
      <c r="Q30" s="324">
        <f t="shared" si="0"/>
        <v>33574</v>
      </c>
      <c r="R30" s="324">
        <f t="shared" si="0"/>
        <v>34978</v>
      </c>
      <c r="S30" s="324">
        <f t="shared" si="0"/>
        <v>35736</v>
      </c>
      <c r="T30" s="324">
        <f t="shared" si="0"/>
        <v>37718</v>
      </c>
      <c r="U30" s="324">
        <f t="shared" si="0"/>
        <v>39427</v>
      </c>
      <c r="V30" s="324">
        <f t="shared" si="0"/>
        <v>39767</v>
      </c>
      <c r="W30" s="324">
        <f t="shared" si="0"/>
        <v>36933</v>
      </c>
      <c r="X30" s="324">
        <f t="shared" si="0"/>
        <v>36194</v>
      </c>
      <c r="Y30" s="324">
        <f t="shared" si="0"/>
        <v>35881</v>
      </c>
      <c r="Z30" s="324">
        <f t="shared" si="0"/>
        <v>36746</v>
      </c>
      <c r="AA30" s="324">
        <f t="shared" si="0"/>
        <v>37367</v>
      </c>
      <c r="AB30" s="324">
        <f t="shared" si="0"/>
        <v>38315</v>
      </c>
      <c r="AC30" s="324">
        <f t="shared" si="0"/>
        <v>38940</v>
      </c>
      <c r="AD30" s="324">
        <f t="shared" si="0"/>
        <v>37715</v>
      </c>
      <c r="AE30" s="324">
        <f t="shared" si="0"/>
        <v>34263</v>
      </c>
      <c r="AF30" s="324">
        <f t="shared" si="0"/>
        <v>33237</v>
      </c>
      <c r="AG30" s="324">
        <f t="shared" si="0"/>
        <v>34585</v>
      </c>
      <c r="AH30" s="324">
        <f t="shared" si="0"/>
        <v>35453</v>
      </c>
      <c r="AI30" s="324">
        <f t="shared" si="0"/>
        <v>36490</v>
      </c>
      <c r="AJ30" s="324">
        <f t="shared" si="0"/>
        <v>36401</v>
      </c>
      <c r="AK30" s="324">
        <f t="shared" si="0"/>
        <v>35566</v>
      </c>
      <c r="AL30" s="324">
        <f>SUM(AL18,AL24)</f>
        <v>35574</v>
      </c>
      <c r="AM30" s="324">
        <f t="shared" ref="AM30:AO30" si="1">SUM(AM18,AM24)</f>
        <v>34858</v>
      </c>
      <c r="AN30" s="324">
        <f>SUM(AN18,AN24)</f>
        <v>34677</v>
      </c>
      <c r="AO30" s="324">
        <f t="shared" si="1"/>
        <v>34778</v>
      </c>
      <c r="AP30" s="324">
        <f>SUM(AP18,AP24)</f>
        <v>35851</v>
      </c>
      <c r="AQ30" s="324">
        <f t="shared" ref="AQ30:AS30" si="2">SUM(AQ18,AQ24)</f>
        <v>36272</v>
      </c>
      <c r="AR30" s="324">
        <f>SUM(AR18,AR24)</f>
        <v>36710</v>
      </c>
      <c r="AS30" s="324">
        <f t="shared" si="2"/>
        <v>37803</v>
      </c>
      <c r="AT30" s="324">
        <f>SUM(AT18,AT24)</f>
        <v>37260</v>
      </c>
      <c r="AU30" s="324">
        <f t="shared" ref="AU30:AW30" si="3">SUM(AU18,AU24)</f>
        <v>36142</v>
      </c>
      <c r="AV30" s="324">
        <f>SUM(AV18,AV24)</f>
        <v>36031</v>
      </c>
      <c r="AW30" s="324">
        <f t="shared" si="3"/>
        <v>37468</v>
      </c>
      <c r="AX30" s="324">
        <f>SUM(AX18,AX24)</f>
        <v>36984</v>
      </c>
      <c r="AY30" s="324">
        <f t="shared" ref="AY30:BA30" si="4">SUM(AY18,AY24)</f>
        <v>39234</v>
      </c>
      <c r="AZ30" s="324">
        <f>SUM(AZ18,AZ24)</f>
        <v>40257</v>
      </c>
      <c r="BA30" s="324">
        <f t="shared" si="4"/>
        <v>0</v>
      </c>
    </row>
    <row r="31" spans="1:53" x14ac:dyDescent="0.25">
      <c r="A31" s="324" t="s">
        <v>881</v>
      </c>
      <c r="B31" s="324">
        <f t="shared" si="0"/>
        <v>954</v>
      </c>
      <c r="C31" s="324">
        <f t="shared" si="0"/>
        <v>926</v>
      </c>
      <c r="D31" s="324">
        <f t="shared" si="0"/>
        <v>948</v>
      </c>
      <c r="E31" s="324">
        <f t="shared" si="0"/>
        <v>949</v>
      </c>
      <c r="F31" s="324">
        <f t="shared" si="0"/>
        <v>962</v>
      </c>
      <c r="G31" s="324">
        <f t="shared" si="0"/>
        <v>966</v>
      </c>
      <c r="H31" s="324">
        <f t="shared" si="0"/>
        <v>957</v>
      </c>
      <c r="I31" s="324">
        <f t="shared" si="0"/>
        <v>984</v>
      </c>
      <c r="J31" s="324">
        <f t="shared" si="0"/>
        <v>940</v>
      </c>
      <c r="K31" s="324">
        <f t="shared" si="0"/>
        <v>894</v>
      </c>
      <c r="L31" s="324">
        <f t="shared" si="0"/>
        <v>870</v>
      </c>
      <c r="M31" s="324">
        <f t="shared" si="0"/>
        <v>893</v>
      </c>
      <c r="N31" s="324">
        <f t="shared" si="0"/>
        <v>960</v>
      </c>
      <c r="O31" s="324">
        <f t="shared" si="0"/>
        <v>973</v>
      </c>
      <c r="P31" s="324">
        <f t="shared" si="0"/>
        <v>966</v>
      </c>
      <c r="Q31" s="324">
        <f t="shared" si="0"/>
        <v>1005</v>
      </c>
      <c r="R31" s="324">
        <f t="shared" si="0"/>
        <v>1076</v>
      </c>
      <c r="S31" s="324">
        <f t="shared" si="0"/>
        <v>1094</v>
      </c>
      <c r="T31" s="324">
        <f t="shared" si="0"/>
        <v>1124</v>
      </c>
      <c r="U31" s="324">
        <f t="shared" si="0"/>
        <v>1164</v>
      </c>
      <c r="V31" s="324">
        <f t="shared" si="0"/>
        <v>1226</v>
      </c>
      <c r="W31" s="324">
        <f t="shared" si="0"/>
        <v>1262</v>
      </c>
      <c r="X31" s="324">
        <f t="shared" si="0"/>
        <v>1315</v>
      </c>
      <c r="Y31" s="324">
        <f t="shared" si="0"/>
        <v>1410</v>
      </c>
      <c r="Z31" s="324">
        <f t="shared" si="0"/>
        <v>1613</v>
      </c>
      <c r="AA31" s="324">
        <f t="shared" si="0"/>
        <v>1638</v>
      </c>
      <c r="AB31" s="324">
        <f t="shared" si="0"/>
        <v>1698</v>
      </c>
      <c r="AC31" s="324">
        <f t="shared" si="0"/>
        <v>1726</v>
      </c>
      <c r="AD31" s="324">
        <f t="shared" si="0"/>
        <v>1906</v>
      </c>
      <c r="AE31" s="324">
        <f t="shared" si="0"/>
        <v>2027</v>
      </c>
      <c r="AF31" s="324">
        <f t="shared" si="0"/>
        <v>2209</v>
      </c>
      <c r="AG31" s="324">
        <f t="shared" si="0"/>
        <v>2237</v>
      </c>
      <c r="AH31" s="324">
        <f t="shared" si="0"/>
        <v>2258</v>
      </c>
      <c r="AI31" s="324">
        <f t="shared" si="0"/>
        <v>2142</v>
      </c>
      <c r="AJ31" s="324">
        <f t="shared" si="0"/>
        <v>2225</v>
      </c>
      <c r="AK31" s="324">
        <f t="shared" si="0"/>
        <v>2225</v>
      </c>
      <c r="AL31" s="324">
        <f t="shared" ref="AL31:BA33" si="5">SUM(AL19,AL25)</f>
        <v>2274</v>
      </c>
      <c r="AM31" s="324">
        <f t="shared" si="5"/>
        <v>2322</v>
      </c>
      <c r="AN31" s="324">
        <f t="shared" si="5"/>
        <v>2309</v>
      </c>
      <c r="AO31" s="324">
        <f t="shared" si="5"/>
        <v>2197</v>
      </c>
      <c r="AP31" s="324">
        <f t="shared" si="5"/>
        <v>2199</v>
      </c>
      <c r="AQ31" s="324">
        <f t="shared" si="5"/>
        <v>2214</v>
      </c>
      <c r="AR31" s="324">
        <f t="shared" si="5"/>
        <v>2249</v>
      </c>
      <c r="AS31" s="324">
        <f t="shared" si="5"/>
        <v>2367</v>
      </c>
      <c r="AT31" s="324">
        <f t="shared" si="5"/>
        <v>2401</v>
      </c>
      <c r="AU31" s="324">
        <f t="shared" si="5"/>
        <v>2434</v>
      </c>
      <c r="AV31" s="324">
        <f t="shared" si="5"/>
        <v>2483</v>
      </c>
      <c r="AW31" s="324">
        <f t="shared" si="5"/>
        <v>2616</v>
      </c>
      <c r="AX31" s="324">
        <f t="shared" si="5"/>
        <v>2737</v>
      </c>
      <c r="AY31" s="324">
        <f t="shared" si="5"/>
        <v>2849</v>
      </c>
      <c r="AZ31" s="324">
        <f t="shared" si="5"/>
        <v>2871</v>
      </c>
      <c r="BA31" s="324">
        <f t="shared" si="5"/>
        <v>0</v>
      </c>
    </row>
    <row r="32" spans="1:53" x14ac:dyDescent="0.25">
      <c r="A32" s="324" t="s">
        <v>882</v>
      </c>
      <c r="B32" s="324">
        <f t="shared" si="0"/>
        <v>257</v>
      </c>
      <c r="C32" s="324">
        <f t="shared" si="0"/>
        <v>250</v>
      </c>
      <c r="D32" s="324">
        <f t="shared" si="0"/>
        <v>250</v>
      </c>
      <c r="E32" s="324">
        <f t="shared" si="0"/>
        <v>239</v>
      </c>
      <c r="F32" s="324">
        <f t="shared" si="0"/>
        <v>227</v>
      </c>
      <c r="G32" s="324">
        <f t="shared" si="0"/>
        <v>221</v>
      </c>
      <c r="H32" s="324">
        <f t="shared" si="0"/>
        <v>238</v>
      </c>
      <c r="I32" s="324">
        <f t="shared" si="0"/>
        <v>243</v>
      </c>
      <c r="J32" s="324">
        <f t="shared" si="0"/>
        <v>248</v>
      </c>
      <c r="K32" s="324">
        <f t="shared" si="0"/>
        <v>234</v>
      </c>
      <c r="L32" s="324">
        <f t="shared" si="0"/>
        <v>236</v>
      </c>
      <c r="M32" s="324">
        <f t="shared" si="0"/>
        <v>246</v>
      </c>
      <c r="N32" s="324">
        <f t="shared" si="0"/>
        <v>242</v>
      </c>
      <c r="O32" s="324">
        <f t="shared" si="0"/>
        <v>232</v>
      </c>
      <c r="P32" s="324">
        <f t="shared" si="0"/>
        <v>223</v>
      </c>
      <c r="Q32" s="324">
        <f t="shared" si="0"/>
        <v>220</v>
      </c>
      <c r="R32" s="324">
        <f t="shared" si="0"/>
        <v>235</v>
      </c>
      <c r="S32" s="324">
        <f t="shared" si="0"/>
        <v>238</v>
      </c>
      <c r="T32" s="324">
        <f t="shared" si="0"/>
        <v>256</v>
      </c>
      <c r="U32" s="324">
        <f t="shared" si="0"/>
        <v>265</v>
      </c>
      <c r="V32" s="324">
        <f t="shared" si="0"/>
        <v>278</v>
      </c>
      <c r="W32" s="324">
        <f t="shared" si="0"/>
        <v>274</v>
      </c>
      <c r="X32" s="324">
        <f t="shared" si="0"/>
        <v>264</v>
      </c>
      <c r="Y32" s="324">
        <f t="shared" si="0"/>
        <v>264</v>
      </c>
      <c r="Z32" s="324">
        <f t="shared" si="0"/>
        <v>282</v>
      </c>
      <c r="AA32" s="324">
        <f t="shared" si="0"/>
        <v>293</v>
      </c>
      <c r="AB32" s="324">
        <f t="shared" si="0"/>
        <v>305</v>
      </c>
      <c r="AC32" s="324">
        <f t="shared" si="0"/>
        <v>321</v>
      </c>
      <c r="AD32" s="324">
        <f t="shared" si="0"/>
        <v>327</v>
      </c>
      <c r="AE32" s="324">
        <f t="shared" si="0"/>
        <v>357</v>
      </c>
      <c r="AF32" s="324">
        <f t="shared" si="0"/>
        <v>370</v>
      </c>
      <c r="AG32" s="324">
        <f t="shared" si="0"/>
        <v>371</v>
      </c>
      <c r="AH32" s="324">
        <f t="shared" si="0"/>
        <v>388</v>
      </c>
      <c r="AI32" s="324">
        <f t="shared" si="0"/>
        <v>396</v>
      </c>
      <c r="AJ32" s="324">
        <f t="shared" si="0"/>
        <v>418</v>
      </c>
      <c r="AK32" s="324">
        <f t="shared" si="0"/>
        <v>424</v>
      </c>
      <c r="AL32" s="324">
        <f t="shared" si="5"/>
        <v>463</v>
      </c>
      <c r="AM32" s="324">
        <f t="shared" si="5"/>
        <v>462</v>
      </c>
      <c r="AN32" s="324">
        <f t="shared" si="5"/>
        <v>477</v>
      </c>
      <c r="AO32" s="324">
        <f t="shared" si="5"/>
        <v>469</v>
      </c>
      <c r="AP32" s="324">
        <f t="shared" si="5"/>
        <v>485</v>
      </c>
      <c r="AQ32" s="324">
        <f t="shared" si="5"/>
        <v>502</v>
      </c>
      <c r="AR32" s="324">
        <f t="shared" si="5"/>
        <v>523</v>
      </c>
      <c r="AS32" s="324">
        <f t="shared" si="5"/>
        <v>542</v>
      </c>
      <c r="AT32" s="324">
        <f t="shared" si="5"/>
        <v>584</v>
      </c>
      <c r="AU32" s="324">
        <f t="shared" si="5"/>
        <v>577</v>
      </c>
      <c r="AV32" s="324">
        <f t="shared" si="5"/>
        <v>624</v>
      </c>
      <c r="AW32" s="324">
        <f t="shared" si="5"/>
        <v>651</v>
      </c>
      <c r="AX32" s="324">
        <f t="shared" si="5"/>
        <v>699</v>
      </c>
      <c r="AY32" s="324">
        <f t="shared" si="5"/>
        <v>713</v>
      </c>
      <c r="AZ32" s="324">
        <f t="shared" si="5"/>
        <v>688</v>
      </c>
      <c r="BA32" s="324">
        <f t="shared" si="5"/>
        <v>0</v>
      </c>
    </row>
    <row r="33" spans="1:53" ht="16.5" thickBot="1" x14ac:dyDescent="0.3">
      <c r="A33" s="325" t="s">
        <v>883</v>
      </c>
      <c r="B33" s="324">
        <f t="shared" si="0"/>
        <v>79</v>
      </c>
      <c r="C33" s="324">
        <f t="shared" si="0"/>
        <v>81</v>
      </c>
      <c r="D33" s="324">
        <f t="shared" si="0"/>
        <v>75</v>
      </c>
      <c r="E33" s="324">
        <f t="shared" si="0"/>
        <v>73</v>
      </c>
      <c r="F33" s="324">
        <f t="shared" si="0"/>
        <v>68</v>
      </c>
      <c r="G33" s="324">
        <f t="shared" si="0"/>
        <v>66</v>
      </c>
      <c r="H33" s="324">
        <f t="shared" si="0"/>
        <v>62</v>
      </c>
      <c r="I33" s="324">
        <f t="shared" si="0"/>
        <v>61</v>
      </c>
      <c r="J33" s="324">
        <f t="shared" si="0"/>
        <v>62</v>
      </c>
      <c r="K33" s="324">
        <f t="shared" si="0"/>
        <v>59</v>
      </c>
      <c r="L33" s="324">
        <f t="shared" si="0"/>
        <v>61</v>
      </c>
      <c r="M33" s="324">
        <f t="shared" si="0"/>
        <v>56</v>
      </c>
      <c r="N33" s="324">
        <f t="shared" si="0"/>
        <v>60</v>
      </c>
      <c r="O33" s="324">
        <f t="shared" si="0"/>
        <v>62</v>
      </c>
      <c r="P33" s="324">
        <f t="shared" si="0"/>
        <v>62</v>
      </c>
      <c r="Q33" s="324">
        <f t="shared" si="0"/>
        <v>58</v>
      </c>
      <c r="R33" s="324">
        <f t="shared" si="0"/>
        <v>58</v>
      </c>
      <c r="S33" s="324">
        <f t="shared" si="0"/>
        <v>61</v>
      </c>
      <c r="T33" s="324">
        <f t="shared" si="0"/>
        <v>65</v>
      </c>
      <c r="U33" s="324">
        <f t="shared" si="0"/>
        <v>61</v>
      </c>
      <c r="V33" s="324">
        <f t="shared" si="0"/>
        <v>56</v>
      </c>
      <c r="W33" s="324">
        <f t="shared" si="0"/>
        <v>56</v>
      </c>
      <c r="X33" s="324">
        <f t="shared" si="0"/>
        <v>54</v>
      </c>
      <c r="Y33" s="324">
        <f t="shared" si="0"/>
        <v>55</v>
      </c>
      <c r="Z33" s="324">
        <f t="shared" si="0"/>
        <v>61</v>
      </c>
      <c r="AA33" s="324">
        <f t="shared" si="0"/>
        <v>57</v>
      </c>
      <c r="AB33" s="324">
        <f t="shared" si="0"/>
        <v>56</v>
      </c>
      <c r="AC33" s="324">
        <f t="shared" si="0"/>
        <v>56</v>
      </c>
      <c r="AD33" s="324">
        <f t="shared" si="0"/>
        <v>56</v>
      </c>
      <c r="AE33" s="324">
        <f t="shared" si="0"/>
        <v>55</v>
      </c>
      <c r="AF33" s="324">
        <f t="shared" si="0"/>
        <v>56</v>
      </c>
      <c r="AG33" s="324">
        <f t="shared" si="0"/>
        <v>55</v>
      </c>
      <c r="AH33" s="324">
        <f t="shared" si="0"/>
        <v>58</v>
      </c>
      <c r="AI33" s="324">
        <f t="shared" si="0"/>
        <v>57</v>
      </c>
      <c r="AJ33" s="324">
        <f t="shared" si="0"/>
        <v>58</v>
      </c>
      <c r="AK33" s="324">
        <f t="shared" si="0"/>
        <v>57</v>
      </c>
      <c r="AL33" s="324">
        <f t="shared" si="5"/>
        <v>56</v>
      </c>
      <c r="AM33" s="324">
        <f t="shared" si="5"/>
        <v>57</v>
      </c>
      <c r="AN33" s="324">
        <f t="shared" si="5"/>
        <v>56</v>
      </c>
      <c r="AO33" s="324">
        <f t="shared" si="5"/>
        <v>60</v>
      </c>
      <c r="AP33" s="324">
        <f t="shared" si="5"/>
        <v>62</v>
      </c>
      <c r="AQ33" s="324">
        <f t="shared" si="5"/>
        <v>59</v>
      </c>
      <c r="AR33" s="324">
        <f t="shared" si="5"/>
        <v>64</v>
      </c>
      <c r="AS33" s="324">
        <f t="shared" si="5"/>
        <v>65</v>
      </c>
      <c r="AT33" s="324">
        <f t="shared" si="5"/>
        <v>72</v>
      </c>
      <c r="AU33" s="324">
        <f t="shared" si="5"/>
        <v>73</v>
      </c>
      <c r="AV33" s="324">
        <f t="shared" si="5"/>
        <v>73</v>
      </c>
      <c r="AW33" s="324">
        <f t="shared" si="5"/>
        <v>73</v>
      </c>
      <c r="AX33" s="324">
        <f t="shared" si="5"/>
        <v>74</v>
      </c>
      <c r="AY33" s="324">
        <f t="shared" si="5"/>
        <v>68</v>
      </c>
      <c r="AZ33" s="324">
        <f t="shared" si="5"/>
        <v>72</v>
      </c>
      <c r="BA33" s="324">
        <f t="shared" si="5"/>
        <v>0</v>
      </c>
    </row>
    <row r="34" spans="1:53" x14ac:dyDescent="0.25">
      <c r="A34" s="326" t="s">
        <v>734</v>
      </c>
      <c r="B34" s="326">
        <f t="shared" ref="B34:C34" si="6">SUM(B30:B33)</f>
        <v>21735</v>
      </c>
      <c r="C34" s="326">
        <f t="shared" si="6"/>
        <v>26144</v>
      </c>
      <c r="D34" s="326">
        <f t="shared" ref="D34:BA34" si="7">SUM(D30:D33)</f>
        <v>27571</v>
      </c>
      <c r="E34" s="326">
        <f t="shared" si="7"/>
        <v>28501</v>
      </c>
      <c r="F34" s="326">
        <f t="shared" si="7"/>
        <v>29119</v>
      </c>
      <c r="G34" s="326">
        <f t="shared" si="7"/>
        <v>27451</v>
      </c>
      <c r="H34" s="326">
        <f t="shared" si="7"/>
        <v>25900</v>
      </c>
      <c r="I34" s="326">
        <f t="shared" si="7"/>
        <v>23451</v>
      </c>
      <c r="J34" s="326">
        <f t="shared" si="7"/>
        <v>24692</v>
      </c>
      <c r="K34" s="326">
        <f t="shared" si="7"/>
        <v>31251</v>
      </c>
      <c r="L34" s="326">
        <f t="shared" si="7"/>
        <v>31422</v>
      </c>
      <c r="M34" s="326">
        <f t="shared" si="7"/>
        <v>31391</v>
      </c>
      <c r="N34" s="326">
        <f t="shared" si="7"/>
        <v>31309</v>
      </c>
      <c r="O34" s="326">
        <f t="shared" si="7"/>
        <v>31397</v>
      </c>
      <c r="P34" s="326">
        <f t="shared" si="7"/>
        <v>32444</v>
      </c>
      <c r="Q34" s="326">
        <f t="shared" si="7"/>
        <v>34857</v>
      </c>
      <c r="R34" s="326">
        <f t="shared" si="7"/>
        <v>36347</v>
      </c>
      <c r="S34" s="326">
        <f t="shared" si="7"/>
        <v>37129</v>
      </c>
      <c r="T34" s="326">
        <f t="shared" si="7"/>
        <v>39163</v>
      </c>
      <c r="U34" s="326">
        <f t="shared" si="7"/>
        <v>40917</v>
      </c>
      <c r="V34" s="326">
        <f t="shared" si="7"/>
        <v>41327</v>
      </c>
      <c r="W34" s="326">
        <f t="shared" si="7"/>
        <v>38525</v>
      </c>
      <c r="X34" s="326">
        <f t="shared" si="7"/>
        <v>37827</v>
      </c>
      <c r="Y34" s="326">
        <f t="shared" si="7"/>
        <v>37610</v>
      </c>
      <c r="Z34" s="326">
        <f t="shared" si="7"/>
        <v>38702</v>
      </c>
      <c r="AA34" s="326">
        <f t="shared" si="7"/>
        <v>39355</v>
      </c>
      <c r="AB34" s="326">
        <f t="shared" si="7"/>
        <v>40374</v>
      </c>
      <c r="AC34" s="326">
        <f t="shared" si="7"/>
        <v>41043</v>
      </c>
      <c r="AD34" s="326">
        <f t="shared" si="7"/>
        <v>40004</v>
      </c>
      <c r="AE34" s="326">
        <f t="shared" si="7"/>
        <v>36702</v>
      </c>
      <c r="AF34" s="326">
        <f t="shared" si="7"/>
        <v>35872</v>
      </c>
      <c r="AG34" s="326">
        <f t="shared" si="7"/>
        <v>37248</v>
      </c>
      <c r="AH34" s="326">
        <f t="shared" si="7"/>
        <v>38157</v>
      </c>
      <c r="AI34" s="326">
        <f t="shared" si="7"/>
        <v>39085</v>
      </c>
      <c r="AJ34" s="326">
        <f t="shared" si="7"/>
        <v>39102</v>
      </c>
      <c r="AK34" s="326">
        <f t="shared" si="7"/>
        <v>38272</v>
      </c>
      <c r="AL34" s="326">
        <f t="shared" si="7"/>
        <v>38367</v>
      </c>
      <c r="AM34" s="326">
        <f t="shared" si="7"/>
        <v>37699</v>
      </c>
      <c r="AN34" s="326">
        <f t="shared" si="7"/>
        <v>37519</v>
      </c>
      <c r="AO34" s="326">
        <f t="shared" si="7"/>
        <v>37504</v>
      </c>
      <c r="AP34" s="326">
        <f t="shared" si="7"/>
        <v>38597</v>
      </c>
      <c r="AQ34" s="326">
        <f t="shared" si="7"/>
        <v>39047</v>
      </c>
      <c r="AR34" s="326">
        <f t="shared" si="7"/>
        <v>39546</v>
      </c>
      <c r="AS34" s="326">
        <f t="shared" si="7"/>
        <v>40777</v>
      </c>
      <c r="AT34" s="326">
        <f t="shared" si="7"/>
        <v>40317</v>
      </c>
      <c r="AU34" s="326">
        <f t="shared" si="7"/>
        <v>39226</v>
      </c>
      <c r="AV34" s="326">
        <f t="shared" si="7"/>
        <v>39211</v>
      </c>
      <c r="AW34" s="326">
        <f t="shared" si="7"/>
        <v>40808</v>
      </c>
      <c r="AX34" s="326">
        <f t="shared" si="7"/>
        <v>40494</v>
      </c>
      <c r="AY34" s="326">
        <f t="shared" si="7"/>
        <v>42864</v>
      </c>
      <c r="AZ34" s="326">
        <f t="shared" si="7"/>
        <v>43888</v>
      </c>
      <c r="BA34" s="326">
        <f t="shared" si="7"/>
        <v>0</v>
      </c>
    </row>
  </sheetData>
  <mergeCells count="54">
    <mergeCell ref="J5:K5"/>
    <mergeCell ref="A4:A6"/>
    <mergeCell ref="B5:C5"/>
    <mergeCell ref="D5:E5"/>
    <mergeCell ref="F5:G5"/>
    <mergeCell ref="H5:I5"/>
    <mergeCell ref="AH5:AI5"/>
    <mergeCell ref="L5:M5"/>
    <mergeCell ref="N5:O5"/>
    <mergeCell ref="P5:Q5"/>
    <mergeCell ref="R5:S5"/>
    <mergeCell ref="T5:U5"/>
    <mergeCell ref="V5:W5"/>
    <mergeCell ref="X5:Y5"/>
    <mergeCell ref="Z5:AA5"/>
    <mergeCell ref="AB5:AC5"/>
    <mergeCell ref="AD5:AE5"/>
    <mergeCell ref="AF5:AG5"/>
    <mergeCell ref="AV5:AW5"/>
    <mergeCell ref="AX5:AY5"/>
    <mergeCell ref="AZ5:BA5"/>
    <mergeCell ref="A14:A16"/>
    <mergeCell ref="B15:C15"/>
    <mergeCell ref="D15:E15"/>
    <mergeCell ref="F15:G15"/>
    <mergeCell ref="H15:I15"/>
    <mergeCell ref="J15:K15"/>
    <mergeCell ref="L15:M15"/>
    <mergeCell ref="AJ5:AK5"/>
    <mergeCell ref="AL5:AM5"/>
    <mergeCell ref="AN5:AO5"/>
    <mergeCell ref="AP5:AQ5"/>
    <mergeCell ref="AR5:AS5"/>
    <mergeCell ref="AT5:AU5"/>
    <mergeCell ref="AJ15:AK15"/>
    <mergeCell ref="N15:O15"/>
    <mergeCell ref="P15:Q15"/>
    <mergeCell ref="R15:S15"/>
    <mergeCell ref="T15:U15"/>
    <mergeCell ref="V15:W15"/>
    <mergeCell ref="X15:Y15"/>
    <mergeCell ref="Z15:AA15"/>
    <mergeCell ref="AB15:AC15"/>
    <mergeCell ref="AD15:AE15"/>
    <mergeCell ref="AF15:AG15"/>
    <mergeCell ref="AH15:AI15"/>
    <mergeCell ref="AX15:AY15"/>
    <mergeCell ref="AZ15:BA15"/>
    <mergeCell ref="AL15:AM15"/>
    <mergeCell ref="AN15:AO15"/>
    <mergeCell ref="AP15:AQ15"/>
    <mergeCell ref="AR15:AS15"/>
    <mergeCell ref="AT15:AU15"/>
    <mergeCell ref="AV15:AW15"/>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686726-629E-4D6A-9E0E-EF931327158E}">
  <dimension ref="A1:L148"/>
  <sheetViews>
    <sheetView showGridLines="0" zoomScale="80" zoomScaleNormal="80" workbookViewId="0">
      <selection activeCell="A23" sqref="A23"/>
    </sheetView>
  </sheetViews>
  <sheetFormatPr defaultRowHeight="15" x14ac:dyDescent="0.25"/>
  <cols>
    <col min="1" max="1" width="35.85546875" customWidth="1"/>
    <col min="2" max="2" width="11.140625" customWidth="1"/>
    <col min="3" max="3" width="10.85546875" customWidth="1"/>
  </cols>
  <sheetData>
    <row r="1" spans="1:12" ht="71.45" customHeight="1" x14ac:dyDescent="0.3">
      <c r="A1" s="423" t="s">
        <v>884</v>
      </c>
      <c r="B1" s="424"/>
      <c r="C1" s="424"/>
      <c r="D1" s="424"/>
      <c r="E1" s="424"/>
      <c r="F1" s="424"/>
      <c r="G1" s="424"/>
      <c r="H1" s="424"/>
      <c r="I1" s="424"/>
      <c r="J1" s="424"/>
      <c r="K1" s="424"/>
      <c r="L1" s="424"/>
    </row>
    <row r="2" spans="1:12" ht="12.6" customHeight="1" x14ac:dyDescent="0.25"/>
    <row r="3" spans="1:12" ht="16.5" thickBot="1" x14ac:dyDescent="0.3">
      <c r="A3" s="307" t="s">
        <v>885</v>
      </c>
      <c r="B3" s="43"/>
      <c r="C3" s="43"/>
    </row>
    <row r="4" spans="1:12" ht="15.75" x14ac:dyDescent="0.25">
      <c r="A4" s="327" t="s">
        <v>825</v>
      </c>
      <c r="B4" s="328" t="s">
        <v>886</v>
      </c>
    </row>
    <row r="5" spans="1:12" ht="15.75" x14ac:dyDescent="0.25">
      <c r="A5" s="329" t="s">
        <v>887</v>
      </c>
      <c r="B5" s="330">
        <v>15</v>
      </c>
    </row>
    <row r="6" spans="1:12" ht="15.75" x14ac:dyDescent="0.25">
      <c r="A6" s="329" t="s">
        <v>888</v>
      </c>
      <c r="B6" s="330">
        <v>9</v>
      </c>
    </row>
    <row r="7" spans="1:12" ht="15.75" x14ac:dyDescent="0.25">
      <c r="A7" s="329" t="s">
        <v>889</v>
      </c>
      <c r="B7" s="330">
        <v>10</v>
      </c>
    </row>
    <row r="8" spans="1:12" ht="15.75" x14ac:dyDescent="0.25">
      <c r="A8" s="329" t="s">
        <v>890</v>
      </c>
      <c r="B8" s="330">
        <v>25</v>
      </c>
    </row>
    <row r="9" spans="1:12" ht="15.75" x14ac:dyDescent="0.25">
      <c r="A9" s="329" t="s">
        <v>891</v>
      </c>
      <c r="B9" s="330">
        <v>17</v>
      </c>
    </row>
    <row r="10" spans="1:12" ht="15.75" x14ac:dyDescent="0.25">
      <c r="A10" s="329" t="s">
        <v>827</v>
      </c>
      <c r="B10" s="330">
        <v>25</v>
      </c>
    </row>
    <row r="11" spans="1:12" ht="16.5" thickBot="1" x14ac:dyDescent="0.3">
      <c r="A11" s="331" t="s">
        <v>826</v>
      </c>
      <c r="B11" s="332">
        <v>24</v>
      </c>
    </row>
    <row r="13" spans="1:12" ht="16.5" thickBot="1" x14ac:dyDescent="0.3">
      <c r="A13" s="307" t="s">
        <v>892</v>
      </c>
      <c r="B13" s="43"/>
    </row>
    <row r="14" spans="1:12" ht="15.75" x14ac:dyDescent="0.25">
      <c r="A14" s="327" t="s">
        <v>825</v>
      </c>
      <c r="B14" s="328" t="s">
        <v>893</v>
      </c>
    </row>
    <row r="15" spans="1:12" ht="15.75" x14ac:dyDescent="0.25">
      <c r="A15" s="329" t="s">
        <v>887</v>
      </c>
      <c r="B15" s="330">
        <v>22</v>
      </c>
    </row>
    <row r="16" spans="1:12" ht="15.75" x14ac:dyDescent="0.25">
      <c r="A16" s="329" t="s">
        <v>888</v>
      </c>
      <c r="B16" s="330">
        <v>21</v>
      </c>
    </row>
    <row r="17" spans="1:2" ht="15.75" x14ac:dyDescent="0.25">
      <c r="A17" s="329" t="s">
        <v>889</v>
      </c>
      <c r="B17" s="330">
        <v>19</v>
      </c>
    </row>
    <row r="18" spans="1:2" ht="15.75" x14ac:dyDescent="0.25">
      <c r="A18" s="329" t="s">
        <v>890</v>
      </c>
      <c r="B18" s="330">
        <v>19</v>
      </c>
    </row>
    <row r="19" spans="1:2" ht="15.75" x14ac:dyDescent="0.25">
      <c r="A19" s="329" t="s">
        <v>891</v>
      </c>
      <c r="B19" s="330">
        <v>19</v>
      </c>
    </row>
    <row r="20" spans="1:2" ht="15.75" x14ac:dyDescent="0.25">
      <c r="A20" s="333" t="s">
        <v>827</v>
      </c>
      <c r="B20" s="334">
        <v>20</v>
      </c>
    </row>
    <row r="21" spans="1:2" ht="16.5" thickBot="1" x14ac:dyDescent="0.3">
      <c r="A21" s="331" t="s">
        <v>826</v>
      </c>
      <c r="B21" s="332">
        <v>22</v>
      </c>
    </row>
    <row r="22" spans="1:2" ht="15.75" x14ac:dyDescent="0.25">
      <c r="B22" s="335"/>
    </row>
    <row r="23" spans="1:2" ht="16.5" thickBot="1" x14ac:dyDescent="0.3">
      <c r="A23" s="307" t="s">
        <v>894</v>
      </c>
      <c r="B23" s="43"/>
    </row>
    <row r="24" spans="1:2" ht="15.75" x14ac:dyDescent="0.25">
      <c r="A24" s="327" t="s">
        <v>825</v>
      </c>
      <c r="B24" s="328" t="s">
        <v>801</v>
      </c>
    </row>
    <row r="25" spans="1:2" ht="15.75" x14ac:dyDescent="0.25">
      <c r="A25" s="329" t="s">
        <v>887</v>
      </c>
      <c r="B25" s="336">
        <v>12</v>
      </c>
    </row>
    <row r="26" spans="1:2" ht="15.75" x14ac:dyDescent="0.25">
      <c r="A26" s="329" t="s">
        <v>888</v>
      </c>
      <c r="B26" s="336">
        <v>3</v>
      </c>
    </row>
    <row r="27" spans="1:2" ht="15.75" x14ac:dyDescent="0.25">
      <c r="A27" s="329" t="s">
        <v>889</v>
      </c>
      <c r="B27" s="336">
        <v>9</v>
      </c>
    </row>
    <row r="28" spans="1:2" ht="15.75" x14ac:dyDescent="0.25">
      <c r="A28" s="329" t="s">
        <v>890</v>
      </c>
      <c r="B28" s="336">
        <v>11</v>
      </c>
    </row>
    <row r="29" spans="1:2" ht="15.75" x14ac:dyDescent="0.25">
      <c r="A29" s="329" t="s">
        <v>891</v>
      </c>
      <c r="B29" s="336">
        <v>8</v>
      </c>
    </row>
    <row r="30" spans="1:2" ht="15.75" x14ac:dyDescent="0.25">
      <c r="A30" s="329" t="s">
        <v>827</v>
      </c>
      <c r="B30" s="336">
        <v>14</v>
      </c>
    </row>
    <row r="31" spans="1:2" ht="16.5" thickBot="1" x14ac:dyDescent="0.3">
      <c r="A31" s="331" t="s">
        <v>826</v>
      </c>
      <c r="B31" s="332">
        <v>11</v>
      </c>
    </row>
    <row r="32" spans="1:2" ht="15.75" x14ac:dyDescent="0.25">
      <c r="B32" s="335"/>
    </row>
    <row r="33" spans="1:2" ht="16.5" thickBot="1" x14ac:dyDescent="0.3">
      <c r="A33" s="307" t="s">
        <v>895</v>
      </c>
      <c r="B33" s="43"/>
    </row>
    <row r="34" spans="1:2" ht="15.75" x14ac:dyDescent="0.25">
      <c r="A34" s="327" t="s">
        <v>825</v>
      </c>
      <c r="B34" s="328" t="s">
        <v>886</v>
      </c>
    </row>
    <row r="35" spans="1:2" ht="15.75" x14ac:dyDescent="0.25">
      <c r="A35" s="329" t="s">
        <v>887</v>
      </c>
      <c r="B35" s="336">
        <v>30</v>
      </c>
    </row>
    <row r="36" spans="1:2" ht="15.75" x14ac:dyDescent="0.25">
      <c r="A36" s="329" t="s">
        <v>888</v>
      </c>
      <c r="B36" s="336">
        <v>12</v>
      </c>
    </row>
    <row r="37" spans="1:2" ht="15.75" x14ac:dyDescent="0.25">
      <c r="A37" s="329" t="s">
        <v>889</v>
      </c>
      <c r="B37" s="336">
        <v>11</v>
      </c>
    </row>
    <row r="38" spans="1:2" ht="15.75" x14ac:dyDescent="0.25">
      <c r="A38" s="329" t="s">
        <v>890</v>
      </c>
      <c r="B38" s="336">
        <v>6</v>
      </c>
    </row>
    <row r="39" spans="1:2" ht="15.75" x14ac:dyDescent="0.25">
      <c r="A39" s="329" t="s">
        <v>896</v>
      </c>
      <c r="B39" s="336">
        <v>1</v>
      </c>
    </row>
    <row r="40" spans="1:2" ht="15.75" x14ac:dyDescent="0.25">
      <c r="A40" s="329" t="s">
        <v>827</v>
      </c>
      <c r="B40" s="336">
        <v>7</v>
      </c>
    </row>
    <row r="41" spans="1:2" ht="16.5" thickBot="1" x14ac:dyDescent="0.3">
      <c r="A41" s="331" t="s">
        <v>826</v>
      </c>
      <c r="B41" s="332">
        <v>13</v>
      </c>
    </row>
    <row r="43" spans="1:2" ht="16.5" thickBot="1" x14ac:dyDescent="0.3">
      <c r="A43" s="307" t="s">
        <v>897</v>
      </c>
      <c r="B43" s="43"/>
    </row>
    <row r="44" spans="1:2" ht="15.75" x14ac:dyDescent="0.25">
      <c r="A44" s="327" t="s">
        <v>825</v>
      </c>
      <c r="B44" s="328" t="s">
        <v>893</v>
      </c>
    </row>
    <row r="45" spans="1:2" ht="15.75" x14ac:dyDescent="0.25">
      <c r="A45" s="329" t="s">
        <v>887</v>
      </c>
      <c r="B45" s="336">
        <v>19</v>
      </c>
    </row>
    <row r="46" spans="1:2" ht="15.75" x14ac:dyDescent="0.25">
      <c r="A46" s="329" t="s">
        <v>888</v>
      </c>
      <c r="B46" s="336">
        <v>8</v>
      </c>
    </row>
    <row r="47" spans="1:2" ht="15.75" x14ac:dyDescent="0.25">
      <c r="A47" s="329" t="s">
        <v>889</v>
      </c>
      <c r="B47" s="336">
        <v>9</v>
      </c>
    </row>
    <row r="48" spans="1:2" ht="15.75" x14ac:dyDescent="0.25">
      <c r="A48" s="329" t="s">
        <v>890</v>
      </c>
      <c r="B48" s="336">
        <v>4</v>
      </c>
    </row>
    <row r="49" spans="1:2" ht="15.75" x14ac:dyDescent="0.25">
      <c r="A49" s="329" t="s">
        <v>896</v>
      </c>
      <c r="B49" s="336">
        <v>1</v>
      </c>
    </row>
    <row r="50" spans="1:2" ht="15.75" x14ac:dyDescent="0.25">
      <c r="A50" s="329" t="s">
        <v>827</v>
      </c>
      <c r="B50" s="336">
        <v>4</v>
      </c>
    </row>
    <row r="51" spans="1:2" ht="16.5" thickBot="1" x14ac:dyDescent="0.3">
      <c r="A51" s="331" t="s">
        <v>826</v>
      </c>
      <c r="B51" s="332">
        <v>7</v>
      </c>
    </row>
    <row r="52" spans="1:2" ht="15.75" x14ac:dyDescent="0.25">
      <c r="B52" s="335"/>
    </row>
    <row r="53" spans="1:2" ht="16.5" thickBot="1" x14ac:dyDescent="0.3">
      <c r="A53" s="307" t="s">
        <v>898</v>
      </c>
      <c r="B53" s="43"/>
    </row>
    <row r="54" spans="1:2" ht="15.75" x14ac:dyDescent="0.25">
      <c r="A54" s="327" t="s">
        <v>825</v>
      </c>
      <c r="B54" s="328" t="s">
        <v>801</v>
      </c>
    </row>
    <row r="55" spans="1:2" ht="15.75" x14ac:dyDescent="0.25">
      <c r="A55" s="329" t="s">
        <v>887</v>
      </c>
      <c r="B55" s="336">
        <v>2</v>
      </c>
    </row>
    <row r="56" spans="1:2" ht="15.75" x14ac:dyDescent="0.25">
      <c r="A56" s="329" t="s">
        <v>888</v>
      </c>
      <c r="B56" s="336">
        <v>1</v>
      </c>
    </row>
    <row r="57" spans="1:2" ht="15.75" x14ac:dyDescent="0.25">
      <c r="A57" s="329" t="s">
        <v>889</v>
      </c>
      <c r="B57" s="336">
        <v>0</v>
      </c>
    </row>
    <row r="58" spans="1:2" ht="15.75" x14ac:dyDescent="0.25">
      <c r="A58" s="329" t="s">
        <v>890</v>
      </c>
      <c r="B58" s="336">
        <v>0</v>
      </c>
    </row>
    <row r="59" spans="1:2" ht="15.75" x14ac:dyDescent="0.25">
      <c r="A59" s="329" t="s">
        <v>891</v>
      </c>
      <c r="B59" s="336">
        <v>0</v>
      </c>
    </row>
    <row r="60" spans="1:2" ht="15.75" x14ac:dyDescent="0.25">
      <c r="A60" s="329" t="s">
        <v>827</v>
      </c>
      <c r="B60" s="336">
        <v>0</v>
      </c>
    </row>
    <row r="61" spans="1:2" ht="16.5" thickBot="1" x14ac:dyDescent="0.3">
      <c r="A61" s="331" t="s">
        <v>826</v>
      </c>
      <c r="B61" s="337">
        <v>0</v>
      </c>
    </row>
    <row r="62" spans="1:2" ht="15.75" x14ac:dyDescent="0.25">
      <c r="B62" s="335"/>
    </row>
    <row r="63" spans="1:2" ht="16.5" thickBot="1" x14ac:dyDescent="0.3">
      <c r="A63" s="307" t="s">
        <v>899</v>
      </c>
      <c r="B63" s="43"/>
    </row>
    <row r="64" spans="1:2" ht="15.75" x14ac:dyDescent="0.25">
      <c r="A64" s="327" t="s">
        <v>825</v>
      </c>
      <c r="B64" s="328" t="s">
        <v>886</v>
      </c>
    </row>
    <row r="65" spans="1:2" ht="15.75" x14ac:dyDescent="0.25">
      <c r="A65" s="329" t="s">
        <v>887</v>
      </c>
      <c r="B65" s="336">
        <v>24545</v>
      </c>
    </row>
    <row r="66" spans="1:2" ht="15.75" x14ac:dyDescent="0.25">
      <c r="A66" s="329" t="s">
        <v>888</v>
      </c>
      <c r="B66" s="336">
        <v>22976</v>
      </c>
    </row>
    <row r="67" spans="1:2" ht="15.75" x14ac:dyDescent="0.25">
      <c r="A67" s="329" t="s">
        <v>889</v>
      </c>
      <c r="B67" s="336">
        <v>16174</v>
      </c>
    </row>
    <row r="68" spans="1:2" ht="15.75" x14ac:dyDescent="0.25">
      <c r="A68" s="329" t="s">
        <v>890</v>
      </c>
      <c r="B68" s="336">
        <v>6941</v>
      </c>
    </row>
    <row r="69" spans="1:2" ht="15.75" x14ac:dyDescent="0.25">
      <c r="A69" s="329" t="s">
        <v>891</v>
      </c>
      <c r="B69" s="336">
        <v>5977</v>
      </c>
    </row>
    <row r="70" spans="1:2" ht="15.75" x14ac:dyDescent="0.25">
      <c r="A70" s="329" t="s">
        <v>827</v>
      </c>
      <c r="B70" s="336">
        <v>9042</v>
      </c>
    </row>
    <row r="71" spans="1:2" ht="16.5" thickBot="1" x14ac:dyDescent="0.3">
      <c r="A71" s="331" t="s">
        <v>826</v>
      </c>
      <c r="B71" s="332">
        <v>9739</v>
      </c>
    </row>
    <row r="73" spans="1:2" ht="16.5" thickBot="1" x14ac:dyDescent="0.3">
      <c r="A73" s="307" t="s">
        <v>900</v>
      </c>
      <c r="B73" s="43"/>
    </row>
    <row r="74" spans="1:2" ht="15.75" x14ac:dyDescent="0.25">
      <c r="A74" s="327" t="s">
        <v>825</v>
      </c>
      <c r="B74" s="328" t="s">
        <v>893</v>
      </c>
    </row>
    <row r="75" spans="1:2" ht="15.75" x14ac:dyDescent="0.25">
      <c r="A75" s="329" t="s">
        <v>887</v>
      </c>
      <c r="B75" s="336">
        <v>25793</v>
      </c>
    </row>
    <row r="76" spans="1:2" ht="15.75" x14ac:dyDescent="0.25">
      <c r="A76" s="329" t="s">
        <v>888</v>
      </c>
      <c r="B76" s="336">
        <v>24371</v>
      </c>
    </row>
    <row r="77" spans="1:2" ht="15.75" x14ac:dyDescent="0.25">
      <c r="A77" s="329" t="s">
        <v>889</v>
      </c>
      <c r="B77" s="336">
        <v>17657</v>
      </c>
    </row>
    <row r="78" spans="1:2" ht="15.75" x14ac:dyDescent="0.25">
      <c r="A78" s="329" t="s">
        <v>890</v>
      </c>
      <c r="B78" s="336">
        <v>7422</v>
      </c>
    </row>
    <row r="79" spans="1:2" ht="15.75" x14ac:dyDescent="0.25">
      <c r="A79" s="329" t="s">
        <v>891</v>
      </c>
      <c r="B79" s="336">
        <v>6468</v>
      </c>
    </row>
    <row r="80" spans="1:2" ht="15.75" x14ac:dyDescent="0.25">
      <c r="A80" s="329" t="s">
        <v>827</v>
      </c>
      <c r="B80" s="336">
        <v>9470</v>
      </c>
    </row>
    <row r="81" spans="1:8" ht="16.5" thickBot="1" x14ac:dyDescent="0.3">
      <c r="A81" s="331" t="s">
        <v>826</v>
      </c>
      <c r="B81" s="332">
        <v>9977</v>
      </c>
    </row>
    <row r="82" spans="1:8" ht="15.75" x14ac:dyDescent="0.25">
      <c r="B82" s="335"/>
    </row>
    <row r="83" spans="1:8" ht="16.5" thickBot="1" x14ac:dyDescent="0.3">
      <c r="A83" s="307" t="s">
        <v>901</v>
      </c>
      <c r="B83" s="43"/>
    </row>
    <row r="84" spans="1:8" ht="15.75" x14ac:dyDescent="0.25">
      <c r="A84" s="327" t="s">
        <v>825</v>
      </c>
      <c r="B84" s="328" t="s">
        <v>801</v>
      </c>
    </row>
    <row r="85" spans="1:8" ht="15.75" x14ac:dyDescent="0.25">
      <c r="A85" s="329" t="s">
        <v>887</v>
      </c>
      <c r="B85" s="336">
        <v>13632</v>
      </c>
    </row>
    <row r="86" spans="1:8" ht="15.75" x14ac:dyDescent="0.25">
      <c r="A86" s="329" t="s">
        <v>888</v>
      </c>
      <c r="B86" s="336">
        <v>13203</v>
      </c>
    </row>
    <row r="87" spans="1:8" ht="15.75" x14ac:dyDescent="0.25">
      <c r="A87" s="329" t="s">
        <v>889</v>
      </c>
      <c r="B87" s="336">
        <v>10998</v>
      </c>
    </row>
    <row r="88" spans="1:8" ht="15.75" x14ac:dyDescent="0.25">
      <c r="A88" s="329" t="s">
        <v>890</v>
      </c>
      <c r="B88" s="336">
        <v>64</v>
      </c>
    </row>
    <row r="89" spans="1:8" ht="15.75" x14ac:dyDescent="0.25">
      <c r="A89" s="329" t="s">
        <v>891</v>
      </c>
      <c r="B89" s="336">
        <v>4065</v>
      </c>
    </row>
    <row r="90" spans="1:8" ht="15.75" x14ac:dyDescent="0.25">
      <c r="A90" s="329" t="s">
        <v>827</v>
      </c>
      <c r="B90" s="336">
        <v>5801</v>
      </c>
    </row>
    <row r="91" spans="1:8" ht="16.5" thickBot="1" x14ac:dyDescent="0.3">
      <c r="A91" s="331" t="s">
        <v>826</v>
      </c>
      <c r="B91" s="332">
        <v>6458</v>
      </c>
    </row>
    <row r="92" spans="1:8" ht="15.75" x14ac:dyDescent="0.25">
      <c r="B92" s="335"/>
    </row>
    <row r="93" spans="1:8" ht="16.5" thickBot="1" x14ac:dyDescent="0.3">
      <c r="A93" s="307" t="s">
        <v>902</v>
      </c>
      <c r="B93" s="43"/>
    </row>
    <row r="94" spans="1:8" ht="15.75" x14ac:dyDescent="0.25">
      <c r="A94" s="327" t="s">
        <v>903</v>
      </c>
      <c r="B94" s="338" t="s">
        <v>887</v>
      </c>
      <c r="C94" s="338" t="s">
        <v>888</v>
      </c>
      <c r="D94" s="338" t="s">
        <v>889</v>
      </c>
      <c r="E94" s="338" t="s">
        <v>890</v>
      </c>
      <c r="F94" s="338" t="s">
        <v>896</v>
      </c>
      <c r="G94" s="338" t="s">
        <v>827</v>
      </c>
      <c r="H94" s="328" t="s">
        <v>826</v>
      </c>
    </row>
    <row r="95" spans="1:8" ht="15.75" x14ac:dyDescent="0.25">
      <c r="A95" s="329" t="s">
        <v>904</v>
      </c>
      <c r="B95" s="339"/>
      <c r="C95" s="339"/>
      <c r="D95" s="339"/>
      <c r="E95" s="339"/>
      <c r="F95" s="340">
        <v>23</v>
      </c>
      <c r="G95" s="340">
        <v>123</v>
      </c>
      <c r="H95" s="336">
        <v>70</v>
      </c>
    </row>
    <row r="96" spans="1:8" ht="15.75" x14ac:dyDescent="0.25">
      <c r="A96" s="329" t="s">
        <v>905</v>
      </c>
      <c r="B96" s="339">
        <v>0</v>
      </c>
      <c r="C96" s="339">
        <v>0</v>
      </c>
      <c r="D96" s="339">
        <v>0</v>
      </c>
      <c r="E96" s="340">
        <v>10</v>
      </c>
      <c r="F96" s="340">
        <v>37</v>
      </c>
      <c r="G96" s="340">
        <v>69</v>
      </c>
      <c r="H96" s="336">
        <v>56</v>
      </c>
    </row>
    <row r="97" spans="1:8" ht="15.75" x14ac:dyDescent="0.25">
      <c r="A97" s="329" t="s">
        <v>906</v>
      </c>
      <c r="B97" s="339"/>
      <c r="C97" s="339"/>
      <c r="D97" s="339"/>
      <c r="E97" s="339"/>
      <c r="F97" s="340">
        <v>54</v>
      </c>
      <c r="G97" s="340">
        <v>129</v>
      </c>
      <c r="H97" s="336">
        <v>70</v>
      </c>
    </row>
    <row r="98" spans="1:8" ht="15.75" x14ac:dyDescent="0.25">
      <c r="A98" s="329" t="s">
        <v>907</v>
      </c>
      <c r="B98" s="340">
        <v>10119</v>
      </c>
      <c r="C98" s="340">
        <v>9164</v>
      </c>
      <c r="D98" s="340">
        <v>6123</v>
      </c>
      <c r="E98" s="340">
        <v>5270</v>
      </c>
      <c r="F98" s="340">
        <v>6607</v>
      </c>
      <c r="G98" s="340">
        <v>5089</v>
      </c>
      <c r="H98" s="336">
        <v>4958</v>
      </c>
    </row>
    <row r="99" spans="1:8" ht="15.75" x14ac:dyDescent="0.25">
      <c r="A99" s="329" t="s">
        <v>908</v>
      </c>
      <c r="B99" s="339"/>
      <c r="C99" s="339"/>
      <c r="D99" s="339"/>
      <c r="E99" s="339"/>
      <c r="F99" s="339"/>
      <c r="G99" s="340">
        <v>39</v>
      </c>
      <c r="H99" s="336">
        <v>34</v>
      </c>
    </row>
    <row r="100" spans="1:8" ht="15.75" x14ac:dyDescent="0.25">
      <c r="A100" s="329" t="s">
        <v>909</v>
      </c>
      <c r="B100" s="339">
        <v>0</v>
      </c>
      <c r="C100" s="339">
        <v>0</v>
      </c>
      <c r="D100" s="339">
        <v>0</v>
      </c>
      <c r="E100" s="340">
        <v>1303</v>
      </c>
      <c r="F100" s="340">
        <v>4296</v>
      </c>
      <c r="G100" s="340">
        <v>1008</v>
      </c>
      <c r="H100" s="336">
        <v>551</v>
      </c>
    </row>
    <row r="101" spans="1:8" ht="15.75" x14ac:dyDescent="0.25">
      <c r="A101" s="329" t="s">
        <v>910</v>
      </c>
      <c r="B101" s="340">
        <v>13597</v>
      </c>
      <c r="C101" s="340">
        <v>13716</v>
      </c>
      <c r="D101" s="340">
        <v>9950</v>
      </c>
      <c r="E101" s="340">
        <v>10790</v>
      </c>
      <c r="F101" s="340">
        <v>16487</v>
      </c>
      <c r="G101" s="340">
        <v>11532</v>
      </c>
      <c r="H101" s="336">
        <v>12273</v>
      </c>
    </row>
    <row r="102" spans="1:8" ht="15.75" x14ac:dyDescent="0.25">
      <c r="A102" s="329" t="s">
        <v>911</v>
      </c>
      <c r="B102" s="340">
        <v>53</v>
      </c>
      <c r="C102" s="340">
        <v>34</v>
      </c>
      <c r="D102" s="340">
        <v>36</v>
      </c>
      <c r="E102" s="340">
        <v>11</v>
      </c>
      <c r="F102" s="340">
        <v>30</v>
      </c>
      <c r="G102" s="340">
        <v>58</v>
      </c>
      <c r="H102" s="336">
        <v>35</v>
      </c>
    </row>
    <row r="103" spans="1:8" ht="15.75" x14ac:dyDescent="0.25">
      <c r="A103" s="329" t="s">
        <v>912</v>
      </c>
      <c r="B103" s="340">
        <v>637</v>
      </c>
      <c r="C103" s="340">
        <v>823</v>
      </c>
      <c r="D103" s="340">
        <v>543</v>
      </c>
      <c r="E103" s="340">
        <v>2222</v>
      </c>
      <c r="F103" s="340">
        <v>10858</v>
      </c>
      <c r="G103" s="340">
        <v>21525</v>
      </c>
      <c r="H103" s="336">
        <v>8651</v>
      </c>
    </row>
    <row r="104" spans="1:8" ht="15.75" x14ac:dyDescent="0.25">
      <c r="A104" s="329" t="s">
        <v>913</v>
      </c>
      <c r="B104" s="340">
        <v>236</v>
      </c>
      <c r="C104" s="340">
        <v>132</v>
      </c>
      <c r="D104" s="340">
        <v>105</v>
      </c>
      <c r="E104" s="340">
        <v>52</v>
      </c>
      <c r="F104" s="340">
        <v>88</v>
      </c>
      <c r="G104" s="340">
        <v>194</v>
      </c>
      <c r="H104" s="336">
        <v>68</v>
      </c>
    </row>
    <row r="105" spans="1:8" ht="15.75" x14ac:dyDescent="0.25">
      <c r="A105" s="329" t="s">
        <v>914</v>
      </c>
      <c r="B105" s="340">
        <v>81</v>
      </c>
      <c r="C105" s="340">
        <v>40</v>
      </c>
      <c r="D105" s="340">
        <v>29</v>
      </c>
      <c r="E105" s="340">
        <v>12</v>
      </c>
      <c r="F105" s="340">
        <v>5</v>
      </c>
      <c r="G105" s="340">
        <v>8</v>
      </c>
      <c r="H105" s="336">
        <v>4</v>
      </c>
    </row>
    <row r="106" spans="1:8" ht="15.75" x14ac:dyDescent="0.25">
      <c r="A106" s="329" t="s">
        <v>915</v>
      </c>
      <c r="B106" s="340">
        <v>134</v>
      </c>
      <c r="C106" s="340">
        <v>82</v>
      </c>
      <c r="D106" s="340">
        <v>72</v>
      </c>
      <c r="E106" s="340">
        <v>29</v>
      </c>
      <c r="F106" s="340">
        <v>26</v>
      </c>
      <c r="G106" s="340">
        <v>38</v>
      </c>
      <c r="H106" s="336">
        <v>58</v>
      </c>
    </row>
    <row r="107" spans="1:8" ht="15.75" x14ac:dyDescent="0.25">
      <c r="A107" s="329" t="s">
        <v>916</v>
      </c>
      <c r="B107" s="340">
        <v>27</v>
      </c>
      <c r="C107" s="340">
        <v>19</v>
      </c>
      <c r="D107" s="340">
        <v>17</v>
      </c>
      <c r="E107" s="340">
        <v>7</v>
      </c>
      <c r="F107" s="340">
        <v>12</v>
      </c>
      <c r="G107" s="340">
        <v>25</v>
      </c>
      <c r="H107" s="336">
        <v>40</v>
      </c>
    </row>
    <row r="108" spans="1:8" ht="15.75" x14ac:dyDescent="0.25">
      <c r="A108" s="329" t="s">
        <v>917</v>
      </c>
      <c r="B108" s="339"/>
      <c r="C108" s="339"/>
      <c r="D108" s="339"/>
      <c r="E108" s="339"/>
      <c r="F108" s="340">
        <v>86</v>
      </c>
      <c r="G108" s="340">
        <v>199</v>
      </c>
      <c r="H108" s="336">
        <v>38</v>
      </c>
    </row>
    <row r="109" spans="1:8" ht="15.75" x14ac:dyDescent="0.25">
      <c r="A109" s="329" t="s">
        <v>918</v>
      </c>
      <c r="B109" s="339">
        <v>0</v>
      </c>
      <c r="C109" s="339">
        <v>0</v>
      </c>
      <c r="D109" s="339">
        <v>0</v>
      </c>
      <c r="E109" s="340">
        <v>2452</v>
      </c>
      <c r="F109" s="340">
        <v>17061</v>
      </c>
      <c r="G109" s="340">
        <v>17048</v>
      </c>
      <c r="H109" s="336">
        <v>4979</v>
      </c>
    </row>
    <row r="110" spans="1:8" ht="16.5" thickBot="1" x14ac:dyDescent="0.3">
      <c r="A110" s="331" t="s">
        <v>919</v>
      </c>
      <c r="B110" s="341">
        <v>51</v>
      </c>
      <c r="C110" s="341">
        <v>32</v>
      </c>
      <c r="D110" s="341">
        <v>14</v>
      </c>
      <c r="E110" s="341">
        <v>5</v>
      </c>
      <c r="F110" s="341">
        <v>24</v>
      </c>
      <c r="G110" s="341">
        <v>9</v>
      </c>
      <c r="H110" s="337">
        <v>11</v>
      </c>
    </row>
    <row r="112" spans="1:8" ht="16.5" thickBot="1" x14ac:dyDescent="0.3">
      <c r="A112" s="307" t="s">
        <v>920</v>
      </c>
      <c r="B112" s="43"/>
    </row>
    <row r="113" spans="1:8" ht="15.75" x14ac:dyDescent="0.25">
      <c r="A113" s="327" t="s">
        <v>903</v>
      </c>
      <c r="B113" s="338" t="s">
        <v>887</v>
      </c>
      <c r="C113" s="338" t="s">
        <v>888</v>
      </c>
      <c r="D113" s="338" t="s">
        <v>889</v>
      </c>
      <c r="E113" s="338" t="s">
        <v>890</v>
      </c>
      <c r="F113" s="338" t="s">
        <v>896</v>
      </c>
      <c r="G113" s="338" t="s">
        <v>827</v>
      </c>
      <c r="H113" s="328" t="s">
        <v>826</v>
      </c>
    </row>
    <row r="114" spans="1:8" ht="15.75" x14ac:dyDescent="0.25">
      <c r="A114" s="329" t="s">
        <v>904</v>
      </c>
      <c r="B114" s="339"/>
      <c r="C114" s="339"/>
      <c r="D114" s="339"/>
      <c r="E114" s="339"/>
      <c r="F114" s="340">
        <v>173</v>
      </c>
      <c r="G114" s="340">
        <v>649</v>
      </c>
      <c r="H114" s="336">
        <v>491</v>
      </c>
    </row>
    <row r="115" spans="1:8" ht="15.75" x14ac:dyDescent="0.25">
      <c r="A115" s="329" t="s">
        <v>905</v>
      </c>
      <c r="B115" s="339">
        <v>0</v>
      </c>
      <c r="C115" s="339">
        <v>0</v>
      </c>
      <c r="D115" s="339">
        <v>0</v>
      </c>
      <c r="E115" s="340">
        <v>10</v>
      </c>
      <c r="F115" s="340">
        <v>36</v>
      </c>
      <c r="G115" s="340">
        <v>49</v>
      </c>
      <c r="H115" s="336">
        <v>55</v>
      </c>
    </row>
    <row r="116" spans="1:8" ht="15.75" x14ac:dyDescent="0.25">
      <c r="A116" s="329" t="s">
        <v>906</v>
      </c>
      <c r="B116" s="339"/>
      <c r="C116" s="339"/>
      <c r="D116" s="339"/>
      <c r="E116" s="339"/>
      <c r="F116" s="340">
        <v>108</v>
      </c>
      <c r="G116" s="340">
        <v>689</v>
      </c>
      <c r="H116" s="336">
        <v>551</v>
      </c>
    </row>
    <row r="117" spans="1:8" ht="15.75" x14ac:dyDescent="0.25">
      <c r="A117" s="329" t="s">
        <v>907</v>
      </c>
      <c r="B117" s="340">
        <v>33169</v>
      </c>
      <c r="C117" s="340">
        <v>43408</v>
      </c>
      <c r="D117" s="340">
        <v>11108</v>
      </c>
      <c r="E117" s="340">
        <v>5137</v>
      </c>
      <c r="F117" s="340">
        <v>5367</v>
      </c>
      <c r="G117" s="340">
        <v>8904</v>
      </c>
      <c r="H117" s="336">
        <v>10786</v>
      </c>
    </row>
    <row r="118" spans="1:8" ht="15.75" x14ac:dyDescent="0.25">
      <c r="A118" s="329" t="s">
        <v>908</v>
      </c>
      <c r="B118" s="339"/>
      <c r="C118" s="339"/>
      <c r="D118" s="339"/>
      <c r="E118" s="339"/>
      <c r="F118" s="339"/>
      <c r="G118" s="340">
        <v>200</v>
      </c>
      <c r="H118" s="336">
        <v>282</v>
      </c>
    </row>
    <row r="119" spans="1:8" ht="15.75" x14ac:dyDescent="0.25">
      <c r="A119" s="329" t="s">
        <v>909</v>
      </c>
      <c r="B119" s="339">
        <v>0</v>
      </c>
      <c r="C119" s="339">
        <v>0</v>
      </c>
      <c r="D119" s="339">
        <v>0</v>
      </c>
      <c r="E119" s="340">
        <v>12331</v>
      </c>
      <c r="F119" s="340">
        <v>3926</v>
      </c>
      <c r="G119" s="340">
        <v>1684</v>
      </c>
      <c r="H119" s="336">
        <v>2239</v>
      </c>
    </row>
    <row r="120" spans="1:8" ht="15.75" x14ac:dyDescent="0.25">
      <c r="A120" s="329" t="s">
        <v>910</v>
      </c>
      <c r="B120" s="340">
        <v>62461</v>
      </c>
      <c r="C120" s="340">
        <v>104166</v>
      </c>
      <c r="D120" s="340">
        <v>16860</v>
      </c>
      <c r="E120" s="340">
        <v>13106</v>
      </c>
      <c r="F120" s="340">
        <v>11239</v>
      </c>
      <c r="G120" s="340">
        <v>21610</v>
      </c>
      <c r="H120" s="336">
        <v>27895</v>
      </c>
    </row>
    <row r="121" spans="1:8" ht="15.75" x14ac:dyDescent="0.25">
      <c r="A121" s="329" t="s">
        <v>911</v>
      </c>
      <c r="B121" s="340">
        <v>777</v>
      </c>
      <c r="C121" s="340">
        <v>371</v>
      </c>
      <c r="D121" s="340">
        <v>152</v>
      </c>
      <c r="E121" s="340">
        <v>384</v>
      </c>
      <c r="F121" s="340">
        <v>962</v>
      </c>
      <c r="G121" s="340">
        <v>835</v>
      </c>
      <c r="H121" s="336">
        <v>693</v>
      </c>
    </row>
    <row r="122" spans="1:8" ht="15.75" x14ac:dyDescent="0.25">
      <c r="A122" s="329" t="s">
        <v>912</v>
      </c>
      <c r="B122" s="340">
        <v>3428</v>
      </c>
      <c r="C122" s="340">
        <v>7893</v>
      </c>
      <c r="D122" s="340">
        <v>1467</v>
      </c>
      <c r="E122" s="340">
        <v>26920</v>
      </c>
      <c r="F122" s="340">
        <v>48045</v>
      </c>
      <c r="G122" s="340">
        <v>4448</v>
      </c>
      <c r="H122" s="336">
        <v>10335</v>
      </c>
    </row>
    <row r="123" spans="1:8" ht="15.75" x14ac:dyDescent="0.25">
      <c r="A123" s="329" t="s">
        <v>913</v>
      </c>
      <c r="B123" s="340">
        <v>290</v>
      </c>
      <c r="C123" s="340">
        <v>155</v>
      </c>
      <c r="D123" s="340">
        <v>129</v>
      </c>
      <c r="E123" s="340">
        <v>106</v>
      </c>
      <c r="F123" s="340">
        <v>502</v>
      </c>
      <c r="G123" s="340">
        <v>496</v>
      </c>
      <c r="H123" s="336">
        <v>191</v>
      </c>
    </row>
    <row r="124" spans="1:8" ht="15.75" x14ac:dyDescent="0.25">
      <c r="A124" s="329" t="s">
        <v>914</v>
      </c>
      <c r="B124" s="340">
        <v>113</v>
      </c>
      <c r="C124" s="340">
        <v>61</v>
      </c>
      <c r="D124" s="340">
        <v>39</v>
      </c>
      <c r="E124" s="340">
        <v>15</v>
      </c>
      <c r="F124" s="340">
        <v>9</v>
      </c>
      <c r="G124" s="340">
        <v>11</v>
      </c>
      <c r="H124" s="336">
        <v>7</v>
      </c>
    </row>
    <row r="125" spans="1:8" ht="15.75" x14ac:dyDescent="0.25">
      <c r="A125" s="329" t="s">
        <v>915</v>
      </c>
      <c r="B125" s="340">
        <v>121</v>
      </c>
      <c r="C125" s="340">
        <v>73</v>
      </c>
      <c r="D125" s="340">
        <v>68</v>
      </c>
      <c r="E125" s="340">
        <v>46</v>
      </c>
      <c r="F125" s="340">
        <v>58</v>
      </c>
      <c r="G125" s="340">
        <v>125</v>
      </c>
      <c r="H125" s="336">
        <v>508</v>
      </c>
    </row>
    <row r="126" spans="1:8" ht="15.75" x14ac:dyDescent="0.25">
      <c r="A126" s="329" t="s">
        <v>916</v>
      </c>
      <c r="B126" s="340">
        <v>41</v>
      </c>
      <c r="C126" s="340">
        <v>31</v>
      </c>
      <c r="D126" s="340">
        <v>21</v>
      </c>
      <c r="E126" s="340">
        <v>19</v>
      </c>
      <c r="F126" s="340">
        <v>107</v>
      </c>
      <c r="G126" s="340">
        <v>192</v>
      </c>
      <c r="H126" s="336">
        <v>269</v>
      </c>
    </row>
    <row r="127" spans="1:8" ht="15.75" x14ac:dyDescent="0.25">
      <c r="A127" s="329" t="s">
        <v>917</v>
      </c>
      <c r="B127" s="339"/>
      <c r="C127" s="339"/>
      <c r="D127" s="339"/>
      <c r="E127" s="339"/>
      <c r="F127" s="340">
        <v>75</v>
      </c>
      <c r="G127" s="340">
        <v>105</v>
      </c>
      <c r="H127" s="336">
        <v>106</v>
      </c>
    </row>
    <row r="128" spans="1:8" ht="15.75" x14ac:dyDescent="0.25">
      <c r="A128" s="329" t="s">
        <v>918</v>
      </c>
      <c r="B128" s="339">
        <v>0</v>
      </c>
      <c r="C128" s="339">
        <v>0</v>
      </c>
      <c r="D128" s="339">
        <v>0</v>
      </c>
      <c r="E128" s="340">
        <v>3823</v>
      </c>
      <c r="F128" s="340">
        <v>36644</v>
      </c>
      <c r="G128" s="340">
        <v>14918</v>
      </c>
      <c r="H128" s="336">
        <v>18343</v>
      </c>
    </row>
    <row r="129" spans="1:8" ht="16.5" thickBot="1" x14ac:dyDescent="0.3">
      <c r="A129" s="331" t="s">
        <v>919</v>
      </c>
      <c r="B129" s="341">
        <v>99</v>
      </c>
      <c r="C129" s="341">
        <v>83</v>
      </c>
      <c r="D129" s="341">
        <v>37</v>
      </c>
      <c r="E129" s="341">
        <v>43</v>
      </c>
      <c r="F129" s="341">
        <v>75</v>
      </c>
      <c r="G129" s="341">
        <v>42</v>
      </c>
      <c r="H129" s="337">
        <v>96</v>
      </c>
    </row>
    <row r="130" spans="1:8" ht="15.75" x14ac:dyDescent="0.25">
      <c r="A130" s="342"/>
      <c r="B130" s="343"/>
      <c r="C130" s="343"/>
      <c r="D130" s="343"/>
      <c r="E130" s="343"/>
      <c r="F130" s="343"/>
    </row>
    <row r="131" spans="1:8" ht="16.5" thickBot="1" x14ac:dyDescent="0.3">
      <c r="A131" s="307" t="s">
        <v>921</v>
      </c>
      <c r="B131" s="43"/>
    </row>
    <row r="132" spans="1:8" ht="15.75" x14ac:dyDescent="0.25">
      <c r="A132" s="327" t="s">
        <v>903</v>
      </c>
      <c r="B132" s="338" t="s">
        <v>887</v>
      </c>
      <c r="C132" s="338" t="s">
        <v>888</v>
      </c>
      <c r="D132" s="338" t="s">
        <v>889</v>
      </c>
      <c r="E132" s="338" t="s">
        <v>890</v>
      </c>
      <c r="F132" s="338" t="s">
        <v>896</v>
      </c>
      <c r="G132" s="338" t="s">
        <v>827</v>
      </c>
      <c r="H132" s="328" t="s">
        <v>826</v>
      </c>
    </row>
    <row r="133" spans="1:8" ht="15.75" x14ac:dyDescent="0.25">
      <c r="A133" s="329" t="s">
        <v>904</v>
      </c>
      <c r="B133" s="339"/>
      <c r="C133" s="339"/>
      <c r="D133" s="339"/>
      <c r="E133" s="339"/>
      <c r="F133" s="340">
        <v>8</v>
      </c>
      <c r="G133" s="340">
        <v>47</v>
      </c>
      <c r="H133" s="336">
        <v>122</v>
      </c>
    </row>
    <row r="134" spans="1:8" ht="15.75" x14ac:dyDescent="0.25">
      <c r="A134" s="329" t="s">
        <v>905</v>
      </c>
      <c r="B134" s="339">
        <v>0</v>
      </c>
      <c r="C134" s="339">
        <v>0</v>
      </c>
      <c r="D134" s="339">
        <v>0</v>
      </c>
      <c r="E134" s="340">
        <v>0</v>
      </c>
      <c r="F134" s="340">
        <v>1</v>
      </c>
      <c r="G134" s="340">
        <v>2</v>
      </c>
      <c r="H134" s="336">
        <v>1</v>
      </c>
    </row>
    <row r="135" spans="1:8" ht="15.75" x14ac:dyDescent="0.25">
      <c r="A135" s="329" t="s">
        <v>906</v>
      </c>
      <c r="B135" s="339"/>
      <c r="C135" s="339"/>
      <c r="D135" s="339"/>
      <c r="E135" s="339"/>
      <c r="F135" s="340">
        <v>5</v>
      </c>
      <c r="G135" s="340">
        <v>42</v>
      </c>
      <c r="H135" s="336">
        <v>24</v>
      </c>
    </row>
    <row r="136" spans="1:8" ht="15.75" x14ac:dyDescent="0.25">
      <c r="A136" s="329" t="s">
        <v>907</v>
      </c>
      <c r="B136" s="340">
        <v>15445</v>
      </c>
      <c r="C136" s="340">
        <v>18981</v>
      </c>
      <c r="D136" s="340">
        <v>12590</v>
      </c>
      <c r="E136" s="340">
        <v>2872</v>
      </c>
      <c r="F136" s="340">
        <v>7376</v>
      </c>
      <c r="G136" s="340">
        <v>8600</v>
      </c>
      <c r="H136" s="336">
        <v>15255</v>
      </c>
    </row>
    <row r="137" spans="1:8" ht="15.75" x14ac:dyDescent="0.25">
      <c r="A137" s="329" t="s">
        <v>908</v>
      </c>
      <c r="B137" s="339"/>
      <c r="C137" s="339"/>
      <c r="D137" s="339"/>
      <c r="E137" s="339"/>
      <c r="F137" s="339"/>
      <c r="G137" s="340">
        <v>37</v>
      </c>
      <c r="H137" s="336">
        <v>27</v>
      </c>
    </row>
    <row r="138" spans="1:8" ht="15.75" x14ac:dyDescent="0.25">
      <c r="A138" s="329" t="s">
        <v>909</v>
      </c>
      <c r="B138" s="339">
        <v>0</v>
      </c>
      <c r="C138" s="339">
        <v>0</v>
      </c>
      <c r="D138" s="339">
        <v>0</v>
      </c>
      <c r="E138" s="340">
        <v>16</v>
      </c>
      <c r="F138" s="340">
        <v>1612</v>
      </c>
      <c r="G138" s="340">
        <v>1115</v>
      </c>
      <c r="H138" s="336">
        <v>767</v>
      </c>
    </row>
    <row r="139" spans="1:8" ht="15.75" x14ac:dyDescent="0.25">
      <c r="A139" s="329" t="s">
        <v>910</v>
      </c>
      <c r="B139" s="340">
        <v>28894</v>
      </c>
      <c r="C139" s="340">
        <v>41800</v>
      </c>
      <c r="D139" s="340">
        <v>21139</v>
      </c>
      <c r="E139" s="340">
        <v>4904</v>
      </c>
      <c r="F139" s="340">
        <v>6541</v>
      </c>
      <c r="G139" s="340">
        <v>22631</v>
      </c>
      <c r="H139" s="336">
        <v>45535</v>
      </c>
    </row>
    <row r="140" spans="1:8" ht="15.75" x14ac:dyDescent="0.25">
      <c r="A140" s="329" t="s">
        <v>911</v>
      </c>
      <c r="B140" s="340">
        <v>45</v>
      </c>
      <c r="C140" s="340">
        <v>162</v>
      </c>
      <c r="D140" s="340">
        <v>97</v>
      </c>
      <c r="E140" s="340">
        <v>23</v>
      </c>
      <c r="F140" s="340">
        <v>32</v>
      </c>
      <c r="G140" s="340">
        <v>26</v>
      </c>
      <c r="H140" s="336">
        <v>57</v>
      </c>
    </row>
    <row r="141" spans="1:8" ht="15.75" x14ac:dyDescent="0.25">
      <c r="A141" s="329" t="s">
        <v>912</v>
      </c>
      <c r="B141" s="340">
        <v>879</v>
      </c>
      <c r="C141" s="340">
        <v>2240</v>
      </c>
      <c r="D141" s="340">
        <v>1416</v>
      </c>
      <c r="E141" s="340">
        <v>964</v>
      </c>
      <c r="F141" s="340">
        <v>2605</v>
      </c>
      <c r="G141" s="340">
        <v>2408</v>
      </c>
      <c r="H141" s="336">
        <v>3857</v>
      </c>
    </row>
    <row r="142" spans="1:8" ht="15.75" x14ac:dyDescent="0.25">
      <c r="A142" s="329" t="s">
        <v>913</v>
      </c>
      <c r="B142" s="340">
        <v>229</v>
      </c>
      <c r="C142" s="340">
        <v>151</v>
      </c>
      <c r="D142" s="340">
        <v>112</v>
      </c>
      <c r="E142" s="340">
        <v>47</v>
      </c>
      <c r="F142" s="340">
        <v>23</v>
      </c>
      <c r="G142" s="340">
        <v>47</v>
      </c>
      <c r="H142" s="336">
        <v>63</v>
      </c>
    </row>
    <row r="143" spans="1:8" ht="15.75" x14ac:dyDescent="0.25">
      <c r="A143" s="329" t="s">
        <v>914</v>
      </c>
      <c r="B143" s="340">
        <v>61</v>
      </c>
      <c r="C143" s="340">
        <v>65</v>
      </c>
      <c r="D143" s="340">
        <v>41</v>
      </c>
      <c r="E143" s="340">
        <v>22</v>
      </c>
      <c r="F143" s="340">
        <v>0</v>
      </c>
      <c r="G143" s="340">
        <v>4</v>
      </c>
      <c r="H143" s="336">
        <v>0</v>
      </c>
    </row>
    <row r="144" spans="1:8" ht="15.75" x14ac:dyDescent="0.25">
      <c r="A144" s="329" t="s">
        <v>915</v>
      </c>
      <c r="B144" s="340">
        <v>42</v>
      </c>
      <c r="C144" s="340">
        <v>18</v>
      </c>
      <c r="D144" s="340">
        <v>17</v>
      </c>
      <c r="E144" s="340">
        <v>4</v>
      </c>
      <c r="F144" s="340">
        <v>9</v>
      </c>
      <c r="G144" s="340">
        <v>15</v>
      </c>
      <c r="H144" s="336">
        <v>5</v>
      </c>
    </row>
    <row r="145" spans="1:8" ht="15.75" x14ac:dyDescent="0.25">
      <c r="A145" s="329" t="s">
        <v>916</v>
      </c>
      <c r="B145" s="340">
        <v>7</v>
      </c>
      <c r="C145" s="340">
        <v>9</v>
      </c>
      <c r="D145" s="340">
        <v>2</v>
      </c>
      <c r="E145" s="340">
        <v>0</v>
      </c>
      <c r="F145" s="340">
        <v>6</v>
      </c>
      <c r="G145" s="340">
        <v>19</v>
      </c>
      <c r="H145" s="336">
        <v>10</v>
      </c>
    </row>
    <row r="146" spans="1:8" ht="15.75" x14ac:dyDescent="0.25">
      <c r="A146" s="329" t="s">
        <v>917</v>
      </c>
      <c r="B146" s="339"/>
      <c r="C146" s="339"/>
      <c r="D146" s="339"/>
      <c r="E146" s="339"/>
      <c r="F146" s="340">
        <v>10</v>
      </c>
      <c r="G146" s="340">
        <v>41</v>
      </c>
      <c r="H146" s="336">
        <v>53</v>
      </c>
    </row>
    <row r="147" spans="1:8" ht="15.75" x14ac:dyDescent="0.25">
      <c r="A147" s="329" t="s">
        <v>918</v>
      </c>
      <c r="B147" s="339">
        <v>0</v>
      </c>
      <c r="C147" s="339">
        <v>0</v>
      </c>
      <c r="D147" s="339">
        <v>0</v>
      </c>
      <c r="E147" s="340">
        <v>18</v>
      </c>
      <c r="F147" s="340">
        <v>197</v>
      </c>
      <c r="G147" s="340">
        <v>894</v>
      </c>
      <c r="H147" s="336">
        <v>3249</v>
      </c>
    </row>
    <row r="148" spans="1:8" ht="16.5" thickBot="1" x14ac:dyDescent="0.3">
      <c r="A148" s="331" t="s">
        <v>919</v>
      </c>
      <c r="B148" s="341">
        <v>24</v>
      </c>
      <c r="C148" s="341">
        <v>46</v>
      </c>
      <c r="D148" s="341">
        <v>14</v>
      </c>
      <c r="E148" s="341">
        <v>6</v>
      </c>
      <c r="F148" s="341">
        <v>17</v>
      </c>
      <c r="G148" s="341">
        <v>12</v>
      </c>
      <c r="H148" s="337">
        <v>11</v>
      </c>
    </row>
  </sheetData>
  <mergeCells count="1">
    <mergeCell ref="A1:L1"/>
  </mergeCells>
  <pageMargins left="0.7" right="0.7" top="0.75" bottom="0.75" header="0.3" footer="0.3"/>
  <pageSetup orientation="portrait" horizontalDpi="1200" verticalDpi="12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2B6E66-2C6C-4E67-B939-1C8AF3682003}">
  <dimension ref="A1:P8"/>
  <sheetViews>
    <sheetView showGridLines="0" zoomScale="80" zoomScaleNormal="80" workbookViewId="0">
      <selection activeCell="F16" sqref="F16"/>
    </sheetView>
  </sheetViews>
  <sheetFormatPr defaultColWidth="8.85546875" defaultRowHeight="15.75" x14ac:dyDescent="0.25"/>
  <cols>
    <col min="1" max="1" width="64" style="43" customWidth="1"/>
    <col min="2" max="2" width="12.140625" style="43" customWidth="1"/>
    <col min="3" max="3" width="11.5703125" style="43" customWidth="1"/>
    <col min="4" max="4" width="10.140625" style="43" bestFit="1" customWidth="1"/>
    <col min="5" max="5" width="11" style="43" bestFit="1" customWidth="1"/>
    <col min="6" max="6" width="10.85546875" style="43" bestFit="1" customWidth="1"/>
    <col min="7" max="7" width="11.42578125" style="43" customWidth="1"/>
    <col min="8" max="8" width="13.85546875" style="43" customWidth="1"/>
    <col min="9" max="9" width="12.5703125" style="43" customWidth="1"/>
    <col min="10" max="10" width="12.42578125" style="43" customWidth="1"/>
    <col min="11" max="11" width="13.85546875" style="43" customWidth="1"/>
    <col min="12" max="13" width="10.140625" style="43" bestFit="1" customWidth="1"/>
    <col min="14" max="14" width="13.5703125" style="43" customWidth="1"/>
    <col min="15" max="15" width="11.85546875" style="43" customWidth="1"/>
    <col min="16" max="16" width="13.85546875" style="43" customWidth="1"/>
    <col min="17" max="16384" width="8.85546875" style="43"/>
  </cols>
  <sheetData>
    <row r="1" spans="1:16" x14ac:dyDescent="0.25">
      <c r="A1" s="307" t="s">
        <v>922</v>
      </c>
    </row>
    <row r="2" spans="1:16" ht="16.5" thickBot="1" x14ac:dyDescent="0.3"/>
    <row r="3" spans="1:16" x14ac:dyDescent="0.25">
      <c r="A3" s="327"/>
      <c r="B3" s="344">
        <v>45261</v>
      </c>
      <c r="C3" s="344">
        <v>45292</v>
      </c>
      <c r="D3" s="344">
        <v>45323</v>
      </c>
      <c r="E3" s="344">
        <v>45352</v>
      </c>
      <c r="F3" s="344">
        <v>45383</v>
      </c>
      <c r="G3" s="344">
        <v>45413</v>
      </c>
      <c r="H3" s="344">
        <v>45444</v>
      </c>
      <c r="I3" s="344">
        <v>45474</v>
      </c>
      <c r="J3" s="344">
        <v>45505</v>
      </c>
      <c r="K3" s="345">
        <v>45536</v>
      </c>
      <c r="L3" s="346">
        <v>45566</v>
      </c>
      <c r="M3" s="338">
        <v>45597</v>
      </c>
      <c r="N3" s="338">
        <v>45627</v>
      </c>
      <c r="O3" s="338">
        <v>45658</v>
      </c>
      <c r="P3" s="328">
        <v>45689</v>
      </c>
    </row>
    <row r="4" spans="1:16" x14ac:dyDescent="0.25">
      <c r="A4" s="329" t="s">
        <v>923</v>
      </c>
      <c r="B4" s="340">
        <v>20287</v>
      </c>
      <c r="C4" s="340">
        <v>19296</v>
      </c>
      <c r="D4" s="340">
        <v>22137</v>
      </c>
      <c r="E4" s="340">
        <v>24400</v>
      </c>
      <c r="F4" s="340">
        <v>23649</v>
      </c>
      <c r="G4" s="340">
        <v>25963</v>
      </c>
      <c r="H4" s="340">
        <v>23734</v>
      </c>
      <c r="I4" s="340">
        <v>24749</v>
      </c>
      <c r="J4" s="340">
        <v>23626</v>
      </c>
      <c r="K4" s="336">
        <v>20613</v>
      </c>
      <c r="L4" s="347">
        <v>21710</v>
      </c>
      <c r="M4" s="340">
        <v>20881</v>
      </c>
      <c r="N4" s="340">
        <v>20706</v>
      </c>
      <c r="O4" s="340">
        <v>19921</v>
      </c>
      <c r="P4" s="336">
        <v>13682</v>
      </c>
    </row>
    <row r="5" spans="1:16" x14ac:dyDescent="0.25">
      <c r="A5" s="329" t="s">
        <v>924</v>
      </c>
      <c r="B5" s="340">
        <v>1038</v>
      </c>
      <c r="C5" s="340">
        <v>780</v>
      </c>
      <c r="D5" s="340">
        <v>907</v>
      </c>
      <c r="E5" s="340">
        <v>1023</v>
      </c>
      <c r="F5" s="340">
        <v>1110</v>
      </c>
      <c r="G5" s="340">
        <v>1022</v>
      </c>
      <c r="H5" s="340">
        <v>952</v>
      </c>
      <c r="I5" s="340">
        <v>1006</v>
      </c>
      <c r="J5" s="340">
        <v>910</v>
      </c>
      <c r="K5" s="336">
        <v>820</v>
      </c>
      <c r="L5" s="347">
        <v>973</v>
      </c>
      <c r="M5" s="340">
        <v>726</v>
      </c>
      <c r="N5" s="340">
        <v>854</v>
      </c>
      <c r="O5" s="340">
        <v>762</v>
      </c>
      <c r="P5" s="336">
        <v>631</v>
      </c>
    </row>
    <row r="6" spans="1:16" x14ac:dyDescent="0.25">
      <c r="A6" s="329" t="s">
        <v>925</v>
      </c>
      <c r="B6" s="348">
        <f t="shared" ref="B6:P6" si="0">IF(ISERROR(B5/B4),0,B5/B4)</f>
        <v>5.1165771183516541E-2</v>
      </c>
      <c r="C6" s="348">
        <f t="shared" si="0"/>
        <v>4.0422885572139307E-2</v>
      </c>
      <c r="D6" s="348">
        <f t="shared" si="0"/>
        <v>4.0972128111306863E-2</v>
      </c>
      <c r="E6" s="348">
        <f t="shared" si="0"/>
        <v>4.1926229508196723E-2</v>
      </c>
      <c r="F6" s="348">
        <f t="shared" si="0"/>
        <v>4.6936445515666628E-2</v>
      </c>
      <c r="G6" s="348">
        <f t="shared" si="0"/>
        <v>3.9363709894850364E-2</v>
      </c>
      <c r="H6" s="348">
        <f t="shared" si="0"/>
        <v>4.0111232830538468E-2</v>
      </c>
      <c r="I6" s="348">
        <f t="shared" si="0"/>
        <v>4.0648106994221986E-2</v>
      </c>
      <c r="J6" s="348">
        <f t="shared" si="0"/>
        <v>3.8516888174045541E-2</v>
      </c>
      <c r="K6" s="349">
        <f t="shared" si="0"/>
        <v>3.9780720904283702E-2</v>
      </c>
      <c r="L6" s="350">
        <f t="shared" si="0"/>
        <v>4.4818056195301707E-2</v>
      </c>
      <c r="M6" s="348">
        <f t="shared" si="0"/>
        <v>3.4768449786887604E-2</v>
      </c>
      <c r="N6" s="348">
        <f t="shared" si="0"/>
        <v>4.1244083840432724E-2</v>
      </c>
      <c r="O6" s="348">
        <f t="shared" si="0"/>
        <v>3.825109181266001E-2</v>
      </c>
      <c r="P6" s="349">
        <f t="shared" si="0"/>
        <v>4.6118988451980703E-2</v>
      </c>
    </row>
    <row r="7" spans="1:16" x14ac:dyDescent="0.25">
      <c r="A7" s="329" t="s">
        <v>926</v>
      </c>
      <c r="B7" s="351">
        <v>6734.7440944881901</v>
      </c>
      <c r="C7" s="351">
        <v>6616.1248374512397</v>
      </c>
      <c r="D7" s="351">
        <v>7039.4304490690001</v>
      </c>
      <c r="E7" s="351">
        <v>6625.0761421319803</v>
      </c>
      <c r="F7" s="351">
        <v>6584.8375451263501</v>
      </c>
      <c r="G7" s="351">
        <v>6563.0693069306899</v>
      </c>
      <c r="H7" s="351">
        <v>6740.6724511930597</v>
      </c>
      <c r="I7" s="351">
        <v>6993.9439439439402</v>
      </c>
      <c r="J7" s="351">
        <v>6697.1444568869001</v>
      </c>
      <c r="K7" s="352">
        <v>6693.9024390243903</v>
      </c>
      <c r="L7" s="353">
        <v>7106.2827225130904</v>
      </c>
      <c r="M7" s="351">
        <v>7259.6704871060201</v>
      </c>
      <c r="N7" s="351">
        <v>7627.7698695136396</v>
      </c>
      <c r="O7" s="351">
        <v>7494.3925233644804</v>
      </c>
      <c r="P7" s="352">
        <v>6996.9305331179303</v>
      </c>
    </row>
    <row r="8" spans="1:16" ht="16.5" thickBot="1" x14ac:dyDescent="0.3">
      <c r="A8" s="331" t="s">
        <v>927</v>
      </c>
      <c r="B8" s="354">
        <v>65.184971098299997</v>
      </c>
      <c r="C8" s="354">
        <v>73.330769230800001</v>
      </c>
      <c r="D8" s="354">
        <v>76.910694597599999</v>
      </c>
      <c r="E8" s="354">
        <v>79.219941348999996</v>
      </c>
      <c r="F8" s="354">
        <v>73.424324324300002</v>
      </c>
      <c r="G8" s="354">
        <v>74.321917808199998</v>
      </c>
      <c r="H8" s="354">
        <v>70.710084033599998</v>
      </c>
      <c r="I8" s="354">
        <v>69.788270377700002</v>
      </c>
      <c r="J8" s="354">
        <v>69.443956044000004</v>
      </c>
      <c r="K8" s="355">
        <v>69.189024390200004</v>
      </c>
      <c r="L8" s="356">
        <v>73.653648509800007</v>
      </c>
      <c r="M8" s="354">
        <v>71.141873278199995</v>
      </c>
      <c r="N8" s="354">
        <v>69.2775175644</v>
      </c>
      <c r="O8" s="354">
        <v>84.480314960599998</v>
      </c>
      <c r="P8" s="355">
        <v>58.475435816199997</v>
      </c>
    </row>
  </sheetData>
  <pageMargins left="0.7" right="0.7" top="0.75" bottom="0.75" header="0.3" footer="0.3"/>
  <pageSetup orientation="portrait" horizontalDpi="1200" verticalDpi="12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22C4E2-5904-4329-9F44-816D79A03BF3}">
  <dimension ref="A1:AB129"/>
  <sheetViews>
    <sheetView zoomScale="70" zoomScaleNormal="70" workbookViewId="0">
      <pane xSplit="1" topLeftCell="B1" activePane="topRight" state="frozen"/>
      <selection pane="topRight" activeCell="A2" sqref="A2:D2"/>
    </sheetView>
  </sheetViews>
  <sheetFormatPr defaultColWidth="9.42578125" defaultRowHeight="15.75" x14ac:dyDescent="0.25"/>
  <cols>
    <col min="1" max="1" width="58" style="43" customWidth="1"/>
    <col min="2" max="2" width="56.85546875" style="43" customWidth="1"/>
    <col min="3" max="3" width="24.5703125" style="43" customWidth="1"/>
    <col min="4" max="4" width="9.5703125" style="43" customWidth="1"/>
    <col min="5" max="5" width="9.5703125" style="86" customWidth="1"/>
    <col min="6" max="6" width="11.140625" style="43" customWidth="1"/>
    <col min="7" max="7" width="22.85546875" style="43" customWidth="1"/>
    <col min="8" max="8" width="21" style="43" customWidth="1"/>
    <col min="9" max="9" width="14.5703125" style="43" customWidth="1"/>
    <col min="10" max="10" width="11.85546875" style="43" customWidth="1"/>
    <col min="11" max="13" width="14.85546875" style="43" customWidth="1"/>
    <col min="14" max="15" width="18" style="43" customWidth="1"/>
    <col min="16" max="16" width="15.42578125" style="43" customWidth="1"/>
    <col min="17" max="17" width="17.140625" style="43" customWidth="1"/>
    <col min="18" max="18" width="14" style="43" customWidth="1"/>
    <col min="19" max="20" width="14.42578125" style="43" customWidth="1"/>
    <col min="21" max="21" width="15.5703125" style="43" customWidth="1"/>
    <col min="22" max="22" width="18.42578125" style="43" customWidth="1"/>
    <col min="23" max="23" width="18.140625" style="43" customWidth="1"/>
    <col min="24" max="24" width="15.5703125" style="43" bestFit="1" customWidth="1"/>
    <col min="25" max="25" width="18.5703125" style="87" bestFit="1" customWidth="1"/>
    <col min="26" max="26" width="18.5703125" style="87" customWidth="1"/>
    <col min="27" max="27" width="34" style="43" bestFit="1" customWidth="1"/>
    <col min="28" max="28" width="43.5703125" style="43" customWidth="1"/>
    <col min="29" max="16384" width="9.42578125" style="43"/>
  </cols>
  <sheetData>
    <row r="1" spans="1:28" ht="41.85" customHeight="1" x14ac:dyDescent="0.25">
      <c r="A1" s="425" t="s">
        <v>5</v>
      </c>
      <c r="B1" s="425"/>
      <c r="C1" s="425"/>
      <c r="D1" s="425"/>
      <c r="E1" s="59"/>
      <c r="F1" s="3"/>
      <c r="G1" s="3"/>
      <c r="H1" s="3"/>
      <c r="I1" s="3"/>
      <c r="J1" s="3"/>
      <c r="K1" s="3"/>
      <c r="L1" s="3"/>
      <c r="M1" s="3"/>
      <c r="N1" s="3"/>
      <c r="O1" s="3"/>
      <c r="P1" s="3"/>
      <c r="Q1" s="3"/>
      <c r="R1" s="3"/>
      <c r="S1" s="3"/>
      <c r="T1" s="3"/>
      <c r="U1" s="3"/>
      <c r="V1" s="3"/>
      <c r="W1" s="60"/>
      <c r="X1" s="3"/>
      <c r="Y1" s="61"/>
      <c r="Z1" s="61"/>
      <c r="AA1" s="16"/>
      <c r="AB1" s="16"/>
    </row>
    <row r="2" spans="1:28" ht="45" customHeight="1" x14ac:dyDescent="0.25">
      <c r="A2" s="426" t="s">
        <v>6</v>
      </c>
      <c r="B2" s="426"/>
      <c r="C2" s="426"/>
      <c r="D2" s="426"/>
      <c r="E2" s="59"/>
      <c r="F2" s="3"/>
      <c r="G2" s="3"/>
      <c r="H2" s="3"/>
      <c r="I2" s="3"/>
      <c r="J2" s="3"/>
      <c r="K2" s="3"/>
      <c r="L2" s="3"/>
      <c r="M2" s="3"/>
      <c r="N2" s="3"/>
      <c r="O2" s="3"/>
      <c r="P2" s="3"/>
      <c r="Q2" s="3"/>
      <c r="R2" s="3"/>
      <c r="S2" s="3"/>
      <c r="T2" s="3"/>
      <c r="U2" s="3"/>
      <c r="V2" s="3"/>
      <c r="W2" s="60"/>
      <c r="X2" s="3"/>
      <c r="Y2" s="61"/>
      <c r="Z2" s="61"/>
      <c r="AA2" s="16"/>
      <c r="AB2" s="16"/>
    </row>
    <row r="3" spans="1:28" ht="48.6" customHeight="1" x14ac:dyDescent="0.25">
      <c r="A3" s="427" t="s">
        <v>7</v>
      </c>
      <c r="B3" s="427"/>
      <c r="C3" s="427"/>
      <c r="D3" s="427"/>
      <c r="E3" s="427"/>
      <c r="F3" s="427"/>
      <c r="G3" s="427"/>
      <c r="H3" s="427"/>
      <c r="I3" s="427"/>
      <c r="J3" s="427"/>
      <c r="K3" s="427"/>
      <c r="L3" s="427"/>
      <c r="M3" s="427"/>
      <c r="N3" s="427"/>
      <c r="O3" s="427"/>
      <c r="P3" s="427"/>
      <c r="Q3" s="427"/>
      <c r="R3" s="427"/>
      <c r="S3" s="427"/>
      <c r="T3" s="427"/>
      <c r="U3" s="427"/>
      <c r="V3" s="427"/>
      <c r="W3" s="427"/>
      <c r="X3" s="427"/>
      <c r="Y3" s="427"/>
      <c r="Z3" s="427"/>
      <c r="AA3" s="427"/>
      <c r="AB3" s="427"/>
    </row>
    <row r="4" spans="1:28" customFormat="1" ht="30.75" customHeight="1" x14ac:dyDescent="0.25">
      <c r="A4" s="62" t="s">
        <v>8</v>
      </c>
      <c r="B4" s="63"/>
      <c r="C4" s="63"/>
      <c r="D4" s="63"/>
      <c r="E4" s="64"/>
      <c r="F4" s="63"/>
      <c r="G4" s="63"/>
      <c r="H4" s="63"/>
    </row>
    <row r="5" spans="1:28" ht="87.6" customHeight="1" x14ac:dyDescent="0.25">
      <c r="A5" s="65" t="s">
        <v>9</v>
      </c>
      <c r="B5" s="65"/>
      <c r="C5" s="65"/>
      <c r="D5" s="65"/>
      <c r="E5" s="66"/>
      <c r="F5" s="65"/>
      <c r="G5" s="65"/>
      <c r="H5" s="65"/>
      <c r="I5" s="65" t="s">
        <v>10</v>
      </c>
      <c r="J5" s="428" t="s">
        <v>11</v>
      </c>
      <c r="K5" s="428"/>
      <c r="L5" s="428"/>
      <c r="M5" s="428"/>
      <c r="N5" s="428" t="s">
        <v>12</v>
      </c>
      <c r="O5" s="428"/>
      <c r="P5" s="428"/>
      <c r="Q5" s="428"/>
      <c r="R5" s="429" t="s">
        <v>13</v>
      </c>
      <c r="S5" s="429"/>
      <c r="T5" s="429"/>
      <c r="U5" s="429"/>
      <c r="V5" s="67" t="s">
        <v>14</v>
      </c>
      <c r="W5" s="429" t="s">
        <v>15</v>
      </c>
      <c r="X5" s="429"/>
      <c r="Y5" s="429"/>
      <c r="Z5" s="429"/>
      <c r="AA5" s="429"/>
      <c r="AB5" s="429"/>
    </row>
    <row r="6" spans="1:28" ht="52.35" customHeight="1" x14ac:dyDescent="0.25">
      <c r="A6" s="68" t="s">
        <v>16</v>
      </c>
      <c r="B6" s="68"/>
      <c r="C6" s="68"/>
      <c r="D6" s="68"/>
      <c r="E6" s="69"/>
      <c r="F6" s="68"/>
      <c r="G6" s="68"/>
      <c r="H6" s="68"/>
      <c r="I6" s="70"/>
      <c r="J6" s="68"/>
      <c r="K6" s="68"/>
      <c r="L6" s="68"/>
      <c r="M6" s="68"/>
      <c r="N6" s="68"/>
      <c r="O6" s="68"/>
      <c r="P6" s="68"/>
      <c r="Q6" s="68"/>
      <c r="R6" s="71"/>
      <c r="S6" s="71"/>
      <c r="T6" s="71"/>
      <c r="U6" s="71"/>
      <c r="V6" s="72"/>
      <c r="W6" s="73"/>
      <c r="X6" s="71"/>
      <c r="Y6" s="71"/>
      <c r="Z6" s="71"/>
      <c r="AA6" s="71"/>
      <c r="AB6" s="74"/>
    </row>
    <row r="7" spans="1:28" ht="48" customHeight="1" x14ac:dyDescent="0.25">
      <c r="A7" s="75" t="s">
        <v>17</v>
      </c>
      <c r="B7" s="75" t="s">
        <v>18</v>
      </c>
      <c r="C7" s="75" t="s">
        <v>19</v>
      </c>
      <c r="D7" s="75" t="s">
        <v>20</v>
      </c>
      <c r="E7" s="76" t="s">
        <v>21</v>
      </c>
      <c r="F7" s="75" t="s">
        <v>22</v>
      </c>
      <c r="G7" s="75" t="s">
        <v>23</v>
      </c>
      <c r="H7" s="75" t="s">
        <v>24</v>
      </c>
      <c r="I7" s="77" t="s">
        <v>25</v>
      </c>
      <c r="J7" s="75" t="s">
        <v>26</v>
      </c>
      <c r="K7" s="75" t="s">
        <v>27</v>
      </c>
      <c r="L7" s="75" t="s">
        <v>28</v>
      </c>
      <c r="M7" s="75" t="s">
        <v>29</v>
      </c>
      <c r="N7" s="75" t="s">
        <v>30</v>
      </c>
      <c r="O7" s="75" t="s">
        <v>31</v>
      </c>
      <c r="P7" s="75" t="s">
        <v>32</v>
      </c>
      <c r="Q7" s="75" t="s">
        <v>33</v>
      </c>
      <c r="R7" s="75" t="s">
        <v>34</v>
      </c>
      <c r="S7" s="75" t="s">
        <v>35</v>
      </c>
      <c r="T7" s="75" t="s">
        <v>36</v>
      </c>
      <c r="U7" s="75" t="s">
        <v>37</v>
      </c>
      <c r="V7" s="75" t="s">
        <v>38</v>
      </c>
      <c r="W7" s="75" t="s">
        <v>39</v>
      </c>
      <c r="X7" s="75" t="s">
        <v>40</v>
      </c>
      <c r="Y7" s="78" t="s">
        <v>41</v>
      </c>
      <c r="Z7" s="78" t="s">
        <v>42</v>
      </c>
      <c r="AA7" s="78" t="s">
        <v>43</v>
      </c>
      <c r="AB7" s="79" t="s">
        <v>44</v>
      </c>
    </row>
    <row r="8" spans="1:28" ht="16.350000000000001" customHeight="1" x14ac:dyDescent="0.25">
      <c r="A8" s="80" t="s">
        <v>45</v>
      </c>
      <c r="B8" s="80" t="s">
        <v>46</v>
      </c>
      <c r="C8" s="80" t="s">
        <v>47</v>
      </c>
      <c r="D8" s="80" t="s">
        <v>48</v>
      </c>
      <c r="E8" s="81">
        <v>39120</v>
      </c>
      <c r="F8" s="80" t="s">
        <v>49</v>
      </c>
      <c r="G8" s="80" t="s">
        <v>50</v>
      </c>
      <c r="H8" s="80" t="s">
        <v>51</v>
      </c>
      <c r="I8" s="82">
        <v>30.569568452380999</v>
      </c>
      <c r="J8" s="83">
        <v>1866.5214285714153</v>
      </c>
      <c r="K8" s="83">
        <v>274.27142857142798</v>
      </c>
      <c r="L8" s="83">
        <v>4.8571428571428541</v>
      </c>
      <c r="M8" s="83">
        <v>2.6857142857142837</v>
      </c>
      <c r="N8" s="83">
        <v>8.6928571428571395</v>
      </c>
      <c r="O8" s="83">
        <v>2139.6428571428401</v>
      </c>
      <c r="P8" s="83">
        <v>0</v>
      </c>
      <c r="Q8" s="83">
        <v>0</v>
      </c>
      <c r="R8" s="83">
        <v>0.5</v>
      </c>
      <c r="S8" s="83">
        <v>0.72857142857142854</v>
      </c>
      <c r="T8" s="83">
        <v>2.9142857142857137</v>
      </c>
      <c r="U8" s="83">
        <v>2144.1928571428389</v>
      </c>
      <c r="V8" s="83">
        <v>444.0357142857136</v>
      </c>
      <c r="W8" s="84">
        <v>1100</v>
      </c>
      <c r="X8" s="85" t="s">
        <v>52</v>
      </c>
      <c r="Y8" s="152">
        <v>45673</v>
      </c>
      <c r="Z8" s="151" t="s">
        <v>53</v>
      </c>
      <c r="AA8" s="151" t="s">
        <v>54</v>
      </c>
      <c r="AB8" s="151" t="s">
        <v>55</v>
      </c>
    </row>
    <row r="9" spans="1:28" ht="16.350000000000001" customHeight="1" x14ac:dyDescent="0.25">
      <c r="A9" s="80" t="s">
        <v>56</v>
      </c>
      <c r="B9" s="80" t="s">
        <v>57</v>
      </c>
      <c r="C9" s="80" t="s">
        <v>58</v>
      </c>
      <c r="D9" s="80" t="s">
        <v>59</v>
      </c>
      <c r="E9" s="81">
        <v>92301</v>
      </c>
      <c r="F9" s="80" t="s">
        <v>60</v>
      </c>
      <c r="G9" s="80" t="s">
        <v>61</v>
      </c>
      <c r="H9" s="80" t="s">
        <v>51</v>
      </c>
      <c r="I9" s="82">
        <v>1796</v>
      </c>
      <c r="J9" s="83">
        <v>1.907142857142857</v>
      </c>
      <c r="K9" s="83">
        <v>1.514285714285714</v>
      </c>
      <c r="L9" s="83">
        <v>7.3285714285714185</v>
      </c>
      <c r="M9" s="83">
        <v>12.885714285714284</v>
      </c>
      <c r="N9" s="83">
        <v>19.285714285714295</v>
      </c>
      <c r="O9" s="83">
        <v>4.3499999999999996</v>
      </c>
      <c r="P9" s="83">
        <v>0</v>
      </c>
      <c r="Q9" s="83">
        <v>0</v>
      </c>
      <c r="R9" s="83">
        <v>13.821428571428573</v>
      </c>
      <c r="S9" s="83">
        <v>3.6642857142857141</v>
      </c>
      <c r="T9" s="83">
        <v>1.2428571428571424</v>
      </c>
      <c r="U9" s="83">
        <v>4.9071428571428548</v>
      </c>
      <c r="V9" s="83">
        <v>13.721428571428572</v>
      </c>
      <c r="W9" s="84">
        <v>640</v>
      </c>
      <c r="X9" s="85" t="s">
        <v>52</v>
      </c>
      <c r="Y9" s="152">
        <v>45491</v>
      </c>
      <c r="Z9" s="151" t="s">
        <v>62</v>
      </c>
      <c r="AA9" s="151" t="s">
        <v>54</v>
      </c>
      <c r="AB9" s="151" t="s">
        <v>63</v>
      </c>
    </row>
    <row r="10" spans="1:28" ht="16.350000000000001" customHeight="1" x14ac:dyDescent="0.25">
      <c r="A10" s="80" t="s">
        <v>64</v>
      </c>
      <c r="B10" s="80" t="s">
        <v>65</v>
      </c>
      <c r="C10" s="80" t="s">
        <v>66</v>
      </c>
      <c r="D10" s="80" t="s">
        <v>67</v>
      </c>
      <c r="E10" s="81">
        <v>27253</v>
      </c>
      <c r="F10" s="80" t="s">
        <v>68</v>
      </c>
      <c r="G10" s="80" t="s">
        <v>69</v>
      </c>
      <c r="H10" s="80" t="s">
        <v>51</v>
      </c>
      <c r="I10" s="82">
        <v>4.4349112426035502</v>
      </c>
      <c r="J10" s="83">
        <v>3.8214285714285672</v>
      </c>
      <c r="K10" s="83">
        <v>3.5857142857142836</v>
      </c>
      <c r="L10" s="83">
        <v>5.8714285714285595</v>
      </c>
      <c r="M10" s="83">
        <v>6.6499999999999861</v>
      </c>
      <c r="N10" s="83">
        <v>14.614285714285755</v>
      </c>
      <c r="O10" s="83">
        <v>5.128571428571421</v>
      </c>
      <c r="P10" s="83">
        <v>0.10714285714285715</v>
      </c>
      <c r="Q10" s="83">
        <v>7.857142857142857E-2</v>
      </c>
      <c r="R10" s="83">
        <v>0.62142857142857133</v>
      </c>
      <c r="S10" s="83">
        <v>0.24285714285714288</v>
      </c>
      <c r="T10" s="83">
        <v>4.2857142857142858E-2</v>
      </c>
      <c r="U10" s="83">
        <v>19.021428571428682</v>
      </c>
      <c r="V10" s="83">
        <v>14.114285714285742</v>
      </c>
      <c r="W10" s="84">
        <v>40</v>
      </c>
      <c r="X10" s="85" t="s">
        <v>52</v>
      </c>
      <c r="Y10" s="152">
        <v>45554</v>
      </c>
      <c r="Z10" s="151" t="s">
        <v>62</v>
      </c>
      <c r="AA10" s="151" t="s">
        <v>70</v>
      </c>
      <c r="AB10" s="151" t="s">
        <v>63</v>
      </c>
    </row>
    <row r="11" spans="1:28" ht="16.350000000000001" customHeight="1" x14ac:dyDescent="0.25">
      <c r="A11" s="80" t="s">
        <v>71</v>
      </c>
      <c r="B11" s="80" t="s">
        <v>72</v>
      </c>
      <c r="C11" s="80" t="s">
        <v>73</v>
      </c>
      <c r="D11" s="80" t="s">
        <v>74</v>
      </c>
      <c r="E11" s="81">
        <v>71303</v>
      </c>
      <c r="F11" s="80" t="s">
        <v>49</v>
      </c>
      <c r="G11" s="80" t="s">
        <v>75</v>
      </c>
      <c r="H11" s="80" t="s">
        <v>76</v>
      </c>
      <c r="I11" s="82">
        <v>3.0759162303664902</v>
      </c>
      <c r="J11" s="83">
        <v>134.25714285714596</v>
      </c>
      <c r="K11" s="83">
        <v>45.200000000001076</v>
      </c>
      <c r="L11" s="83">
        <v>74.728571428573204</v>
      </c>
      <c r="M11" s="83">
        <v>50.821428571429813</v>
      </c>
      <c r="N11" s="83">
        <v>141.49285714286</v>
      </c>
      <c r="O11" s="83">
        <v>163.48571428571938</v>
      </c>
      <c r="P11" s="83">
        <v>2.1428571428571429E-2</v>
      </c>
      <c r="Q11" s="83">
        <v>7.1428571428571426E-3</v>
      </c>
      <c r="R11" s="83">
        <v>56.464285714287129</v>
      </c>
      <c r="S11" s="83">
        <v>31.478571428571872</v>
      </c>
      <c r="T11" s="83">
        <v>35.978571428572053</v>
      </c>
      <c r="U11" s="83">
        <v>181.08571428572063</v>
      </c>
      <c r="V11" s="83">
        <v>300.82857142857785</v>
      </c>
      <c r="W11" s="84" t="s">
        <v>77</v>
      </c>
      <c r="X11" s="85" t="s">
        <v>52</v>
      </c>
      <c r="Y11" s="152">
        <v>45533</v>
      </c>
      <c r="Z11" s="151" t="s">
        <v>62</v>
      </c>
      <c r="AA11" s="151" t="s">
        <v>54</v>
      </c>
      <c r="AB11" s="151" t="s">
        <v>63</v>
      </c>
    </row>
    <row r="12" spans="1:28" ht="16.350000000000001" customHeight="1" x14ac:dyDescent="0.25">
      <c r="A12" s="80" t="s">
        <v>78</v>
      </c>
      <c r="B12" s="80" t="s">
        <v>79</v>
      </c>
      <c r="C12" s="80" t="s">
        <v>80</v>
      </c>
      <c r="D12" s="80" t="s">
        <v>74</v>
      </c>
      <c r="E12" s="81">
        <v>70655</v>
      </c>
      <c r="F12" s="80" t="s">
        <v>49</v>
      </c>
      <c r="G12" s="80" t="s">
        <v>69</v>
      </c>
      <c r="H12" s="80" t="s">
        <v>76</v>
      </c>
      <c r="I12" s="82">
        <v>59.5</v>
      </c>
      <c r="J12" s="83">
        <v>100.02142857142857</v>
      </c>
      <c r="K12" s="83">
        <v>30.885714285714297</v>
      </c>
      <c r="L12" s="83">
        <v>33.421428571428564</v>
      </c>
      <c r="M12" s="83">
        <v>10.664285714285715</v>
      </c>
      <c r="N12" s="83">
        <v>50.185714285714269</v>
      </c>
      <c r="O12" s="83">
        <v>124.80714285714289</v>
      </c>
      <c r="P12" s="83">
        <v>0</v>
      </c>
      <c r="Q12" s="83">
        <v>0</v>
      </c>
      <c r="R12" s="83">
        <v>18.164285714285718</v>
      </c>
      <c r="S12" s="83">
        <v>7.7071428571428573</v>
      </c>
      <c r="T12" s="83">
        <v>6.1642857142857146</v>
      </c>
      <c r="U12" s="83">
        <v>142.95714285714294</v>
      </c>
      <c r="V12" s="83">
        <v>96.014285714285663</v>
      </c>
      <c r="W12" s="84">
        <v>170</v>
      </c>
      <c r="X12" s="85" t="s">
        <v>52</v>
      </c>
      <c r="Y12" s="152">
        <v>45638</v>
      </c>
      <c r="Z12" s="151" t="s">
        <v>62</v>
      </c>
      <c r="AA12" s="151" t="s">
        <v>54</v>
      </c>
      <c r="AB12" s="151" t="s">
        <v>63</v>
      </c>
    </row>
    <row r="13" spans="1:28" ht="16.350000000000001" customHeight="1" x14ac:dyDescent="0.25">
      <c r="A13" s="80" t="s">
        <v>81</v>
      </c>
      <c r="B13" s="80" t="s">
        <v>82</v>
      </c>
      <c r="C13" s="80" t="s">
        <v>83</v>
      </c>
      <c r="D13" s="80" t="s">
        <v>84</v>
      </c>
      <c r="E13" s="81">
        <v>30315</v>
      </c>
      <c r="F13" s="80" t="s">
        <v>68</v>
      </c>
      <c r="G13" s="80" t="s">
        <v>85</v>
      </c>
      <c r="H13" s="80" t="s">
        <v>51</v>
      </c>
      <c r="I13" s="82"/>
      <c r="J13" s="83">
        <v>4.9357142857142851</v>
      </c>
      <c r="K13" s="83">
        <v>0.42857142857142855</v>
      </c>
      <c r="L13" s="83">
        <v>0</v>
      </c>
      <c r="M13" s="83">
        <v>0</v>
      </c>
      <c r="N13" s="83">
        <v>0.42857142857142855</v>
      </c>
      <c r="O13" s="83">
        <v>4.9357142857142842</v>
      </c>
      <c r="P13" s="83">
        <v>0</v>
      </c>
      <c r="Q13" s="83">
        <v>0</v>
      </c>
      <c r="R13" s="83">
        <v>0.22142857142857142</v>
      </c>
      <c r="S13" s="83">
        <v>7.857142857142857E-2</v>
      </c>
      <c r="T13" s="83">
        <v>7.857142857142857E-2</v>
      </c>
      <c r="U13" s="83">
        <v>4.9857142857142849</v>
      </c>
      <c r="V13" s="83">
        <v>5.3642857142857121</v>
      </c>
      <c r="W13" s="84" t="s">
        <v>77</v>
      </c>
      <c r="X13" s="85" t="s">
        <v>53</v>
      </c>
      <c r="Y13" s="152" t="s">
        <v>77</v>
      </c>
      <c r="Z13" s="151" t="s">
        <v>53</v>
      </c>
      <c r="AA13" s="151" t="s">
        <v>77</v>
      </c>
      <c r="AB13" s="151" t="s">
        <v>77</v>
      </c>
    </row>
    <row r="14" spans="1:28" ht="16.350000000000001" customHeight="1" x14ac:dyDescent="0.25">
      <c r="A14" s="80" t="s">
        <v>86</v>
      </c>
      <c r="B14" s="80" t="s">
        <v>87</v>
      </c>
      <c r="C14" s="80" t="s">
        <v>88</v>
      </c>
      <c r="D14" s="80" t="s">
        <v>89</v>
      </c>
      <c r="E14" s="81">
        <v>32063</v>
      </c>
      <c r="F14" s="80" t="s">
        <v>90</v>
      </c>
      <c r="G14" s="80" t="s">
        <v>69</v>
      </c>
      <c r="H14" s="80" t="s">
        <v>51</v>
      </c>
      <c r="I14" s="82">
        <v>61.5490196078431</v>
      </c>
      <c r="J14" s="83">
        <v>26.107142857142879</v>
      </c>
      <c r="K14" s="83">
        <v>39.521428571428579</v>
      </c>
      <c r="L14" s="83">
        <v>88.45714285714287</v>
      </c>
      <c r="M14" s="83">
        <v>87.778571428571425</v>
      </c>
      <c r="N14" s="83">
        <v>159.84285714285718</v>
      </c>
      <c r="O14" s="83">
        <v>51.885714285714315</v>
      </c>
      <c r="P14" s="83">
        <v>19.742857142857151</v>
      </c>
      <c r="Q14" s="83">
        <v>10.392857142857148</v>
      </c>
      <c r="R14" s="83">
        <v>57.042857142857159</v>
      </c>
      <c r="S14" s="83">
        <v>23.614285714285707</v>
      </c>
      <c r="T14" s="83">
        <v>15.7</v>
      </c>
      <c r="U14" s="83">
        <v>145.50714285714295</v>
      </c>
      <c r="V14" s="83">
        <v>172.707142857143</v>
      </c>
      <c r="W14" s="84">
        <v>192</v>
      </c>
      <c r="X14" s="85" t="s">
        <v>52</v>
      </c>
      <c r="Y14" s="152">
        <v>45589</v>
      </c>
      <c r="Z14" s="151" t="s">
        <v>53</v>
      </c>
      <c r="AA14" s="151" t="s">
        <v>70</v>
      </c>
      <c r="AB14" s="151" t="s">
        <v>63</v>
      </c>
    </row>
    <row r="15" spans="1:28" ht="16.350000000000001" customHeight="1" x14ac:dyDescent="0.25">
      <c r="A15" s="80" t="s">
        <v>91</v>
      </c>
      <c r="B15" s="80" t="s">
        <v>92</v>
      </c>
      <c r="C15" s="80" t="s">
        <v>93</v>
      </c>
      <c r="D15" s="80" t="s">
        <v>94</v>
      </c>
      <c r="E15" s="81">
        <v>79501</v>
      </c>
      <c r="F15" s="80" t="s">
        <v>95</v>
      </c>
      <c r="G15" s="80" t="s">
        <v>50</v>
      </c>
      <c r="H15" s="80" t="s">
        <v>76</v>
      </c>
      <c r="I15" s="82">
        <v>56.1666666666667</v>
      </c>
      <c r="J15" s="83">
        <v>267.90714285714358</v>
      </c>
      <c r="K15" s="83">
        <v>155.99285714285719</v>
      </c>
      <c r="L15" s="83">
        <v>239.75714285714287</v>
      </c>
      <c r="M15" s="83">
        <v>105.85714285714283</v>
      </c>
      <c r="N15" s="83">
        <v>331.52142857142888</v>
      </c>
      <c r="O15" s="83">
        <v>380.57142857142861</v>
      </c>
      <c r="P15" s="83">
        <v>7.9857142857142849</v>
      </c>
      <c r="Q15" s="83">
        <v>49.435714285714262</v>
      </c>
      <c r="R15" s="83">
        <v>84.35714285714289</v>
      </c>
      <c r="S15" s="83">
        <v>52.671428571428628</v>
      </c>
      <c r="T15" s="83">
        <v>77.878571428571448</v>
      </c>
      <c r="U15" s="83">
        <v>554.60714285714232</v>
      </c>
      <c r="V15" s="83">
        <v>445.37142857142811</v>
      </c>
      <c r="W15" s="84">
        <v>750</v>
      </c>
      <c r="X15" s="85" t="s">
        <v>52</v>
      </c>
      <c r="Y15" s="152">
        <v>45638</v>
      </c>
      <c r="Z15" s="151"/>
      <c r="AA15" s="151" t="s">
        <v>54</v>
      </c>
      <c r="AB15" s="151" t="s">
        <v>63</v>
      </c>
    </row>
    <row r="16" spans="1:28" ht="16.350000000000001" customHeight="1" x14ac:dyDescent="0.25">
      <c r="A16" s="80" t="s">
        <v>96</v>
      </c>
      <c r="B16" s="80" t="s">
        <v>97</v>
      </c>
      <c r="C16" s="80" t="s">
        <v>98</v>
      </c>
      <c r="D16" s="80" t="s">
        <v>99</v>
      </c>
      <c r="E16" s="81">
        <v>41005</v>
      </c>
      <c r="F16" s="80" t="s">
        <v>100</v>
      </c>
      <c r="G16" s="80" t="s">
        <v>101</v>
      </c>
      <c r="H16" s="80" t="s">
        <v>51</v>
      </c>
      <c r="I16" s="82">
        <v>86</v>
      </c>
      <c r="J16" s="83">
        <v>23.528571428571421</v>
      </c>
      <c r="K16" s="83">
        <v>19.892857142857139</v>
      </c>
      <c r="L16" s="83">
        <v>32.235714285714295</v>
      </c>
      <c r="M16" s="83">
        <v>57.264285714285712</v>
      </c>
      <c r="N16" s="83">
        <v>97.778571428571439</v>
      </c>
      <c r="O16" s="83">
        <v>29.771428571428569</v>
      </c>
      <c r="P16" s="83">
        <v>4.2428571428571429</v>
      </c>
      <c r="Q16" s="83">
        <v>1.1285714285714286</v>
      </c>
      <c r="R16" s="83">
        <v>34.892857142857153</v>
      </c>
      <c r="S16" s="83">
        <v>9.1285714285714281</v>
      </c>
      <c r="T16" s="83">
        <v>10.714285714285714</v>
      </c>
      <c r="U16" s="83">
        <v>78.185714285714255</v>
      </c>
      <c r="V16" s="83">
        <v>94.942857142857221</v>
      </c>
      <c r="W16" s="84" t="s">
        <v>77</v>
      </c>
      <c r="X16" s="85" t="s">
        <v>52</v>
      </c>
      <c r="Y16" s="152">
        <v>45617</v>
      </c>
      <c r="Z16" s="151"/>
      <c r="AA16" s="151" t="s">
        <v>70</v>
      </c>
      <c r="AB16" s="151" t="s">
        <v>63</v>
      </c>
    </row>
    <row r="17" spans="1:28" ht="16.350000000000001" customHeight="1" x14ac:dyDescent="0.25">
      <c r="A17" s="80" t="s">
        <v>102</v>
      </c>
      <c r="B17" s="80" t="s">
        <v>103</v>
      </c>
      <c r="C17" s="80" t="s">
        <v>104</v>
      </c>
      <c r="D17" s="80" t="s">
        <v>89</v>
      </c>
      <c r="E17" s="81">
        <v>33301</v>
      </c>
      <c r="F17" s="80" t="s">
        <v>90</v>
      </c>
      <c r="G17" s="80" t="s">
        <v>69</v>
      </c>
      <c r="H17" s="80" t="s">
        <v>51</v>
      </c>
      <c r="I17" s="82"/>
      <c r="J17" s="83">
        <v>0.28571428571428564</v>
      </c>
      <c r="K17" s="83">
        <v>0.15714285714285717</v>
      </c>
      <c r="L17" s="83">
        <v>0.72857142857142743</v>
      </c>
      <c r="M17" s="83">
        <v>0.12857142857142859</v>
      </c>
      <c r="N17" s="83">
        <v>0.20714285714285718</v>
      </c>
      <c r="O17" s="83">
        <v>0.94285714285714106</v>
      </c>
      <c r="P17" s="83">
        <v>1.4285714285714285E-2</v>
      </c>
      <c r="Q17" s="83">
        <v>0.13571428571428573</v>
      </c>
      <c r="R17" s="83">
        <v>0</v>
      </c>
      <c r="S17" s="83">
        <v>7.1428571428571426E-3</v>
      </c>
      <c r="T17" s="83">
        <v>0</v>
      </c>
      <c r="U17" s="83">
        <v>1.2928571428571403</v>
      </c>
      <c r="V17" s="83">
        <v>0.72142857142857075</v>
      </c>
      <c r="W17" s="84" t="s">
        <v>77</v>
      </c>
      <c r="X17" s="84" t="s">
        <v>77</v>
      </c>
      <c r="Y17" s="84" t="s">
        <v>77</v>
      </c>
      <c r="Z17" s="84" t="s">
        <v>77</v>
      </c>
      <c r="AA17" s="84" t="s">
        <v>77</v>
      </c>
      <c r="AB17" s="84" t="s">
        <v>77</v>
      </c>
    </row>
    <row r="18" spans="1:28" ht="16.350000000000001" customHeight="1" x14ac:dyDescent="0.25">
      <c r="A18" s="80" t="s">
        <v>105</v>
      </c>
      <c r="B18" s="80" t="s">
        <v>106</v>
      </c>
      <c r="C18" s="80" t="s">
        <v>107</v>
      </c>
      <c r="D18" s="80" t="s">
        <v>89</v>
      </c>
      <c r="E18" s="81">
        <v>33073</v>
      </c>
      <c r="F18" s="80" t="s">
        <v>90</v>
      </c>
      <c r="G18" s="80" t="s">
        <v>61</v>
      </c>
      <c r="H18" s="80" t="s">
        <v>51</v>
      </c>
      <c r="I18" s="82">
        <v>48.847560975609802</v>
      </c>
      <c r="J18" s="83">
        <v>497.68571428571062</v>
      </c>
      <c r="K18" s="83">
        <v>154.82142857142853</v>
      </c>
      <c r="L18" s="83">
        <v>3.2214285714285711</v>
      </c>
      <c r="M18" s="83">
        <v>0.63571428571428568</v>
      </c>
      <c r="N18" s="83">
        <v>121.56428571428576</v>
      </c>
      <c r="O18" s="83">
        <v>438.8214285714273</v>
      </c>
      <c r="P18" s="83">
        <v>14.342857142857145</v>
      </c>
      <c r="Q18" s="83">
        <v>81.635714285714286</v>
      </c>
      <c r="R18" s="83">
        <v>14.514285714285721</v>
      </c>
      <c r="S18" s="83">
        <v>30.714285714285715</v>
      </c>
      <c r="T18" s="83">
        <v>37.76428571428572</v>
      </c>
      <c r="U18" s="83">
        <v>573.37142857142715</v>
      </c>
      <c r="V18" s="83">
        <v>367.41428571428457</v>
      </c>
      <c r="W18" s="84">
        <v>700</v>
      </c>
      <c r="X18" s="85" t="s">
        <v>52</v>
      </c>
      <c r="Y18" s="152">
        <v>45645</v>
      </c>
      <c r="Z18" s="151" t="s">
        <v>53</v>
      </c>
      <c r="AA18" s="151" t="s">
        <v>54</v>
      </c>
      <c r="AB18" s="151" t="s">
        <v>63</v>
      </c>
    </row>
    <row r="19" spans="1:28" ht="16.350000000000001" customHeight="1" x14ac:dyDescent="0.25">
      <c r="A19" s="80" t="s">
        <v>108</v>
      </c>
      <c r="B19" s="80" t="s">
        <v>109</v>
      </c>
      <c r="C19" s="80" t="s">
        <v>110</v>
      </c>
      <c r="D19" s="80" t="s">
        <v>111</v>
      </c>
      <c r="E19" s="81">
        <v>14020</v>
      </c>
      <c r="F19" s="80" t="s">
        <v>112</v>
      </c>
      <c r="G19" s="80" t="s">
        <v>113</v>
      </c>
      <c r="H19" s="80" t="s">
        <v>51</v>
      </c>
      <c r="I19" s="82">
        <v>63.213333333333303</v>
      </c>
      <c r="J19" s="83">
        <v>226.87857142857123</v>
      </c>
      <c r="K19" s="83">
        <v>43.114285714285728</v>
      </c>
      <c r="L19" s="83">
        <v>130.99285714285713</v>
      </c>
      <c r="M19" s="83">
        <v>152.9142857142858</v>
      </c>
      <c r="N19" s="83">
        <v>252.47142857142882</v>
      </c>
      <c r="O19" s="83">
        <v>301.42857142856906</v>
      </c>
      <c r="P19" s="83">
        <v>0</v>
      </c>
      <c r="Q19" s="83">
        <v>0</v>
      </c>
      <c r="R19" s="83">
        <v>135.49285714285719</v>
      </c>
      <c r="S19" s="83">
        <v>19.542857142857141</v>
      </c>
      <c r="T19" s="83">
        <v>20.12142857142857</v>
      </c>
      <c r="U19" s="83">
        <v>378.7428571428523</v>
      </c>
      <c r="V19" s="83">
        <v>401.44285714285212</v>
      </c>
      <c r="W19" s="84">
        <v>400</v>
      </c>
      <c r="X19" s="85" t="s">
        <v>52</v>
      </c>
      <c r="Y19" s="152">
        <v>45596</v>
      </c>
      <c r="Z19" s="151"/>
      <c r="AA19" s="151" t="s">
        <v>54</v>
      </c>
      <c r="AB19" s="151" t="s">
        <v>63</v>
      </c>
    </row>
    <row r="20" spans="1:28" ht="16.350000000000001" customHeight="1" x14ac:dyDescent="0.25">
      <c r="A20" s="80" t="s">
        <v>114</v>
      </c>
      <c r="B20" s="80" t="s">
        <v>115</v>
      </c>
      <c r="C20" s="80" t="s">
        <v>116</v>
      </c>
      <c r="D20" s="80" t="s">
        <v>117</v>
      </c>
      <c r="E20" s="81">
        <v>49014</v>
      </c>
      <c r="F20" s="80" t="s">
        <v>118</v>
      </c>
      <c r="G20" s="80" t="s">
        <v>69</v>
      </c>
      <c r="H20" s="80" t="s">
        <v>51</v>
      </c>
      <c r="I20" s="82">
        <v>67.696969696969703</v>
      </c>
      <c r="J20" s="83">
        <v>55.292857142857166</v>
      </c>
      <c r="K20" s="83">
        <v>35.428571428571438</v>
      </c>
      <c r="L20" s="83">
        <v>32.578571428571429</v>
      </c>
      <c r="M20" s="83">
        <v>15.51428571428572</v>
      </c>
      <c r="N20" s="83">
        <v>50.107142857142861</v>
      </c>
      <c r="O20" s="83">
        <v>74.521428571428615</v>
      </c>
      <c r="P20" s="83">
        <v>2.8214285714285716</v>
      </c>
      <c r="Q20" s="83">
        <v>11.364285714285717</v>
      </c>
      <c r="R20" s="83">
        <v>17.907142857142862</v>
      </c>
      <c r="S20" s="83">
        <v>8.4499999999999993</v>
      </c>
      <c r="T20" s="83">
        <v>14.149999999999999</v>
      </c>
      <c r="U20" s="83">
        <v>98.307142857142921</v>
      </c>
      <c r="V20" s="83">
        <v>98.814285714285816</v>
      </c>
      <c r="W20" s="84">
        <v>75</v>
      </c>
      <c r="X20" s="85" t="s">
        <v>52</v>
      </c>
      <c r="Y20" s="152">
        <v>45526</v>
      </c>
      <c r="Z20" s="151" t="s">
        <v>62</v>
      </c>
      <c r="AA20" s="151" t="s">
        <v>70</v>
      </c>
      <c r="AB20" s="151" t="s">
        <v>63</v>
      </c>
    </row>
    <row r="21" spans="1:28" ht="16.350000000000001" customHeight="1" x14ac:dyDescent="0.25">
      <c r="A21" s="80" t="s">
        <v>119</v>
      </c>
      <c r="B21" s="80" t="s">
        <v>120</v>
      </c>
      <c r="C21" s="80" t="s">
        <v>121</v>
      </c>
      <c r="D21" s="80" t="s">
        <v>122</v>
      </c>
      <c r="E21" s="81">
        <v>22427</v>
      </c>
      <c r="F21" s="80" t="s">
        <v>123</v>
      </c>
      <c r="G21" s="80" t="s">
        <v>50</v>
      </c>
      <c r="H21" s="80" t="s">
        <v>51</v>
      </c>
      <c r="I21" s="82">
        <v>96.446280991735506</v>
      </c>
      <c r="J21" s="83">
        <v>107.14285714285721</v>
      </c>
      <c r="K21" s="83">
        <v>29.521428571428565</v>
      </c>
      <c r="L21" s="83">
        <v>59.057142857142885</v>
      </c>
      <c r="M21" s="83">
        <v>77.664285714285711</v>
      </c>
      <c r="N21" s="83">
        <v>126.62142857142857</v>
      </c>
      <c r="O21" s="83">
        <v>134.55714285714296</v>
      </c>
      <c r="P21" s="83">
        <v>8.8642857142857157</v>
      </c>
      <c r="Q21" s="83">
        <v>3.3428571428571425</v>
      </c>
      <c r="R21" s="83">
        <v>50.428571428571445</v>
      </c>
      <c r="S21" s="83">
        <v>16.650000000000002</v>
      </c>
      <c r="T21" s="83">
        <v>16.335714285714282</v>
      </c>
      <c r="U21" s="83">
        <v>189.97142857142887</v>
      </c>
      <c r="V21" s="83">
        <v>131.72142857142856</v>
      </c>
      <c r="W21" s="84">
        <v>224</v>
      </c>
      <c r="X21" s="85" t="s">
        <v>52</v>
      </c>
      <c r="Y21" s="152">
        <v>45484</v>
      </c>
      <c r="Z21" s="151" t="s">
        <v>62</v>
      </c>
      <c r="AA21" s="151" t="s">
        <v>54</v>
      </c>
      <c r="AB21" s="151" t="s">
        <v>63</v>
      </c>
    </row>
    <row r="22" spans="1:28" ht="16.350000000000001" customHeight="1" x14ac:dyDescent="0.25">
      <c r="A22" s="80" t="s">
        <v>124</v>
      </c>
      <c r="B22" s="80" t="s">
        <v>125</v>
      </c>
      <c r="C22" s="80" t="s">
        <v>126</v>
      </c>
      <c r="D22" s="80" t="s">
        <v>127</v>
      </c>
      <c r="E22" s="81">
        <v>85132</v>
      </c>
      <c r="F22" s="80" t="s">
        <v>128</v>
      </c>
      <c r="G22" s="80" t="s">
        <v>101</v>
      </c>
      <c r="H22" s="80" t="s">
        <v>76</v>
      </c>
      <c r="I22" s="82">
        <v>70.158333333333303</v>
      </c>
      <c r="J22" s="83">
        <v>51.021428571428615</v>
      </c>
      <c r="K22" s="83">
        <v>41.350000000000009</v>
      </c>
      <c r="L22" s="83">
        <v>143.6357142857143</v>
      </c>
      <c r="M22" s="83">
        <v>140.00000000000009</v>
      </c>
      <c r="N22" s="83">
        <v>232.27857142857161</v>
      </c>
      <c r="O22" s="83">
        <v>143.72857142857148</v>
      </c>
      <c r="P22" s="83">
        <v>0</v>
      </c>
      <c r="Q22" s="83">
        <v>0</v>
      </c>
      <c r="R22" s="83">
        <v>94.807142857142892</v>
      </c>
      <c r="S22" s="83">
        <v>28.085714285714285</v>
      </c>
      <c r="T22" s="83">
        <v>27.335714285714282</v>
      </c>
      <c r="U22" s="83">
        <v>225.77857142857138</v>
      </c>
      <c r="V22" s="83">
        <v>201.23571428571427</v>
      </c>
      <c r="W22" s="84" t="s">
        <v>77</v>
      </c>
      <c r="X22" s="85" t="s">
        <v>52</v>
      </c>
      <c r="Y22" s="152">
        <v>45609</v>
      </c>
      <c r="Z22" s="151" t="s">
        <v>53</v>
      </c>
      <c r="AA22" s="151" t="s">
        <v>70</v>
      </c>
      <c r="AB22" s="151" t="s">
        <v>63</v>
      </c>
    </row>
    <row r="23" spans="1:28" ht="16.350000000000001" customHeight="1" x14ac:dyDescent="0.25">
      <c r="A23" s="80" t="s">
        <v>129</v>
      </c>
      <c r="B23" s="80" t="s">
        <v>130</v>
      </c>
      <c r="C23" s="80" t="s">
        <v>131</v>
      </c>
      <c r="D23" s="80" t="s">
        <v>74</v>
      </c>
      <c r="E23" s="81">
        <v>71342</v>
      </c>
      <c r="F23" s="80" t="s">
        <v>49</v>
      </c>
      <c r="G23" s="80" t="s">
        <v>50</v>
      </c>
      <c r="H23" s="80" t="s">
        <v>51</v>
      </c>
      <c r="I23" s="82">
        <v>13.669117647058799</v>
      </c>
      <c r="J23" s="83">
        <v>412.92857142857287</v>
      </c>
      <c r="K23" s="83">
        <v>215.73571428571432</v>
      </c>
      <c r="L23" s="83">
        <v>351.56428571428535</v>
      </c>
      <c r="M23" s="83">
        <v>201.79285714285706</v>
      </c>
      <c r="N23" s="83">
        <v>521.90714285714387</v>
      </c>
      <c r="O23" s="83">
        <v>659.74285714285554</v>
      </c>
      <c r="P23" s="83">
        <v>0.30714285714285694</v>
      </c>
      <c r="Q23" s="83">
        <v>6.4285714285714293E-2</v>
      </c>
      <c r="R23" s="83">
        <v>144.97857142857134</v>
      </c>
      <c r="S23" s="83">
        <v>66.621428571428623</v>
      </c>
      <c r="T23" s="83">
        <v>69.214285714285708</v>
      </c>
      <c r="U23" s="83">
        <v>901.20714285714405</v>
      </c>
      <c r="V23" s="83">
        <v>811.09285714286011</v>
      </c>
      <c r="W23" s="84">
        <v>1170</v>
      </c>
      <c r="X23" s="85" t="s">
        <v>52</v>
      </c>
      <c r="Y23" s="152">
        <v>45666</v>
      </c>
      <c r="Z23" s="151" t="s">
        <v>53</v>
      </c>
      <c r="AA23" s="151" t="s">
        <v>54</v>
      </c>
      <c r="AB23" s="151" t="s">
        <v>55</v>
      </c>
    </row>
    <row r="24" spans="1:28" ht="16.350000000000001" customHeight="1" x14ac:dyDescent="0.25">
      <c r="A24" s="80" t="s">
        <v>132</v>
      </c>
      <c r="B24" s="80" t="s">
        <v>133</v>
      </c>
      <c r="C24" s="80" t="s">
        <v>134</v>
      </c>
      <c r="D24" s="80" t="s">
        <v>135</v>
      </c>
      <c r="E24" s="81">
        <v>66845</v>
      </c>
      <c r="F24" s="80" t="s">
        <v>100</v>
      </c>
      <c r="G24" s="80" t="s">
        <v>69</v>
      </c>
      <c r="H24" s="80" t="s">
        <v>51</v>
      </c>
      <c r="I24" s="82">
        <v>54.466666666666697</v>
      </c>
      <c r="J24" s="83">
        <v>16.600000000000016</v>
      </c>
      <c r="K24" s="83">
        <v>16.414285714285715</v>
      </c>
      <c r="L24" s="83">
        <v>32.699999999999996</v>
      </c>
      <c r="M24" s="83">
        <v>17.550000000000004</v>
      </c>
      <c r="N24" s="83">
        <v>46.664285714285711</v>
      </c>
      <c r="O24" s="83">
        <v>28.378571428571419</v>
      </c>
      <c r="P24" s="83">
        <v>5.45</v>
      </c>
      <c r="Q24" s="83">
        <v>2.7714285714285709</v>
      </c>
      <c r="R24" s="83">
        <v>15.664285714285713</v>
      </c>
      <c r="S24" s="83">
        <v>8.4142857142857128</v>
      </c>
      <c r="T24" s="83">
        <v>8.1857142857142851</v>
      </c>
      <c r="U24" s="83">
        <v>50.999999999999993</v>
      </c>
      <c r="V24" s="83">
        <v>70.207142857142955</v>
      </c>
      <c r="W24" s="84" t="s">
        <v>77</v>
      </c>
      <c r="X24" s="85" t="s">
        <v>52</v>
      </c>
      <c r="Y24" s="152">
        <v>45526</v>
      </c>
      <c r="Z24" s="151" t="s">
        <v>62</v>
      </c>
      <c r="AA24" s="151" t="s">
        <v>70</v>
      </c>
      <c r="AB24" s="151" t="s">
        <v>63</v>
      </c>
    </row>
    <row r="25" spans="1:28" ht="16.350000000000001" customHeight="1" x14ac:dyDescent="0.25">
      <c r="A25" s="80" t="s">
        <v>136</v>
      </c>
      <c r="B25" s="80" t="s">
        <v>137</v>
      </c>
      <c r="C25" s="80" t="s">
        <v>138</v>
      </c>
      <c r="D25" s="80" t="s">
        <v>117</v>
      </c>
      <c r="E25" s="81">
        <v>49783</v>
      </c>
      <c r="F25" s="80" t="s">
        <v>118</v>
      </c>
      <c r="G25" s="80" t="s">
        <v>69</v>
      </c>
      <c r="H25" s="80" t="s">
        <v>51</v>
      </c>
      <c r="I25" s="82">
        <v>69</v>
      </c>
      <c r="J25" s="83">
        <v>7.5857142857142872</v>
      </c>
      <c r="K25" s="83">
        <v>2.3285714285714287</v>
      </c>
      <c r="L25" s="83">
        <v>6.6857142857142851</v>
      </c>
      <c r="M25" s="83">
        <v>6.128571428571429</v>
      </c>
      <c r="N25" s="83">
        <v>11.542857142857143</v>
      </c>
      <c r="O25" s="83">
        <v>11.185714285714292</v>
      </c>
      <c r="P25" s="83">
        <v>0</v>
      </c>
      <c r="Q25" s="83">
        <v>0</v>
      </c>
      <c r="R25" s="83">
        <v>8.2285714285714295</v>
      </c>
      <c r="S25" s="83">
        <v>1.0428571428571427</v>
      </c>
      <c r="T25" s="83">
        <v>1.5857142857142856</v>
      </c>
      <c r="U25" s="83">
        <v>11.871428571428581</v>
      </c>
      <c r="V25" s="83">
        <v>16.678571428571431</v>
      </c>
      <c r="W25" s="84" t="s">
        <v>77</v>
      </c>
      <c r="X25" s="85" t="s">
        <v>52</v>
      </c>
      <c r="Y25" s="152">
        <v>45407</v>
      </c>
      <c r="Z25" s="151" t="s">
        <v>62</v>
      </c>
      <c r="AA25" s="151" t="s">
        <v>70</v>
      </c>
      <c r="AB25" s="151" t="s">
        <v>63</v>
      </c>
    </row>
    <row r="26" spans="1:28" ht="16.350000000000001" customHeight="1" x14ac:dyDescent="0.25">
      <c r="A26" s="80" t="s">
        <v>139</v>
      </c>
      <c r="B26" s="80" t="s">
        <v>140</v>
      </c>
      <c r="C26" s="80" t="s">
        <v>141</v>
      </c>
      <c r="D26" s="80" t="s">
        <v>142</v>
      </c>
      <c r="E26" s="81">
        <v>5403</v>
      </c>
      <c r="F26" s="80" t="s">
        <v>143</v>
      </c>
      <c r="G26" s="80" t="s">
        <v>101</v>
      </c>
      <c r="H26" s="80" t="s">
        <v>51</v>
      </c>
      <c r="I26" s="82">
        <v>2.5</v>
      </c>
      <c r="J26" s="83">
        <v>1.4785714285714289</v>
      </c>
      <c r="K26" s="83">
        <v>2.8571428571428571E-2</v>
      </c>
      <c r="L26" s="83">
        <v>7.1428571428571426E-3</v>
      </c>
      <c r="M26" s="83">
        <v>0</v>
      </c>
      <c r="N26" s="83">
        <v>0</v>
      </c>
      <c r="O26" s="83">
        <v>0</v>
      </c>
      <c r="P26" s="83">
        <v>5.7142857142857141E-2</v>
      </c>
      <c r="Q26" s="83">
        <v>1.4571428571428575</v>
      </c>
      <c r="R26" s="83">
        <v>0</v>
      </c>
      <c r="S26" s="83">
        <v>0</v>
      </c>
      <c r="T26" s="83">
        <v>0</v>
      </c>
      <c r="U26" s="83">
        <v>1.5142857142857147</v>
      </c>
      <c r="V26" s="83">
        <v>0.9</v>
      </c>
      <c r="W26" s="84" t="s">
        <v>77</v>
      </c>
      <c r="X26" s="85" t="s">
        <v>144</v>
      </c>
      <c r="Y26" s="152">
        <v>45394</v>
      </c>
      <c r="Z26" s="151" t="s">
        <v>62</v>
      </c>
      <c r="AA26" s="151" t="s">
        <v>145</v>
      </c>
      <c r="AB26" s="151" t="s">
        <v>63</v>
      </c>
    </row>
    <row r="27" spans="1:28" ht="16.350000000000001" customHeight="1" x14ac:dyDescent="0.25">
      <c r="A27" s="80" t="s">
        <v>146</v>
      </c>
      <c r="B27" s="80" t="s">
        <v>147</v>
      </c>
      <c r="C27" s="80" t="s">
        <v>148</v>
      </c>
      <c r="D27" s="80" t="s">
        <v>149</v>
      </c>
      <c r="E27" s="81">
        <v>87021</v>
      </c>
      <c r="F27" s="80" t="s">
        <v>150</v>
      </c>
      <c r="G27" s="80" t="s">
        <v>69</v>
      </c>
      <c r="H27" s="80" t="s">
        <v>76</v>
      </c>
      <c r="I27" s="82">
        <v>26.9821428571429</v>
      </c>
      <c r="J27" s="83">
        <v>145.71428571428683</v>
      </c>
      <c r="K27" s="83">
        <v>15.835714285714282</v>
      </c>
      <c r="L27" s="83">
        <v>0.42142857142857143</v>
      </c>
      <c r="M27" s="83">
        <v>0.52857142857142858</v>
      </c>
      <c r="N27" s="83">
        <v>14.042857142857141</v>
      </c>
      <c r="O27" s="83">
        <v>148.45714285714394</v>
      </c>
      <c r="P27" s="83">
        <v>0</v>
      </c>
      <c r="Q27" s="83">
        <v>0</v>
      </c>
      <c r="R27" s="83">
        <v>0</v>
      </c>
      <c r="S27" s="83">
        <v>6.4285714285714279E-2</v>
      </c>
      <c r="T27" s="83">
        <v>4.8285714285714292</v>
      </c>
      <c r="U27" s="83">
        <v>157.60714285714425</v>
      </c>
      <c r="V27" s="83">
        <v>157.7928571428584</v>
      </c>
      <c r="W27" s="84" t="s">
        <v>77</v>
      </c>
      <c r="X27" s="85" t="s">
        <v>52</v>
      </c>
      <c r="Y27" s="152">
        <v>45533</v>
      </c>
      <c r="Z27" s="151" t="s">
        <v>62</v>
      </c>
      <c r="AA27" s="151" t="s">
        <v>54</v>
      </c>
      <c r="AB27" s="151" t="s">
        <v>63</v>
      </c>
    </row>
    <row r="28" spans="1:28" ht="16.350000000000001" customHeight="1" x14ac:dyDescent="0.25">
      <c r="A28" s="80" t="s">
        <v>151</v>
      </c>
      <c r="B28" s="80" t="s">
        <v>152</v>
      </c>
      <c r="C28" s="80" t="s">
        <v>153</v>
      </c>
      <c r="D28" s="80" t="s">
        <v>154</v>
      </c>
      <c r="E28" s="81">
        <v>47834</v>
      </c>
      <c r="F28" s="80" t="s">
        <v>100</v>
      </c>
      <c r="G28" s="80" t="s">
        <v>101</v>
      </c>
      <c r="H28" s="80" t="s">
        <v>51</v>
      </c>
      <c r="I28" s="82">
        <v>19.1904761904762</v>
      </c>
      <c r="J28" s="83">
        <v>45.935714285714319</v>
      </c>
      <c r="K28" s="83">
        <v>29.0857142857143</v>
      </c>
      <c r="L28" s="83">
        <v>89.157142857142901</v>
      </c>
      <c r="M28" s="83">
        <v>63.257142857142931</v>
      </c>
      <c r="N28" s="83">
        <v>136.8642857142857</v>
      </c>
      <c r="O28" s="83">
        <v>77.249999999999957</v>
      </c>
      <c r="P28" s="83">
        <v>7.5785714285714292</v>
      </c>
      <c r="Q28" s="83">
        <v>5.7428571428571411</v>
      </c>
      <c r="R28" s="83">
        <v>34.850000000000009</v>
      </c>
      <c r="S28" s="83">
        <v>14.635714285714288</v>
      </c>
      <c r="T28" s="83">
        <v>15.485714285714288</v>
      </c>
      <c r="U28" s="83">
        <v>162.46428571428595</v>
      </c>
      <c r="V28" s="83">
        <v>150.43571428571431</v>
      </c>
      <c r="W28" s="84" t="s">
        <v>77</v>
      </c>
      <c r="X28" s="85" t="s">
        <v>52</v>
      </c>
      <c r="Y28" s="152">
        <v>45470</v>
      </c>
      <c r="Z28" s="151" t="s">
        <v>62</v>
      </c>
      <c r="AA28" s="151" t="s">
        <v>70</v>
      </c>
      <c r="AB28" s="151" t="s">
        <v>63</v>
      </c>
    </row>
    <row r="29" spans="1:28" ht="16.350000000000001" customHeight="1" x14ac:dyDescent="0.25">
      <c r="A29" s="80" t="s">
        <v>155</v>
      </c>
      <c r="B29" s="80" t="s">
        <v>156</v>
      </c>
      <c r="C29" s="80" t="s">
        <v>157</v>
      </c>
      <c r="D29" s="80" t="s">
        <v>158</v>
      </c>
      <c r="E29" s="81">
        <v>17748</v>
      </c>
      <c r="F29" s="80" t="s">
        <v>159</v>
      </c>
      <c r="G29" s="80" t="s">
        <v>101</v>
      </c>
      <c r="H29" s="80" t="s">
        <v>76</v>
      </c>
      <c r="I29" s="82">
        <v>180.42857142857099</v>
      </c>
      <c r="J29" s="83">
        <v>2.2214285714285711</v>
      </c>
      <c r="K29" s="83">
        <v>23.057142857142853</v>
      </c>
      <c r="L29" s="83">
        <v>36.742857142857133</v>
      </c>
      <c r="M29" s="83">
        <v>16.271428571428569</v>
      </c>
      <c r="N29" s="83">
        <v>72.45</v>
      </c>
      <c r="O29" s="83">
        <v>3</v>
      </c>
      <c r="P29" s="83">
        <v>2.0071428571428571</v>
      </c>
      <c r="Q29" s="83">
        <v>0.83571428571428574</v>
      </c>
      <c r="R29" s="83">
        <v>28.750000000000004</v>
      </c>
      <c r="S29" s="83">
        <v>12.685714285714287</v>
      </c>
      <c r="T29" s="83">
        <v>0.93571428571428572</v>
      </c>
      <c r="U29" s="83">
        <v>35.921428571428564</v>
      </c>
      <c r="V29" s="83">
        <v>67.635714285714286</v>
      </c>
      <c r="W29" s="84" t="s">
        <v>77</v>
      </c>
      <c r="X29" s="85" t="s">
        <v>52</v>
      </c>
      <c r="Y29" s="152">
        <v>45491</v>
      </c>
      <c r="Z29" s="151" t="s">
        <v>62</v>
      </c>
      <c r="AA29" s="151" t="s">
        <v>70</v>
      </c>
      <c r="AB29" s="151" t="s">
        <v>63</v>
      </c>
    </row>
    <row r="30" spans="1:28" ht="16.350000000000001" customHeight="1" x14ac:dyDescent="0.25">
      <c r="A30" s="80" t="s">
        <v>160</v>
      </c>
      <c r="B30" s="80" t="s">
        <v>161</v>
      </c>
      <c r="C30" s="80" t="s">
        <v>162</v>
      </c>
      <c r="D30" s="80" t="s">
        <v>111</v>
      </c>
      <c r="E30" s="81">
        <v>12901</v>
      </c>
      <c r="F30" s="80" t="s">
        <v>112</v>
      </c>
      <c r="G30" s="80" t="s">
        <v>101</v>
      </c>
      <c r="H30" s="80" t="s">
        <v>51</v>
      </c>
      <c r="I30" s="82">
        <v>11.9142857142857</v>
      </c>
      <c r="J30" s="83">
        <v>1.4499999999999995</v>
      </c>
      <c r="K30" s="83">
        <v>0.29285714285714287</v>
      </c>
      <c r="L30" s="83">
        <v>1.7071428571428571</v>
      </c>
      <c r="M30" s="83">
        <v>0.20714285714285716</v>
      </c>
      <c r="N30" s="83">
        <v>0.42857142857142855</v>
      </c>
      <c r="O30" s="83">
        <v>0.3785714285714285</v>
      </c>
      <c r="P30" s="83">
        <v>0.68571428571428572</v>
      </c>
      <c r="Q30" s="83">
        <v>2.1642857142857137</v>
      </c>
      <c r="R30" s="83">
        <v>0.68571428571428572</v>
      </c>
      <c r="S30" s="83">
        <v>0</v>
      </c>
      <c r="T30" s="83">
        <v>0</v>
      </c>
      <c r="U30" s="83">
        <v>2.9714285714285693</v>
      </c>
      <c r="V30" s="83">
        <v>2.0214285714285705</v>
      </c>
      <c r="W30" s="84" t="s">
        <v>77</v>
      </c>
      <c r="X30" s="85" t="s">
        <v>52</v>
      </c>
      <c r="Y30" s="152">
        <v>45449</v>
      </c>
      <c r="Z30" s="151" t="s">
        <v>62</v>
      </c>
      <c r="AA30" s="151" t="s">
        <v>70</v>
      </c>
      <c r="AB30" s="151" t="s">
        <v>63</v>
      </c>
    </row>
    <row r="31" spans="1:28" ht="16.350000000000001" customHeight="1" x14ac:dyDescent="0.25">
      <c r="A31" s="80" t="s">
        <v>163</v>
      </c>
      <c r="B31" s="80" t="s">
        <v>164</v>
      </c>
      <c r="C31" s="80" t="s">
        <v>165</v>
      </c>
      <c r="D31" s="80" t="s">
        <v>94</v>
      </c>
      <c r="E31" s="81">
        <v>78380</v>
      </c>
      <c r="F31" s="80" t="s">
        <v>166</v>
      </c>
      <c r="G31" s="80" t="s">
        <v>101</v>
      </c>
      <c r="H31" s="80" t="s">
        <v>76</v>
      </c>
      <c r="I31" s="82">
        <v>0.518987341772152</v>
      </c>
      <c r="J31" s="83">
        <v>0.76428571428571312</v>
      </c>
      <c r="K31" s="83">
        <v>1.5142857142857111</v>
      </c>
      <c r="L31" s="83">
        <v>0.27857142857142853</v>
      </c>
      <c r="M31" s="83">
        <v>0.05</v>
      </c>
      <c r="N31" s="83">
        <v>1.1499999999999984</v>
      </c>
      <c r="O31" s="83">
        <v>1.0999999999999974</v>
      </c>
      <c r="P31" s="83">
        <v>2.8571428571428571E-2</v>
      </c>
      <c r="Q31" s="83">
        <v>0.3285714285714284</v>
      </c>
      <c r="R31" s="83">
        <v>3.5714285714285712E-2</v>
      </c>
      <c r="S31" s="83">
        <v>3.5714285714285712E-2</v>
      </c>
      <c r="T31" s="83">
        <v>7.857142857142857E-2</v>
      </c>
      <c r="U31" s="83">
        <v>2.4571428571428511</v>
      </c>
      <c r="V31" s="83">
        <v>2.2285714285714233</v>
      </c>
      <c r="W31" s="84" t="s">
        <v>77</v>
      </c>
      <c r="X31" s="85" t="s">
        <v>52</v>
      </c>
      <c r="Y31" s="152">
        <v>45694</v>
      </c>
      <c r="Z31" s="151" t="s">
        <v>62</v>
      </c>
      <c r="AA31" s="151" t="s">
        <v>70</v>
      </c>
      <c r="AB31" s="151" t="s">
        <v>63</v>
      </c>
    </row>
    <row r="32" spans="1:28" ht="16.350000000000001" customHeight="1" x14ac:dyDescent="0.25">
      <c r="A32" s="80" t="s">
        <v>167</v>
      </c>
      <c r="B32" s="80" t="s">
        <v>168</v>
      </c>
      <c r="C32" s="80" t="s">
        <v>169</v>
      </c>
      <c r="D32" s="80" t="s">
        <v>89</v>
      </c>
      <c r="E32" s="81">
        <v>34112</v>
      </c>
      <c r="F32" s="80" t="s">
        <v>90</v>
      </c>
      <c r="G32" s="80" t="s">
        <v>69</v>
      </c>
      <c r="H32" s="80" t="s">
        <v>51</v>
      </c>
      <c r="I32" s="82">
        <v>3.1615384615384601</v>
      </c>
      <c r="J32" s="83">
        <v>4.8999999999999879</v>
      </c>
      <c r="K32" s="83">
        <v>2.0928571428571412</v>
      </c>
      <c r="L32" s="83">
        <v>2.3642857142857108</v>
      </c>
      <c r="M32" s="83">
        <v>1.792857142857142</v>
      </c>
      <c r="N32" s="83">
        <v>5.821428571428557</v>
      </c>
      <c r="O32" s="83">
        <v>4.9928571428571313</v>
      </c>
      <c r="P32" s="83">
        <v>0.1357142857142857</v>
      </c>
      <c r="Q32" s="83">
        <v>0.20000000000000004</v>
      </c>
      <c r="R32" s="83">
        <v>0.15714285714285714</v>
      </c>
      <c r="S32" s="83">
        <v>0.15000000000000002</v>
      </c>
      <c r="T32" s="83">
        <v>0.31428571428571422</v>
      </c>
      <c r="U32" s="83">
        <v>10.528571428571455</v>
      </c>
      <c r="V32" s="83">
        <v>7.2357142857142662</v>
      </c>
      <c r="W32" s="84" t="s">
        <v>77</v>
      </c>
      <c r="X32" s="85" t="s">
        <v>52</v>
      </c>
      <c r="Y32" s="152">
        <v>45631</v>
      </c>
      <c r="Z32" s="151" t="s">
        <v>53</v>
      </c>
      <c r="AA32" s="151" t="s">
        <v>70</v>
      </c>
      <c r="AB32" s="151" t="s">
        <v>63</v>
      </c>
    </row>
    <row r="33" spans="1:28" ht="16.350000000000001" customHeight="1" x14ac:dyDescent="0.25">
      <c r="A33" s="80" t="s">
        <v>170</v>
      </c>
      <c r="B33" s="80" t="s">
        <v>171</v>
      </c>
      <c r="C33" s="80" t="s">
        <v>172</v>
      </c>
      <c r="D33" s="80" t="s">
        <v>173</v>
      </c>
      <c r="E33" s="81">
        <v>4102</v>
      </c>
      <c r="F33" s="80" t="s">
        <v>143</v>
      </c>
      <c r="G33" s="80" t="s">
        <v>101</v>
      </c>
      <c r="H33" s="80" t="s">
        <v>51</v>
      </c>
      <c r="I33" s="82">
        <v>7.0847457627118597</v>
      </c>
      <c r="J33" s="83">
        <v>6.735714285714284</v>
      </c>
      <c r="K33" s="83">
        <v>0.79285714285714282</v>
      </c>
      <c r="L33" s="83">
        <v>17.442857142857143</v>
      </c>
      <c r="M33" s="83">
        <v>15.47142857142857</v>
      </c>
      <c r="N33" s="83">
        <v>20.199999999999992</v>
      </c>
      <c r="O33" s="83">
        <v>14.971428571428579</v>
      </c>
      <c r="P33" s="83">
        <v>1.0357142857142856</v>
      </c>
      <c r="Q33" s="83">
        <v>4.2357142857142858</v>
      </c>
      <c r="R33" s="83">
        <v>11.135714285714288</v>
      </c>
      <c r="S33" s="83">
        <v>0.6</v>
      </c>
      <c r="T33" s="83">
        <v>4.4928571428571429</v>
      </c>
      <c r="U33" s="83">
        <v>24.21428571428573</v>
      </c>
      <c r="V33" s="83">
        <v>26.564285714285724</v>
      </c>
      <c r="W33" s="84" t="s">
        <v>77</v>
      </c>
      <c r="X33" s="85" t="s">
        <v>52</v>
      </c>
      <c r="Y33" s="152">
        <v>45547</v>
      </c>
      <c r="Z33" s="151" t="s">
        <v>62</v>
      </c>
      <c r="AA33" s="151" t="s">
        <v>70</v>
      </c>
      <c r="AB33" s="151" t="s">
        <v>63</v>
      </c>
    </row>
    <row r="34" spans="1:28" ht="16.350000000000001" customHeight="1" x14ac:dyDescent="0.25">
      <c r="A34" s="80" t="s">
        <v>174</v>
      </c>
      <c r="B34" s="80" t="s">
        <v>175</v>
      </c>
      <c r="C34" s="80" t="s">
        <v>176</v>
      </c>
      <c r="D34" s="80" t="s">
        <v>177</v>
      </c>
      <c r="E34" s="81">
        <v>68731</v>
      </c>
      <c r="F34" s="80" t="s">
        <v>178</v>
      </c>
      <c r="G34" s="80" t="s">
        <v>101</v>
      </c>
      <c r="H34" s="80" t="s">
        <v>51</v>
      </c>
      <c r="I34" s="82">
        <v>2.5</v>
      </c>
      <c r="J34" s="83">
        <v>1.2285714285714284</v>
      </c>
      <c r="K34" s="83">
        <v>0.59285714285714275</v>
      </c>
      <c r="L34" s="83">
        <v>0.66428571428571426</v>
      </c>
      <c r="M34" s="83">
        <v>0.51428571428571423</v>
      </c>
      <c r="N34" s="83">
        <v>1.4714285714285704</v>
      </c>
      <c r="O34" s="83">
        <v>1.5285714285714285</v>
      </c>
      <c r="P34" s="83">
        <v>0</v>
      </c>
      <c r="Q34" s="83">
        <v>0</v>
      </c>
      <c r="R34" s="83">
        <v>0.21428571428571427</v>
      </c>
      <c r="S34" s="83">
        <v>0.2</v>
      </c>
      <c r="T34" s="83">
        <v>0.55000000000000004</v>
      </c>
      <c r="U34" s="83">
        <v>2.0357142857142851</v>
      </c>
      <c r="V34" s="83">
        <v>1.5571428571428565</v>
      </c>
      <c r="W34" s="84" t="s">
        <v>77</v>
      </c>
      <c r="X34" s="85" t="s">
        <v>144</v>
      </c>
      <c r="Y34" s="152">
        <v>45633</v>
      </c>
      <c r="Z34" s="151" t="s">
        <v>53</v>
      </c>
      <c r="AA34" s="151" t="s">
        <v>145</v>
      </c>
      <c r="AB34" s="151" t="s">
        <v>63</v>
      </c>
    </row>
    <row r="35" spans="1:28" ht="16.350000000000001" customHeight="1" x14ac:dyDescent="0.25">
      <c r="A35" s="80" t="s">
        <v>179</v>
      </c>
      <c r="B35" s="80" t="s">
        <v>180</v>
      </c>
      <c r="C35" s="80" t="s">
        <v>181</v>
      </c>
      <c r="D35" s="80" t="s">
        <v>182</v>
      </c>
      <c r="E35" s="81">
        <v>80010</v>
      </c>
      <c r="F35" s="80" t="s">
        <v>183</v>
      </c>
      <c r="G35" s="80" t="s">
        <v>61</v>
      </c>
      <c r="H35" s="80" t="s">
        <v>51</v>
      </c>
      <c r="I35" s="82">
        <v>47.161835748792299</v>
      </c>
      <c r="J35" s="83">
        <v>637.29285714285356</v>
      </c>
      <c r="K35" s="83">
        <v>181.87142857142862</v>
      </c>
      <c r="L35" s="83">
        <v>184.23571428571429</v>
      </c>
      <c r="M35" s="83">
        <v>134.25714285714278</v>
      </c>
      <c r="N35" s="83">
        <v>260.05714285714294</v>
      </c>
      <c r="O35" s="83">
        <v>816.22857142856765</v>
      </c>
      <c r="P35" s="83">
        <v>17.214285714285712</v>
      </c>
      <c r="Q35" s="83">
        <v>44.157142857142873</v>
      </c>
      <c r="R35" s="83">
        <v>125.84285714285706</v>
      </c>
      <c r="S35" s="83">
        <v>53.82857142857145</v>
      </c>
      <c r="T35" s="83">
        <v>52.199999999999982</v>
      </c>
      <c r="U35" s="83">
        <v>905.78571428571172</v>
      </c>
      <c r="V35" s="83">
        <v>534.47857142857015</v>
      </c>
      <c r="W35" s="84">
        <v>600</v>
      </c>
      <c r="X35" s="85" t="s">
        <v>52</v>
      </c>
      <c r="Y35" s="152">
        <v>45519</v>
      </c>
      <c r="Z35" s="151" t="s">
        <v>62</v>
      </c>
      <c r="AA35" s="151" t="s">
        <v>54</v>
      </c>
      <c r="AB35" s="151" t="s">
        <v>63</v>
      </c>
    </row>
    <row r="36" spans="1:28" ht="16.350000000000001" customHeight="1" x14ac:dyDescent="0.25">
      <c r="A36" s="80" t="s">
        <v>184</v>
      </c>
      <c r="B36" s="80" t="s">
        <v>185</v>
      </c>
      <c r="C36" s="80" t="s">
        <v>186</v>
      </c>
      <c r="D36" s="80" t="s">
        <v>187</v>
      </c>
      <c r="E36" s="81">
        <v>96910</v>
      </c>
      <c r="F36" s="80" t="s">
        <v>188</v>
      </c>
      <c r="G36" s="80" t="s">
        <v>101</v>
      </c>
      <c r="H36" s="80" t="s">
        <v>51</v>
      </c>
      <c r="I36" s="82"/>
      <c r="J36" s="83">
        <v>0</v>
      </c>
      <c r="K36" s="83">
        <v>0.54999999999999993</v>
      </c>
      <c r="L36" s="83">
        <v>2.907142857142857</v>
      </c>
      <c r="M36" s="83">
        <v>0.41428571428571431</v>
      </c>
      <c r="N36" s="83">
        <v>3.6071428571428568</v>
      </c>
      <c r="O36" s="83">
        <v>0.26428571428571429</v>
      </c>
      <c r="P36" s="83">
        <v>0</v>
      </c>
      <c r="Q36" s="83">
        <v>0</v>
      </c>
      <c r="R36" s="83">
        <v>3.0571428571428569</v>
      </c>
      <c r="S36" s="83">
        <v>0.35714285714285715</v>
      </c>
      <c r="T36" s="83">
        <v>0</v>
      </c>
      <c r="U36" s="83">
        <v>0.45714285714285718</v>
      </c>
      <c r="V36" s="83">
        <v>3.8642857142857139</v>
      </c>
      <c r="W36" s="84" t="s">
        <v>77</v>
      </c>
      <c r="X36" s="85" t="s">
        <v>144</v>
      </c>
      <c r="Y36" s="152">
        <v>45365</v>
      </c>
      <c r="Z36" s="151" t="s">
        <v>62</v>
      </c>
      <c r="AA36" s="151" t="s">
        <v>145</v>
      </c>
      <c r="AB36" s="151" t="s">
        <v>63</v>
      </c>
    </row>
    <row r="37" spans="1:28" ht="16.350000000000001" customHeight="1" x14ac:dyDescent="0.25">
      <c r="A37" s="80" t="s">
        <v>189</v>
      </c>
      <c r="B37" s="80" t="s">
        <v>190</v>
      </c>
      <c r="C37" s="80" t="s">
        <v>58</v>
      </c>
      <c r="D37" s="80" t="s">
        <v>59</v>
      </c>
      <c r="E37" s="81">
        <v>92301</v>
      </c>
      <c r="F37" s="80" t="s">
        <v>60</v>
      </c>
      <c r="G37" s="80" t="s">
        <v>61</v>
      </c>
      <c r="H37" s="80" t="s">
        <v>51</v>
      </c>
      <c r="I37" s="82">
        <v>37.470238095238102</v>
      </c>
      <c r="J37" s="83">
        <v>205.64285714285671</v>
      </c>
      <c r="K37" s="83">
        <v>23.03571428571427</v>
      </c>
      <c r="L37" s="83">
        <v>76.792857142857173</v>
      </c>
      <c r="M37" s="83">
        <v>103.81428571428572</v>
      </c>
      <c r="N37" s="83">
        <v>169.95000000000007</v>
      </c>
      <c r="O37" s="83">
        <v>239.33571428571423</v>
      </c>
      <c r="P37" s="83">
        <v>0</v>
      </c>
      <c r="Q37" s="83">
        <v>0</v>
      </c>
      <c r="R37" s="83">
        <v>21.114285714285721</v>
      </c>
      <c r="S37" s="83">
        <v>7.5428571428571427</v>
      </c>
      <c r="T37" s="83">
        <v>3.6714285714285704</v>
      </c>
      <c r="U37" s="83">
        <v>376.95714285714155</v>
      </c>
      <c r="V37" s="83">
        <v>239.24999999999986</v>
      </c>
      <c r="W37" s="84">
        <v>480</v>
      </c>
      <c r="X37" s="85" t="s">
        <v>52</v>
      </c>
      <c r="Y37" s="152">
        <v>45519</v>
      </c>
      <c r="Z37" s="151" t="s">
        <v>62</v>
      </c>
      <c r="AA37" s="151" t="s">
        <v>54</v>
      </c>
      <c r="AB37" s="151" t="s">
        <v>63</v>
      </c>
    </row>
    <row r="38" spans="1:28" ht="16.350000000000001" customHeight="1" x14ac:dyDescent="0.25">
      <c r="A38" s="80" t="s">
        <v>191</v>
      </c>
      <c r="B38" s="80" t="s">
        <v>192</v>
      </c>
      <c r="C38" s="80" t="s">
        <v>193</v>
      </c>
      <c r="D38" s="80" t="s">
        <v>194</v>
      </c>
      <c r="E38" s="81">
        <v>53039</v>
      </c>
      <c r="F38" s="80" t="s">
        <v>100</v>
      </c>
      <c r="G38" s="80" t="s">
        <v>101</v>
      </c>
      <c r="H38" s="80" t="s">
        <v>51</v>
      </c>
      <c r="I38" s="82">
        <v>111.54838709677399</v>
      </c>
      <c r="J38" s="83">
        <v>8.0214285714285705</v>
      </c>
      <c r="K38" s="83">
        <v>15.450000000000006</v>
      </c>
      <c r="L38" s="83">
        <v>45.514285714285762</v>
      </c>
      <c r="M38" s="83">
        <v>40.964285714285737</v>
      </c>
      <c r="N38" s="83">
        <v>87.628571428571448</v>
      </c>
      <c r="O38" s="83">
        <v>21.407142857142855</v>
      </c>
      <c r="P38" s="83">
        <v>7.857142857142857E-2</v>
      </c>
      <c r="Q38" s="83">
        <v>0.83571428571428574</v>
      </c>
      <c r="R38" s="83">
        <v>30.400000000000009</v>
      </c>
      <c r="S38" s="83">
        <v>12.87142857142857</v>
      </c>
      <c r="T38" s="83">
        <v>8.4</v>
      </c>
      <c r="U38" s="83">
        <v>58.278571428571489</v>
      </c>
      <c r="V38" s="83">
        <v>80.178571428571431</v>
      </c>
      <c r="W38" s="84" t="s">
        <v>77</v>
      </c>
      <c r="X38" s="85" t="s">
        <v>52</v>
      </c>
      <c r="Y38" s="152">
        <v>45519</v>
      </c>
      <c r="Z38" s="151" t="s">
        <v>62</v>
      </c>
      <c r="AA38" s="151" t="s">
        <v>70</v>
      </c>
      <c r="AB38" s="151" t="s">
        <v>63</v>
      </c>
    </row>
    <row r="39" spans="1:28" ht="16.350000000000001" customHeight="1" x14ac:dyDescent="0.25">
      <c r="A39" s="80" t="s">
        <v>195</v>
      </c>
      <c r="B39" s="80" t="s">
        <v>196</v>
      </c>
      <c r="C39" s="80" t="s">
        <v>197</v>
      </c>
      <c r="D39" s="80" t="s">
        <v>94</v>
      </c>
      <c r="E39" s="81">
        <v>78562</v>
      </c>
      <c r="F39" s="80" t="s">
        <v>166</v>
      </c>
      <c r="G39" s="80" t="s">
        <v>101</v>
      </c>
      <c r="H39" s="80" t="s">
        <v>51</v>
      </c>
      <c r="I39" s="82">
        <v>1.5</v>
      </c>
      <c r="J39" s="83">
        <v>1.1071428571428565</v>
      </c>
      <c r="K39" s="83">
        <v>0.20714285714285718</v>
      </c>
      <c r="L39" s="83">
        <v>0.15714285714285714</v>
      </c>
      <c r="M39" s="83">
        <v>0.12857142857142859</v>
      </c>
      <c r="N39" s="83">
        <v>1.4785714285714278</v>
      </c>
      <c r="O39" s="83">
        <v>0.10714285714285715</v>
      </c>
      <c r="P39" s="83">
        <v>1.4285714285714285E-2</v>
      </c>
      <c r="Q39" s="83">
        <v>0</v>
      </c>
      <c r="R39" s="83">
        <v>0.76428571428571368</v>
      </c>
      <c r="S39" s="83">
        <v>6.4285714285714293E-2</v>
      </c>
      <c r="T39" s="83">
        <v>0</v>
      </c>
      <c r="U39" s="83">
        <v>0.77142857142857124</v>
      </c>
      <c r="V39" s="83">
        <v>1.5785714285714276</v>
      </c>
      <c r="W39" s="84" t="s">
        <v>77</v>
      </c>
      <c r="X39" s="85" t="s">
        <v>144</v>
      </c>
      <c r="Y39" s="152">
        <v>45526</v>
      </c>
      <c r="Z39" s="151" t="s">
        <v>62</v>
      </c>
      <c r="AA39" s="151" t="s">
        <v>145</v>
      </c>
      <c r="AB39" s="151" t="s">
        <v>63</v>
      </c>
    </row>
    <row r="40" spans="1:28" ht="16.350000000000001" customHeight="1" x14ac:dyDescent="0.25">
      <c r="A40" s="80" t="s">
        <v>198</v>
      </c>
      <c r="B40" s="80" t="s">
        <v>199</v>
      </c>
      <c r="C40" s="80" t="s">
        <v>200</v>
      </c>
      <c r="D40" s="80" t="s">
        <v>94</v>
      </c>
      <c r="E40" s="81">
        <v>76837</v>
      </c>
      <c r="F40" s="80" t="s">
        <v>95</v>
      </c>
      <c r="G40" s="80" t="s">
        <v>101</v>
      </c>
      <c r="H40" s="80" t="s">
        <v>76</v>
      </c>
      <c r="I40" s="82">
        <v>27.031007751937999</v>
      </c>
      <c r="J40" s="83">
        <v>104.55714285714308</v>
      </c>
      <c r="K40" s="83">
        <v>4.4785714285714269</v>
      </c>
      <c r="L40" s="83">
        <v>0.37142857142857133</v>
      </c>
      <c r="M40" s="83">
        <v>0.20714285714285716</v>
      </c>
      <c r="N40" s="83">
        <v>3.7357142857142795</v>
      </c>
      <c r="O40" s="83">
        <v>105.87857142857163</v>
      </c>
      <c r="P40" s="83">
        <v>0</v>
      </c>
      <c r="Q40" s="83">
        <v>0</v>
      </c>
      <c r="R40" s="83">
        <v>0.47142857142857142</v>
      </c>
      <c r="S40" s="83">
        <v>0.19285714285714284</v>
      </c>
      <c r="T40" s="83">
        <v>0.2857142857142857</v>
      </c>
      <c r="U40" s="83">
        <v>108.66428571428588</v>
      </c>
      <c r="V40" s="83">
        <v>30.185714285714241</v>
      </c>
      <c r="W40" s="84" t="s">
        <v>77</v>
      </c>
      <c r="X40" s="85" t="s">
        <v>52</v>
      </c>
      <c r="Y40" s="152">
        <v>45512</v>
      </c>
      <c r="Z40" s="151" t="s">
        <v>62</v>
      </c>
      <c r="AA40" s="151" t="s">
        <v>70</v>
      </c>
      <c r="AB40" s="151" t="s">
        <v>63</v>
      </c>
    </row>
    <row r="41" spans="1:28" ht="16.350000000000001" customHeight="1" x14ac:dyDescent="0.25">
      <c r="A41" s="80" t="s">
        <v>201</v>
      </c>
      <c r="B41" s="80" t="s">
        <v>202</v>
      </c>
      <c r="C41" s="80" t="s">
        <v>203</v>
      </c>
      <c r="D41" s="80" t="s">
        <v>94</v>
      </c>
      <c r="E41" s="81">
        <v>79925</v>
      </c>
      <c r="F41" s="80" t="s">
        <v>150</v>
      </c>
      <c r="G41" s="80" t="s">
        <v>113</v>
      </c>
      <c r="H41" s="80" t="s">
        <v>51</v>
      </c>
      <c r="I41" s="82">
        <v>42.984375</v>
      </c>
      <c r="J41" s="83">
        <v>311.50714285714571</v>
      </c>
      <c r="K41" s="83">
        <v>190.05000000000146</v>
      </c>
      <c r="L41" s="83">
        <v>138.25714285714284</v>
      </c>
      <c r="M41" s="83">
        <v>80.435714285714283</v>
      </c>
      <c r="N41" s="83">
        <v>285.61428571428957</v>
      </c>
      <c r="O41" s="83">
        <v>231.14285714285901</v>
      </c>
      <c r="P41" s="83">
        <v>60.235714285714288</v>
      </c>
      <c r="Q41" s="83">
        <v>143.25714285714261</v>
      </c>
      <c r="R41" s="83">
        <v>79.757142857142938</v>
      </c>
      <c r="S41" s="83">
        <v>65.328571428571678</v>
      </c>
      <c r="T41" s="83">
        <v>111.39999999999978</v>
      </c>
      <c r="U41" s="83">
        <v>463.76428571428863</v>
      </c>
      <c r="V41" s="83">
        <v>589.94285714286309</v>
      </c>
      <c r="W41" s="84">
        <v>450</v>
      </c>
      <c r="X41" s="85" t="s">
        <v>52</v>
      </c>
      <c r="Y41" s="152">
        <v>45701</v>
      </c>
      <c r="Z41" s="151"/>
      <c r="AA41" s="151" t="s">
        <v>54</v>
      </c>
      <c r="AB41" s="151" t="s">
        <v>55</v>
      </c>
    </row>
    <row r="42" spans="1:28" ht="16.350000000000001" customHeight="1" x14ac:dyDescent="0.25">
      <c r="A42" s="80" t="s">
        <v>204</v>
      </c>
      <c r="B42" s="80" t="s">
        <v>205</v>
      </c>
      <c r="C42" s="80" t="s">
        <v>206</v>
      </c>
      <c r="D42" s="80" t="s">
        <v>94</v>
      </c>
      <c r="E42" s="81">
        <v>78580</v>
      </c>
      <c r="F42" s="80" t="s">
        <v>166</v>
      </c>
      <c r="G42" s="80" t="s">
        <v>50</v>
      </c>
      <c r="H42" s="80" t="s">
        <v>51</v>
      </c>
      <c r="I42" s="82">
        <v>26.624203821656</v>
      </c>
      <c r="J42" s="83">
        <v>771.84999999999616</v>
      </c>
      <c r="K42" s="83">
        <v>29.100000000000023</v>
      </c>
      <c r="L42" s="83">
        <v>26.614285714285717</v>
      </c>
      <c r="M42" s="83">
        <v>26.392857142857153</v>
      </c>
      <c r="N42" s="83">
        <v>99.835714285714303</v>
      </c>
      <c r="O42" s="83">
        <v>260.2714285714286</v>
      </c>
      <c r="P42" s="83">
        <v>17.399999999999991</v>
      </c>
      <c r="Q42" s="83">
        <v>476.44999999999965</v>
      </c>
      <c r="R42" s="83">
        <v>26.549999999999997</v>
      </c>
      <c r="S42" s="83">
        <v>18.114285714285707</v>
      </c>
      <c r="T42" s="83">
        <v>17.471428571428564</v>
      </c>
      <c r="U42" s="83">
        <v>791.82142857142458</v>
      </c>
      <c r="V42" s="83">
        <v>483.15000000000026</v>
      </c>
      <c r="W42" s="84">
        <v>600</v>
      </c>
      <c r="X42" s="85" t="s">
        <v>52</v>
      </c>
      <c r="Y42" s="152">
        <v>45547</v>
      </c>
      <c r="Z42" s="151" t="s">
        <v>62</v>
      </c>
      <c r="AA42" s="151" t="s">
        <v>54</v>
      </c>
      <c r="AB42" s="151" t="s">
        <v>63</v>
      </c>
    </row>
    <row r="43" spans="1:28" ht="16.350000000000001" customHeight="1" x14ac:dyDescent="0.25">
      <c r="A43" s="80" t="s">
        <v>207</v>
      </c>
      <c r="B43" s="80" t="s">
        <v>208</v>
      </c>
      <c r="C43" s="80" t="s">
        <v>209</v>
      </c>
      <c r="D43" s="80" t="s">
        <v>210</v>
      </c>
      <c r="E43" s="81">
        <v>7201</v>
      </c>
      <c r="F43" s="80" t="s">
        <v>211</v>
      </c>
      <c r="G43" s="80" t="s">
        <v>61</v>
      </c>
      <c r="H43" s="80" t="s">
        <v>51</v>
      </c>
      <c r="I43" s="82">
        <v>4.0787716955941304</v>
      </c>
      <c r="J43" s="83">
        <v>79.571428571428626</v>
      </c>
      <c r="K43" s="83">
        <v>176.52857142857164</v>
      </c>
      <c r="L43" s="83">
        <v>14.757142857142961</v>
      </c>
      <c r="M43" s="83">
        <v>4.8357142857142739</v>
      </c>
      <c r="N43" s="83">
        <v>50.992857142857318</v>
      </c>
      <c r="O43" s="83">
        <v>208.61428571428692</v>
      </c>
      <c r="P43" s="83">
        <v>0.95714285714285696</v>
      </c>
      <c r="Q43" s="83">
        <v>15.128571428571449</v>
      </c>
      <c r="R43" s="83">
        <v>5.6714285714285708</v>
      </c>
      <c r="S43" s="83">
        <v>10.421428571428573</v>
      </c>
      <c r="T43" s="83">
        <v>17.442857142857143</v>
      </c>
      <c r="U43" s="83">
        <v>242.15714285714432</v>
      </c>
      <c r="V43" s="83">
        <v>117.25000000000037</v>
      </c>
      <c r="W43" s="84">
        <v>285</v>
      </c>
      <c r="X43" s="85" t="s">
        <v>52</v>
      </c>
      <c r="Y43" s="152">
        <v>45631</v>
      </c>
      <c r="Z43" s="151" t="s">
        <v>53</v>
      </c>
      <c r="AA43" s="151" t="s">
        <v>54</v>
      </c>
      <c r="AB43" s="151" t="s">
        <v>63</v>
      </c>
    </row>
    <row r="44" spans="1:28" ht="16.350000000000001" customHeight="1" x14ac:dyDescent="0.25">
      <c r="A44" s="80" t="s">
        <v>212</v>
      </c>
      <c r="B44" s="80" t="s">
        <v>213</v>
      </c>
      <c r="C44" s="80" t="s">
        <v>214</v>
      </c>
      <c r="D44" s="80" t="s">
        <v>127</v>
      </c>
      <c r="E44" s="81">
        <v>85131</v>
      </c>
      <c r="F44" s="80" t="s">
        <v>128</v>
      </c>
      <c r="G44" s="80" t="s">
        <v>50</v>
      </c>
      <c r="H44" s="80" t="s">
        <v>51</v>
      </c>
      <c r="I44" s="82">
        <v>13.5991967871486</v>
      </c>
      <c r="J44" s="83">
        <v>1045.1357142856716</v>
      </c>
      <c r="K44" s="83">
        <v>43.614285714285742</v>
      </c>
      <c r="L44" s="83">
        <v>110.24999999999996</v>
      </c>
      <c r="M44" s="83">
        <v>121.85000000000002</v>
      </c>
      <c r="N44" s="83">
        <v>156.40714285714287</v>
      </c>
      <c r="O44" s="83">
        <v>528.73571428571699</v>
      </c>
      <c r="P44" s="83">
        <v>74.349999999999994</v>
      </c>
      <c r="Q44" s="83">
        <v>561.35714285714346</v>
      </c>
      <c r="R44" s="83">
        <v>93.121428571428609</v>
      </c>
      <c r="S44" s="83">
        <v>44.064285714285717</v>
      </c>
      <c r="T44" s="83">
        <v>66.921428571428578</v>
      </c>
      <c r="U44" s="83">
        <v>1116.7428571428177</v>
      </c>
      <c r="V44" s="83">
        <v>744.37142857141328</v>
      </c>
      <c r="W44" s="84">
        <v>900</v>
      </c>
      <c r="X44" s="85" t="s">
        <v>52</v>
      </c>
      <c r="Y44" s="152">
        <v>45596</v>
      </c>
      <c r="Z44" s="151" t="s">
        <v>53</v>
      </c>
      <c r="AA44" s="151" t="s">
        <v>54</v>
      </c>
      <c r="AB44" s="151" t="s">
        <v>63</v>
      </c>
    </row>
    <row r="45" spans="1:28" ht="16.350000000000001" customHeight="1" x14ac:dyDescent="0.25">
      <c r="A45" s="80" t="s">
        <v>215</v>
      </c>
      <c r="B45" s="80" t="s">
        <v>216</v>
      </c>
      <c r="C45" s="80" t="s">
        <v>217</v>
      </c>
      <c r="D45" s="80" t="s">
        <v>99</v>
      </c>
      <c r="E45" s="81">
        <v>40510</v>
      </c>
      <c r="F45" s="80" t="s">
        <v>100</v>
      </c>
      <c r="G45" s="80" t="s">
        <v>101</v>
      </c>
      <c r="H45" s="80" t="s">
        <v>51</v>
      </c>
      <c r="I45" s="82">
        <v>1.3529411764705901</v>
      </c>
      <c r="J45" s="83">
        <v>0.19285714285714289</v>
      </c>
      <c r="K45" s="83">
        <v>0.19285714285714289</v>
      </c>
      <c r="L45" s="83">
        <v>0.3</v>
      </c>
      <c r="M45" s="83">
        <v>0.53571428571428548</v>
      </c>
      <c r="N45" s="83">
        <v>0.77142857142857069</v>
      </c>
      <c r="O45" s="83">
        <v>0.37142857142857144</v>
      </c>
      <c r="P45" s="83">
        <v>2.1428571428571429E-2</v>
      </c>
      <c r="Q45" s="83">
        <v>5.7142857142857141E-2</v>
      </c>
      <c r="R45" s="83">
        <v>2.8571428571428571E-2</v>
      </c>
      <c r="S45" s="83">
        <v>7.1428571428571426E-3</v>
      </c>
      <c r="T45" s="83">
        <v>1.4285714285714285E-2</v>
      </c>
      <c r="U45" s="83">
        <v>1.1714285714285695</v>
      </c>
      <c r="V45" s="83">
        <v>0.79999999999999916</v>
      </c>
      <c r="W45" s="84" t="s">
        <v>77</v>
      </c>
      <c r="X45" s="85" t="s">
        <v>52</v>
      </c>
      <c r="Y45" s="152">
        <v>45547</v>
      </c>
      <c r="Z45" s="151" t="s">
        <v>62</v>
      </c>
      <c r="AA45" s="151" t="s">
        <v>70</v>
      </c>
      <c r="AB45" s="151" t="s">
        <v>63</v>
      </c>
    </row>
    <row r="46" spans="1:28" ht="16.350000000000001" customHeight="1" x14ac:dyDescent="0.25">
      <c r="A46" s="80" t="s">
        <v>218</v>
      </c>
      <c r="B46" s="80" t="s">
        <v>219</v>
      </c>
      <c r="C46" s="80" t="s">
        <v>220</v>
      </c>
      <c r="D46" s="80" t="s">
        <v>158</v>
      </c>
      <c r="E46" s="81">
        <v>19106</v>
      </c>
      <c r="F46" s="80" t="s">
        <v>159</v>
      </c>
      <c r="G46" s="80" t="s">
        <v>85</v>
      </c>
      <c r="H46" s="80" t="s">
        <v>76</v>
      </c>
      <c r="I46" s="82"/>
      <c r="J46" s="83">
        <v>2.1785714285714284</v>
      </c>
      <c r="K46" s="83">
        <v>0.30714285714285711</v>
      </c>
      <c r="L46" s="83">
        <v>0.3214285714285714</v>
      </c>
      <c r="M46" s="83">
        <v>0.59285714285714264</v>
      </c>
      <c r="N46" s="83">
        <v>1.1642857142857144</v>
      </c>
      <c r="O46" s="83">
        <v>2.2357142857142853</v>
      </c>
      <c r="P46" s="83">
        <v>0</v>
      </c>
      <c r="Q46" s="83">
        <v>0</v>
      </c>
      <c r="R46" s="83">
        <v>0.47857142857142848</v>
      </c>
      <c r="S46" s="83">
        <v>0.21428571428571427</v>
      </c>
      <c r="T46" s="83">
        <v>0.30714285714285711</v>
      </c>
      <c r="U46" s="83">
        <v>2.399999999999999</v>
      </c>
      <c r="V46" s="83">
        <v>1.5142857142857147</v>
      </c>
      <c r="W46" s="84" t="s">
        <v>77</v>
      </c>
      <c r="X46" s="85" t="s">
        <v>53</v>
      </c>
      <c r="Y46" s="152" t="s">
        <v>77</v>
      </c>
      <c r="Z46" s="151" t="s">
        <v>53</v>
      </c>
      <c r="AA46" s="151" t="s">
        <v>77</v>
      </c>
      <c r="AB46" s="151" t="s">
        <v>77</v>
      </c>
    </row>
    <row r="47" spans="1:28" ht="16.350000000000001" customHeight="1" x14ac:dyDescent="0.25">
      <c r="A47" s="80" t="s">
        <v>221</v>
      </c>
      <c r="B47" s="80" t="s">
        <v>222</v>
      </c>
      <c r="C47" s="80" t="s">
        <v>126</v>
      </c>
      <c r="D47" s="80" t="s">
        <v>127</v>
      </c>
      <c r="E47" s="81">
        <v>85132</v>
      </c>
      <c r="F47" s="80" t="s">
        <v>128</v>
      </c>
      <c r="G47" s="80" t="s">
        <v>113</v>
      </c>
      <c r="H47" s="80" t="s">
        <v>76</v>
      </c>
      <c r="I47" s="82">
        <v>6.6297775242441501</v>
      </c>
      <c r="J47" s="83">
        <v>303.41428571429606</v>
      </c>
      <c r="K47" s="83">
        <v>69.971428571428774</v>
      </c>
      <c r="L47" s="83">
        <v>1.4642857142857113</v>
      </c>
      <c r="M47" s="83">
        <v>1.4071428571428544</v>
      </c>
      <c r="N47" s="83">
        <v>68.035714285714519</v>
      </c>
      <c r="O47" s="83">
        <v>308.12142857143942</v>
      </c>
      <c r="P47" s="83">
        <v>1.4285714285714285E-2</v>
      </c>
      <c r="Q47" s="83">
        <v>8.5714285714285715E-2</v>
      </c>
      <c r="R47" s="83">
        <v>3.464285714285714</v>
      </c>
      <c r="S47" s="83">
        <v>3.6357142857142857</v>
      </c>
      <c r="T47" s="83">
        <v>26.664285714285718</v>
      </c>
      <c r="U47" s="83">
        <v>342.49285714286935</v>
      </c>
      <c r="V47" s="83">
        <v>188.40000000000703</v>
      </c>
      <c r="W47" s="84">
        <v>392</v>
      </c>
      <c r="X47" s="85" t="s">
        <v>52</v>
      </c>
      <c r="Y47" s="152">
        <v>45701</v>
      </c>
      <c r="Z47" s="151" t="s">
        <v>53</v>
      </c>
      <c r="AA47" s="151" t="s">
        <v>54</v>
      </c>
      <c r="AB47" s="151" t="s">
        <v>55</v>
      </c>
    </row>
    <row r="48" spans="1:28" ht="16.350000000000001" customHeight="1" x14ac:dyDescent="0.25">
      <c r="A48" s="80" t="s">
        <v>223</v>
      </c>
      <c r="B48" s="80" t="s">
        <v>222</v>
      </c>
      <c r="C48" s="80" t="s">
        <v>126</v>
      </c>
      <c r="D48" s="80" t="s">
        <v>127</v>
      </c>
      <c r="E48" s="81">
        <v>85232</v>
      </c>
      <c r="F48" s="80" t="s">
        <v>128</v>
      </c>
      <c r="G48" s="80" t="s">
        <v>75</v>
      </c>
      <c r="H48" s="80" t="s">
        <v>76</v>
      </c>
      <c r="I48" s="82">
        <v>3.3902894491129798</v>
      </c>
      <c r="J48" s="83">
        <v>109.55000000000108</v>
      </c>
      <c r="K48" s="83">
        <v>34.714285714285971</v>
      </c>
      <c r="L48" s="83">
        <v>19.721428571428799</v>
      </c>
      <c r="M48" s="83">
        <v>8.6428571428571406</v>
      </c>
      <c r="N48" s="83">
        <v>44.014285714286089</v>
      </c>
      <c r="O48" s="83">
        <v>125.3142857142869</v>
      </c>
      <c r="P48" s="83">
        <v>0.88571428571428479</v>
      </c>
      <c r="Q48" s="83">
        <v>2.4142857142857097</v>
      </c>
      <c r="R48" s="83">
        <v>3.4714285714285653</v>
      </c>
      <c r="S48" s="83">
        <v>2.0214285714285691</v>
      </c>
      <c r="T48" s="83">
        <v>2.8785714285714255</v>
      </c>
      <c r="U48" s="83">
        <v>164.2571428571465</v>
      </c>
      <c r="V48" s="83">
        <v>114.28571428571563</v>
      </c>
      <c r="W48" s="84" t="s">
        <v>77</v>
      </c>
      <c r="X48" s="85" t="s">
        <v>52</v>
      </c>
      <c r="Y48" s="152">
        <v>45638</v>
      </c>
      <c r="Z48" s="151" t="s">
        <v>53</v>
      </c>
      <c r="AA48" s="151" t="s">
        <v>54</v>
      </c>
      <c r="AB48" s="151" t="s">
        <v>63</v>
      </c>
    </row>
    <row r="49" spans="1:28" ht="16.350000000000001" customHeight="1" x14ac:dyDescent="0.25">
      <c r="A49" s="80" t="s">
        <v>224</v>
      </c>
      <c r="B49" s="80" t="s">
        <v>225</v>
      </c>
      <c r="C49" s="80" t="s">
        <v>226</v>
      </c>
      <c r="D49" s="80" t="s">
        <v>84</v>
      </c>
      <c r="E49" s="81">
        <v>31537</v>
      </c>
      <c r="F49" s="80" t="s">
        <v>68</v>
      </c>
      <c r="G49" s="80" t="s">
        <v>50</v>
      </c>
      <c r="H49" s="80" t="s">
        <v>76</v>
      </c>
      <c r="I49" s="82">
        <v>62.876106194690301</v>
      </c>
      <c r="J49" s="83">
        <v>185.08571428571466</v>
      </c>
      <c r="K49" s="83">
        <v>21.6</v>
      </c>
      <c r="L49" s="83">
        <v>35.357142857142861</v>
      </c>
      <c r="M49" s="83">
        <v>16.292857142857144</v>
      </c>
      <c r="N49" s="83">
        <v>56.835714285714317</v>
      </c>
      <c r="O49" s="83">
        <v>201.50000000000065</v>
      </c>
      <c r="P49" s="83">
        <v>0</v>
      </c>
      <c r="Q49" s="83">
        <v>0</v>
      </c>
      <c r="R49" s="83">
        <v>25</v>
      </c>
      <c r="S49" s="83">
        <v>5.0071428571428571</v>
      </c>
      <c r="T49" s="83">
        <v>7.3214285714285703</v>
      </c>
      <c r="U49" s="83">
        <v>221.00714285714403</v>
      </c>
      <c r="V49" s="83">
        <v>148.66428571428537</v>
      </c>
      <c r="W49" s="84">
        <v>338</v>
      </c>
      <c r="X49" s="85" t="s">
        <v>52</v>
      </c>
      <c r="Y49" s="152">
        <v>45685</v>
      </c>
      <c r="Z49" s="151" t="s">
        <v>53</v>
      </c>
      <c r="AA49" s="151" t="s">
        <v>54</v>
      </c>
      <c r="AB49" s="151" t="s">
        <v>55</v>
      </c>
    </row>
    <row r="50" spans="1:28" ht="16.350000000000001" customHeight="1" x14ac:dyDescent="0.25">
      <c r="A50" s="80" t="s">
        <v>227</v>
      </c>
      <c r="B50" s="80" t="s">
        <v>228</v>
      </c>
      <c r="C50" s="80" t="s">
        <v>226</v>
      </c>
      <c r="D50" s="80" t="s">
        <v>84</v>
      </c>
      <c r="E50" s="81">
        <v>31537</v>
      </c>
      <c r="F50" s="80" t="s">
        <v>68</v>
      </c>
      <c r="G50" s="80" t="s">
        <v>50</v>
      </c>
      <c r="H50" s="80" t="s">
        <v>76</v>
      </c>
      <c r="I50" s="82">
        <v>44.28125</v>
      </c>
      <c r="J50" s="83">
        <v>352.9928571428639</v>
      </c>
      <c r="K50" s="83">
        <v>117.35714285714297</v>
      </c>
      <c r="L50" s="83">
        <v>83.185714285714255</v>
      </c>
      <c r="M50" s="83">
        <v>39.342857142857135</v>
      </c>
      <c r="N50" s="83">
        <v>155.97142857142862</v>
      </c>
      <c r="O50" s="83">
        <v>436.85000000000736</v>
      </c>
      <c r="P50" s="83">
        <v>5.7142857142857141E-2</v>
      </c>
      <c r="Q50" s="83">
        <v>0</v>
      </c>
      <c r="R50" s="83">
        <v>38.171428571428585</v>
      </c>
      <c r="S50" s="83">
        <v>25.31428571428571</v>
      </c>
      <c r="T50" s="83">
        <v>24.207142857142856</v>
      </c>
      <c r="U50" s="83">
        <v>505.18571428572199</v>
      </c>
      <c r="V50" s="83">
        <v>366.74285714286322</v>
      </c>
      <c r="W50" s="84">
        <v>544</v>
      </c>
      <c r="X50" s="85" t="s">
        <v>52</v>
      </c>
      <c r="Y50" s="152">
        <v>45685</v>
      </c>
      <c r="Z50" s="151" t="s">
        <v>53</v>
      </c>
      <c r="AA50" s="151" t="s">
        <v>54</v>
      </c>
      <c r="AB50" s="151" t="s">
        <v>55</v>
      </c>
    </row>
    <row r="51" spans="1:28" ht="16.350000000000001" customHeight="1" x14ac:dyDescent="0.25">
      <c r="A51" s="80" t="s">
        <v>229</v>
      </c>
      <c r="B51" s="80" t="s">
        <v>230</v>
      </c>
      <c r="C51" s="80" t="s">
        <v>231</v>
      </c>
      <c r="D51" s="80" t="s">
        <v>232</v>
      </c>
      <c r="E51" s="81">
        <v>56007</v>
      </c>
      <c r="F51" s="80" t="s">
        <v>178</v>
      </c>
      <c r="G51" s="80" t="s">
        <v>69</v>
      </c>
      <c r="H51" s="80" t="s">
        <v>76</v>
      </c>
      <c r="I51" s="82">
        <v>78.3333333333333</v>
      </c>
      <c r="J51" s="83">
        <v>15.27142857142857</v>
      </c>
      <c r="K51" s="83">
        <v>10.057142857142859</v>
      </c>
      <c r="L51" s="83">
        <v>37.871428571428559</v>
      </c>
      <c r="M51" s="83">
        <v>10.3</v>
      </c>
      <c r="N51" s="83">
        <v>41.835714285714303</v>
      </c>
      <c r="O51" s="83">
        <v>31.664285714285718</v>
      </c>
      <c r="P51" s="83">
        <v>0</v>
      </c>
      <c r="Q51" s="83">
        <v>0</v>
      </c>
      <c r="R51" s="83">
        <v>13.035714285714285</v>
      </c>
      <c r="S51" s="83">
        <v>4.0428571428571427</v>
      </c>
      <c r="T51" s="83">
        <v>4.5071428571428553</v>
      </c>
      <c r="U51" s="83">
        <v>51.914285714285732</v>
      </c>
      <c r="V51" s="83">
        <v>49.528571428571425</v>
      </c>
      <c r="W51" s="84" t="s">
        <v>77</v>
      </c>
      <c r="X51" s="85" t="s">
        <v>52</v>
      </c>
      <c r="Y51" s="152">
        <v>45512</v>
      </c>
      <c r="Z51" s="151" t="s">
        <v>62</v>
      </c>
      <c r="AA51" s="151" t="s">
        <v>70</v>
      </c>
      <c r="AB51" s="151" t="s">
        <v>63</v>
      </c>
    </row>
    <row r="52" spans="1:28" ht="16.350000000000001" customHeight="1" x14ac:dyDescent="0.25">
      <c r="A52" s="80" t="s">
        <v>233</v>
      </c>
      <c r="B52" s="80" t="s">
        <v>234</v>
      </c>
      <c r="C52" s="80" t="s">
        <v>235</v>
      </c>
      <c r="D52" s="80" t="s">
        <v>236</v>
      </c>
      <c r="E52" s="81">
        <v>44024</v>
      </c>
      <c r="F52" s="80" t="s">
        <v>118</v>
      </c>
      <c r="G52" s="80" t="s">
        <v>101</v>
      </c>
      <c r="H52" s="80" t="s">
        <v>51</v>
      </c>
      <c r="I52" s="82">
        <v>133.80000000000001</v>
      </c>
      <c r="J52" s="83">
        <v>26.528571428571428</v>
      </c>
      <c r="K52" s="83">
        <v>13.614285714285714</v>
      </c>
      <c r="L52" s="83">
        <v>7.6142857142857139</v>
      </c>
      <c r="M52" s="83">
        <v>2.842857142857143</v>
      </c>
      <c r="N52" s="83">
        <v>21.75</v>
      </c>
      <c r="O52" s="83">
        <v>24.192857142857143</v>
      </c>
      <c r="P52" s="83">
        <v>1.7928571428571429</v>
      </c>
      <c r="Q52" s="83">
        <v>2.8642857142857139</v>
      </c>
      <c r="R52" s="83">
        <v>4.6357142857142852</v>
      </c>
      <c r="S52" s="83">
        <v>4.8142857142857149</v>
      </c>
      <c r="T52" s="83">
        <v>2.7499999999999996</v>
      </c>
      <c r="U52" s="83">
        <v>38.4</v>
      </c>
      <c r="V52" s="83">
        <v>35.199999999999989</v>
      </c>
      <c r="W52" s="84" t="s">
        <v>77</v>
      </c>
      <c r="X52" s="85" t="s">
        <v>52</v>
      </c>
      <c r="Y52" s="152">
        <v>45491</v>
      </c>
      <c r="Z52" s="151" t="s">
        <v>62</v>
      </c>
      <c r="AA52" s="151" t="s">
        <v>70</v>
      </c>
      <c r="AB52" s="151" t="s">
        <v>63</v>
      </c>
    </row>
    <row r="53" spans="1:28" ht="16.350000000000001" customHeight="1" x14ac:dyDescent="0.25">
      <c r="A53" s="80" t="s">
        <v>237</v>
      </c>
      <c r="B53" s="80" t="s">
        <v>238</v>
      </c>
      <c r="C53" s="80" t="s">
        <v>239</v>
      </c>
      <c r="D53" s="80" t="s">
        <v>59</v>
      </c>
      <c r="E53" s="81">
        <v>93250</v>
      </c>
      <c r="F53" s="80" t="s">
        <v>188</v>
      </c>
      <c r="G53" s="80" t="s">
        <v>61</v>
      </c>
      <c r="H53" s="80" t="s">
        <v>51</v>
      </c>
      <c r="I53" s="82">
        <v>139.53125</v>
      </c>
      <c r="J53" s="83">
        <v>181.92142857142835</v>
      </c>
      <c r="K53" s="83">
        <v>63.328571428571415</v>
      </c>
      <c r="L53" s="83">
        <v>100.67857142857149</v>
      </c>
      <c r="M53" s="83">
        <v>156.80714285714282</v>
      </c>
      <c r="N53" s="83">
        <v>257.72142857142848</v>
      </c>
      <c r="O53" s="83">
        <v>245.01428571428548</v>
      </c>
      <c r="P53" s="83">
        <v>0</v>
      </c>
      <c r="Q53" s="83">
        <v>0</v>
      </c>
      <c r="R53" s="83">
        <v>143.49285714285716</v>
      </c>
      <c r="S53" s="83">
        <v>22.157142857142855</v>
      </c>
      <c r="T53" s="83">
        <v>12.621428571428572</v>
      </c>
      <c r="U53" s="83">
        <v>324.46428571428635</v>
      </c>
      <c r="V53" s="83">
        <v>240.28571428571391</v>
      </c>
      <c r="W53" s="84">
        <v>560</v>
      </c>
      <c r="X53" s="85" t="s">
        <v>52</v>
      </c>
      <c r="Y53" s="152">
        <v>45687</v>
      </c>
      <c r="Z53" s="151" t="s">
        <v>53</v>
      </c>
      <c r="AA53" s="151" t="s">
        <v>54</v>
      </c>
      <c r="AB53" s="151" t="s">
        <v>55</v>
      </c>
    </row>
    <row r="54" spans="1:28" ht="16.350000000000001" customHeight="1" x14ac:dyDescent="0.25">
      <c r="A54" s="80" t="s">
        <v>240</v>
      </c>
      <c r="B54" s="80" t="s">
        <v>241</v>
      </c>
      <c r="C54" s="80" t="s">
        <v>242</v>
      </c>
      <c r="D54" s="80" t="s">
        <v>243</v>
      </c>
      <c r="E54" s="81">
        <v>58203</v>
      </c>
      <c r="F54" s="80" t="s">
        <v>178</v>
      </c>
      <c r="G54" s="80" t="s">
        <v>101</v>
      </c>
      <c r="H54" s="80" t="s">
        <v>51</v>
      </c>
      <c r="I54" s="82">
        <v>1.375</v>
      </c>
      <c r="J54" s="83">
        <v>5.7142857142857148E-2</v>
      </c>
      <c r="K54" s="83">
        <v>3.5714285714285712E-2</v>
      </c>
      <c r="L54" s="83">
        <v>1.3857142857142852</v>
      </c>
      <c r="M54" s="83">
        <v>0</v>
      </c>
      <c r="N54" s="83">
        <v>0.49999999999999989</v>
      </c>
      <c r="O54" s="83">
        <v>0.95714285714285663</v>
      </c>
      <c r="P54" s="83">
        <v>2.1428571428571429E-2</v>
      </c>
      <c r="Q54" s="83">
        <v>0</v>
      </c>
      <c r="R54" s="83">
        <v>0</v>
      </c>
      <c r="S54" s="83">
        <v>1.4285714285714285E-2</v>
      </c>
      <c r="T54" s="83">
        <v>2.8571428571428571E-2</v>
      </c>
      <c r="U54" s="83">
        <v>1.4357142857142851</v>
      </c>
      <c r="V54" s="83">
        <v>0.74999999999999967</v>
      </c>
      <c r="W54" s="84" t="s">
        <v>77</v>
      </c>
      <c r="X54" s="85" t="s">
        <v>52</v>
      </c>
      <c r="Y54" s="152">
        <v>45484</v>
      </c>
      <c r="Z54" s="151" t="s">
        <v>62</v>
      </c>
      <c r="AA54" s="151" t="s">
        <v>70</v>
      </c>
      <c r="AB54" s="151" t="s">
        <v>63</v>
      </c>
    </row>
    <row r="55" spans="1:28" ht="16.350000000000001" customHeight="1" x14ac:dyDescent="0.25">
      <c r="A55" s="80" t="s">
        <v>244</v>
      </c>
      <c r="B55" s="80" t="s">
        <v>245</v>
      </c>
      <c r="C55" s="80" t="s">
        <v>246</v>
      </c>
      <c r="D55" s="80" t="s">
        <v>99</v>
      </c>
      <c r="E55" s="81">
        <v>42754</v>
      </c>
      <c r="F55" s="80" t="s">
        <v>100</v>
      </c>
      <c r="G55" s="80" t="s">
        <v>101</v>
      </c>
      <c r="H55" s="80" t="s">
        <v>51</v>
      </c>
      <c r="I55" s="82">
        <v>1.7894736842105301</v>
      </c>
      <c r="J55" s="83">
        <v>1.7071428571428564</v>
      </c>
      <c r="K55" s="83">
        <v>0.67857142857142838</v>
      </c>
      <c r="L55" s="83">
        <v>1.6071428571428565</v>
      </c>
      <c r="M55" s="83">
        <v>1.0999999999999996</v>
      </c>
      <c r="N55" s="83">
        <v>1.4499999999999975</v>
      </c>
      <c r="O55" s="83">
        <v>0.47142857142857125</v>
      </c>
      <c r="P55" s="83">
        <v>1.2714285714285716</v>
      </c>
      <c r="Q55" s="83">
        <v>1.9000000000000001</v>
      </c>
      <c r="R55" s="83">
        <v>0.72857142857142854</v>
      </c>
      <c r="S55" s="83">
        <v>0.11428571428571428</v>
      </c>
      <c r="T55" s="83">
        <v>0.44285714285714284</v>
      </c>
      <c r="U55" s="83">
        <v>3.8071428571428534</v>
      </c>
      <c r="V55" s="83">
        <v>3.2999999999999963</v>
      </c>
      <c r="W55" s="84" t="s">
        <v>77</v>
      </c>
      <c r="X55" s="85" t="s">
        <v>52</v>
      </c>
      <c r="Y55" s="152">
        <v>45526</v>
      </c>
      <c r="Z55" s="151" t="s">
        <v>62</v>
      </c>
      <c r="AA55" s="151" t="s">
        <v>70</v>
      </c>
      <c r="AB55" s="151" t="s">
        <v>63</v>
      </c>
    </row>
    <row r="56" spans="1:28" ht="16.350000000000001" customHeight="1" x14ac:dyDescent="0.25">
      <c r="A56" s="80" t="s">
        <v>247</v>
      </c>
      <c r="B56" s="80" t="s">
        <v>248</v>
      </c>
      <c r="C56" s="80" t="s">
        <v>249</v>
      </c>
      <c r="D56" s="80" t="s">
        <v>250</v>
      </c>
      <c r="E56" s="81">
        <v>939</v>
      </c>
      <c r="F56" s="80" t="s">
        <v>90</v>
      </c>
      <c r="G56" s="80" t="s">
        <v>85</v>
      </c>
      <c r="H56" s="80" t="s">
        <v>51</v>
      </c>
      <c r="I56" s="82">
        <v>8.3157894736842106</v>
      </c>
      <c r="J56" s="83">
        <v>0.22142857142857142</v>
      </c>
      <c r="K56" s="83">
        <v>0.72857142857142831</v>
      </c>
      <c r="L56" s="83">
        <v>4.2285714285714269</v>
      </c>
      <c r="M56" s="83">
        <v>0.79285714285714282</v>
      </c>
      <c r="N56" s="83">
        <v>3.2357142857142853</v>
      </c>
      <c r="O56" s="83">
        <v>2.3428571428571425</v>
      </c>
      <c r="P56" s="83">
        <v>0.22142857142857142</v>
      </c>
      <c r="Q56" s="83">
        <v>0.17142857142857143</v>
      </c>
      <c r="R56" s="83">
        <v>0.30714285714285711</v>
      </c>
      <c r="S56" s="83">
        <v>0</v>
      </c>
      <c r="T56" s="83">
        <v>0.05</v>
      </c>
      <c r="U56" s="83">
        <v>5.6142857142857077</v>
      </c>
      <c r="V56" s="83">
        <v>4.114285714285713</v>
      </c>
      <c r="W56" s="84" t="s">
        <v>77</v>
      </c>
      <c r="X56" s="85" t="s">
        <v>53</v>
      </c>
      <c r="Y56" s="152" t="s">
        <v>77</v>
      </c>
      <c r="Z56" s="151" t="s">
        <v>53</v>
      </c>
      <c r="AA56" s="151" t="s">
        <v>77</v>
      </c>
      <c r="AB56" s="151" t="s">
        <v>77</v>
      </c>
    </row>
    <row r="57" spans="1:28" ht="16.350000000000001" customHeight="1" x14ac:dyDescent="0.25">
      <c r="A57" s="80" t="s">
        <v>251</v>
      </c>
      <c r="B57" s="80" t="s">
        <v>252</v>
      </c>
      <c r="C57" s="80" t="s">
        <v>253</v>
      </c>
      <c r="D57" s="80" t="s">
        <v>48</v>
      </c>
      <c r="E57" s="81">
        <v>39520</v>
      </c>
      <c r="F57" s="80" t="s">
        <v>49</v>
      </c>
      <c r="G57" s="80" t="s">
        <v>69</v>
      </c>
      <c r="H57" s="80" t="s">
        <v>51</v>
      </c>
      <c r="I57" s="82">
        <v>2.2383900928792602</v>
      </c>
      <c r="J57" s="83">
        <v>6.4999999999999805</v>
      </c>
      <c r="K57" s="83">
        <v>3.221428571428564</v>
      </c>
      <c r="L57" s="83">
        <v>2.9642857142857073</v>
      </c>
      <c r="M57" s="83">
        <v>0.77142857142857135</v>
      </c>
      <c r="N57" s="83">
        <v>4.099999999999989</v>
      </c>
      <c r="O57" s="83">
        <v>8.571428571428573</v>
      </c>
      <c r="P57" s="83">
        <v>0.12857142857142856</v>
      </c>
      <c r="Q57" s="83">
        <v>0.65714285714285692</v>
      </c>
      <c r="R57" s="83">
        <v>0.1357142857142857</v>
      </c>
      <c r="S57" s="83">
        <v>9.285714285714286E-2</v>
      </c>
      <c r="T57" s="83">
        <v>0.35</v>
      </c>
      <c r="U57" s="83">
        <v>12.878571428571561</v>
      </c>
      <c r="V57" s="83">
        <v>7.685714285714262</v>
      </c>
      <c r="W57" s="84" t="s">
        <v>77</v>
      </c>
      <c r="X57" s="85" t="s">
        <v>52</v>
      </c>
      <c r="Y57" s="152">
        <v>45421</v>
      </c>
      <c r="Z57" s="151" t="s">
        <v>62</v>
      </c>
      <c r="AA57" s="151" t="s">
        <v>70</v>
      </c>
      <c r="AB57" s="151" t="s">
        <v>254</v>
      </c>
    </row>
    <row r="58" spans="1:28" ht="16.350000000000001" customHeight="1" x14ac:dyDescent="0.25">
      <c r="A58" s="80" t="s">
        <v>255</v>
      </c>
      <c r="B58" s="80" t="s">
        <v>256</v>
      </c>
      <c r="C58" s="80" t="s">
        <v>257</v>
      </c>
      <c r="D58" s="80" t="s">
        <v>258</v>
      </c>
      <c r="E58" s="81">
        <v>89015</v>
      </c>
      <c r="F58" s="80" t="s">
        <v>259</v>
      </c>
      <c r="G58" s="80" t="s">
        <v>101</v>
      </c>
      <c r="H58" s="80" t="s">
        <v>51</v>
      </c>
      <c r="I58" s="82">
        <v>12.117647058823501</v>
      </c>
      <c r="J58" s="83">
        <v>9.6142857142857139</v>
      </c>
      <c r="K58" s="83">
        <v>19.478571428571431</v>
      </c>
      <c r="L58" s="83">
        <v>25.907142857142862</v>
      </c>
      <c r="M58" s="83">
        <v>11.235714285714284</v>
      </c>
      <c r="N58" s="83">
        <v>42.307142857142871</v>
      </c>
      <c r="O58" s="83">
        <v>13.535714285714288</v>
      </c>
      <c r="P58" s="83">
        <v>7.2</v>
      </c>
      <c r="Q58" s="83">
        <v>3.1928571428571431</v>
      </c>
      <c r="R58" s="83">
        <v>19.950000000000003</v>
      </c>
      <c r="S58" s="83">
        <v>13.435714285714287</v>
      </c>
      <c r="T58" s="83">
        <v>6.757142857142858</v>
      </c>
      <c r="U58" s="83">
        <v>26.092857142857152</v>
      </c>
      <c r="V58" s="83">
        <v>49.685714285714305</v>
      </c>
      <c r="W58" s="84" t="s">
        <v>77</v>
      </c>
      <c r="X58" s="85" t="s">
        <v>52</v>
      </c>
      <c r="Y58" s="152">
        <v>45554</v>
      </c>
      <c r="Z58" s="151" t="s">
        <v>62</v>
      </c>
      <c r="AA58" s="151" t="s">
        <v>70</v>
      </c>
      <c r="AB58" s="151" t="s">
        <v>63</v>
      </c>
    </row>
    <row r="59" spans="1:28" ht="16.350000000000001" customHeight="1" x14ac:dyDescent="0.25">
      <c r="A59" s="80" t="s">
        <v>260</v>
      </c>
      <c r="B59" s="80" t="s">
        <v>261</v>
      </c>
      <c r="C59" s="80" t="s">
        <v>262</v>
      </c>
      <c r="D59" s="80" t="s">
        <v>263</v>
      </c>
      <c r="E59" s="81">
        <v>96819</v>
      </c>
      <c r="F59" s="80" t="s">
        <v>188</v>
      </c>
      <c r="G59" s="80" t="s">
        <v>85</v>
      </c>
      <c r="H59" s="80" t="s">
        <v>51</v>
      </c>
      <c r="I59" s="82"/>
      <c r="J59" s="83">
        <v>3.5714285714285712</v>
      </c>
      <c r="K59" s="83">
        <v>5.3285714285714283</v>
      </c>
      <c r="L59" s="83">
        <v>6.6714285714285699</v>
      </c>
      <c r="M59" s="83">
        <v>4.0857142857142854</v>
      </c>
      <c r="N59" s="83">
        <v>11.235714285714288</v>
      </c>
      <c r="O59" s="83">
        <v>5.0857142857142845</v>
      </c>
      <c r="P59" s="83">
        <v>0.33571428571428569</v>
      </c>
      <c r="Q59" s="83">
        <v>2.9999999999999996</v>
      </c>
      <c r="R59" s="83">
        <v>7.9142857142857137</v>
      </c>
      <c r="S59" s="83">
        <v>2.2071428571428569</v>
      </c>
      <c r="T59" s="83">
        <v>0.73571428571428565</v>
      </c>
      <c r="U59" s="83">
        <v>8.8000000000000025</v>
      </c>
      <c r="V59" s="83">
        <v>16.128571428571433</v>
      </c>
      <c r="W59" s="84" t="s">
        <v>77</v>
      </c>
      <c r="X59" s="85" t="s">
        <v>53</v>
      </c>
      <c r="Y59" s="152" t="s">
        <v>77</v>
      </c>
      <c r="Z59" s="151" t="s">
        <v>53</v>
      </c>
      <c r="AA59" s="151" t="s">
        <v>77</v>
      </c>
      <c r="AB59" s="151" t="s">
        <v>77</v>
      </c>
    </row>
    <row r="60" spans="1:28" ht="16.350000000000001" customHeight="1" x14ac:dyDescent="0.25">
      <c r="A60" s="80" t="s">
        <v>264</v>
      </c>
      <c r="B60" s="80" t="s">
        <v>265</v>
      </c>
      <c r="C60" s="80" t="s">
        <v>266</v>
      </c>
      <c r="D60" s="80" t="s">
        <v>94</v>
      </c>
      <c r="E60" s="81">
        <v>77032</v>
      </c>
      <c r="F60" s="80" t="s">
        <v>267</v>
      </c>
      <c r="G60" s="80" t="s">
        <v>61</v>
      </c>
      <c r="H60" s="80" t="s">
        <v>51</v>
      </c>
      <c r="I60" s="82">
        <v>42.780219780219802</v>
      </c>
      <c r="J60" s="83">
        <v>802.59285714285852</v>
      </c>
      <c r="K60" s="83">
        <v>20.092857142857167</v>
      </c>
      <c r="L60" s="83">
        <v>5.6714285714285708</v>
      </c>
      <c r="M60" s="83">
        <v>4.1928571428571422</v>
      </c>
      <c r="N60" s="83">
        <v>19.092857142857163</v>
      </c>
      <c r="O60" s="83">
        <v>474.19285714285428</v>
      </c>
      <c r="P60" s="83">
        <v>4.9357142857142851</v>
      </c>
      <c r="Q60" s="83">
        <v>334.32857142856898</v>
      </c>
      <c r="R60" s="83">
        <v>6.1857142857142868</v>
      </c>
      <c r="S60" s="83">
        <v>6.1714285714285726</v>
      </c>
      <c r="T60" s="83">
        <v>9.4928571428571438</v>
      </c>
      <c r="U60" s="83">
        <v>810.70000000000107</v>
      </c>
      <c r="V60" s="83">
        <v>430.08571428571196</v>
      </c>
      <c r="W60" s="84">
        <v>750</v>
      </c>
      <c r="X60" s="85" t="s">
        <v>52</v>
      </c>
      <c r="Y60" s="152">
        <v>45687</v>
      </c>
      <c r="Z60" s="151" t="s">
        <v>53</v>
      </c>
      <c r="AA60" s="151" t="s">
        <v>54</v>
      </c>
      <c r="AB60" s="151" t="s">
        <v>55</v>
      </c>
    </row>
    <row r="61" spans="1:28" ht="16.350000000000001" customHeight="1" x14ac:dyDescent="0.25">
      <c r="A61" s="80" t="s">
        <v>268</v>
      </c>
      <c r="B61" s="80" t="s">
        <v>269</v>
      </c>
      <c r="C61" s="80" t="s">
        <v>270</v>
      </c>
      <c r="D61" s="80" t="s">
        <v>94</v>
      </c>
      <c r="E61" s="81">
        <v>77351</v>
      </c>
      <c r="F61" s="80" t="s">
        <v>267</v>
      </c>
      <c r="G61" s="80" t="s">
        <v>50</v>
      </c>
      <c r="H61" s="80" t="s">
        <v>76</v>
      </c>
      <c r="I61" s="82">
        <v>27.278931750741801</v>
      </c>
      <c r="J61" s="83">
        <v>719.97857142857231</v>
      </c>
      <c r="K61" s="83">
        <v>50.485714285714238</v>
      </c>
      <c r="L61" s="83">
        <v>22.650000000000009</v>
      </c>
      <c r="M61" s="83">
        <v>8.907142857142853</v>
      </c>
      <c r="N61" s="83">
        <v>35.47142857142854</v>
      </c>
      <c r="O61" s="83">
        <v>766.55000000000189</v>
      </c>
      <c r="P61" s="83">
        <v>0</v>
      </c>
      <c r="Q61" s="83">
        <v>0</v>
      </c>
      <c r="R61" s="83">
        <v>8.7571428571428562</v>
      </c>
      <c r="S61" s="83">
        <v>7.0714285714285712</v>
      </c>
      <c r="T61" s="83">
        <v>10.442857142857138</v>
      </c>
      <c r="U61" s="83">
        <v>775.75000000000205</v>
      </c>
      <c r="V61" s="83">
        <v>317.53571428571593</v>
      </c>
      <c r="W61" s="84">
        <v>350</v>
      </c>
      <c r="X61" s="85" t="s">
        <v>52</v>
      </c>
      <c r="Y61" s="152">
        <v>45701</v>
      </c>
      <c r="Z61" s="151"/>
      <c r="AA61" s="151" t="s">
        <v>70</v>
      </c>
      <c r="AB61" s="151" t="s">
        <v>55</v>
      </c>
    </row>
    <row r="62" spans="1:28" ht="16.350000000000001" customHeight="1" x14ac:dyDescent="0.25">
      <c r="A62" s="80" t="s">
        <v>271</v>
      </c>
      <c r="B62" s="80" t="s">
        <v>272</v>
      </c>
      <c r="C62" s="80" t="s">
        <v>273</v>
      </c>
      <c r="D62" s="80" t="s">
        <v>59</v>
      </c>
      <c r="E62" s="81">
        <v>92231</v>
      </c>
      <c r="F62" s="80" t="s">
        <v>274</v>
      </c>
      <c r="G62" s="80" t="s">
        <v>61</v>
      </c>
      <c r="H62" s="80" t="s">
        <v>51</v>
      </c>
      <c r="I62" s="82">
        <v>31.2209302325581</v>
      </c>
      <c r="J62" s="83">
        <v>594.27142857142655</v>
      </c>
      <c r="K62" s="83">
        <v>17.599999999999987</v>
      </c>
      <c r="L62" s="83">
        <v>32.1</v>
      </c>
      <c r="M62" s="83">
        <v>31.228571428571424</v>
      </c>
      <c r="N62" s="83">
        <v>74.44285714285715</v>
      </c>
      <c r="O62" s="83">
        <v>537.32857142856881</v>
      </c>
      <c r="P62" s="83">
        <v>1.2714285714285714</v>
      </c>
      <c r="Q62" s="83">
        <v>62.157142857142887</v>
      </c>
      <c r="R62" s="83">
        <v>36.428571428571431</v>
      </c>
      <c r="S62" s="83">
        <v>12.171428571428569</v>
      </c>
      <c r="T62" s="83">
        <v>13.071428571428569</v>
      </c>
      <c r="U62" s="83">
        <v>613.5285714285701</v>
      </c>
      <c r="V62" s="83">
        <v>189.58571428571432</v>
      </c>
      <c r="W62" s="84">
        <v>640</v>
      </c>
      <c r="X62" s="85" t="s">
        <v>52</v>
      </c>
      <c r="Y62" s="152">
        <v>45673</v>
      </c>
      <c r="Z62" s="151" t="s">
        <v>53</v>
      </c>
      <c r="AA62" s="151" t="s">
        <v>54</v>
      </c>
      <c r="AB62" s="151" t="s">
        <v>63</v>
      </c>
    </row>
    <row r="63" spans="1:28" ht="16.350000000000001" customHeight="1" x14ac:dyDescent="0.25">
      <c r="A63" s="80" t="s">
        <v>275</v>
      </c>
      <c r="B63" s="80" t="s">
        <v>276</v>
      </c>
      <c r="C63" s="80" t="s">
        <v>277</v>
      </c>
      <c r="D63" s="80" t="s">
        <v>74</v>
      </c>
      <c r="E63" s="81">
        <v>71251</v>
      </c>
      <c r="F63" s="80" t="s">
        <v>49</v>
      </c>
      <c r="G63" s="80" t="s">
        <v>50</v>
      </c>
      <c r="H63" s="80" t="s">
        <v>51</v>
      </c>
      <c r="I63" s="82">
        <v>29.864312267658001</v>
      </c>
      <c r="J63" s="83">
        <v>896.46428571428646</v>
      </c>
      <c r="K63" s="83">
        <v>68.392857142857181</v>
      </c>
      <c r="L63" s="83">
        <v>3.7214285714285715</v>
      </c>
      <c r="M63" s="83">
        <v>2.0785714285714278</v>
      </c>
      <c r="N63" s="83">
        <v>8.9285714285714324</v>
      </c>
      <c r="O63" s="83">
        <v>951.27857142857079</v>
      </c>
      <c r="P63" s="83">
        <v>1.892857142857143</v>
      </c>
      <c r="Q63" s="83">
        <v>8.5571428571428427</v>
      </c>
      <c r="R63" s="83">
        <v>1.5857142857142856</v>
      </c>
      <c r="S63" s="83">
        <v>1.5</v>
      </c>
      <c r="T63" s="83">
        <v>0.87857142857142845</v>
      </c>
      <c r="U63" s="83">
        <v>966.69285714285604</v>
      </c>
      <c r="V63" s="83">
        <v>354.07857142856966</v>
      </c>
      <c r="W63" s="84">
        <v>500</v>
      </c>
      <c r="X63" s="85" t="s">
        <v>52</v>
      </c>
      <c r="Y63" s="152">
        <v>45638</v>
      </c>
      <c r="Z63" s="151" t="s">
        <v>53</v>
      </c>
      <c r="AA63" s="151" t="s">
        <v>54</v>
      </c>
      <c r="AB63" s="151" t="s">
        <v>63</v>
      </c>
    </row>
    <row r="64" spans="1:28" ht="16.350000000000001" customHeight="1" x14ac:dyDescent="0.25">
      <c r="A64" s="80" t="s">
        <v>278</v>
      </c>
      <c r="B64" s="80" t="s">
        <v>279</v>
      </c>
      <c r="C64" s="80" t="s">
        <v>280</v>
      </c>
      <c r="D64" s="80" t="s">
        <v>281</v>
      </c>
      <c r="E64" s="81">
        <v>83442</v>
      </c>
      <c r="F64" s="80" t="s">
        <v>259</v>
      </c>
      <c r="G64" s="80" t="s">
        <v>69</v>
      </c>
      <c r="H64" s="80" t="s">
        <v>51</v>
      </c>
      <c r="I64" s="82">
        <v>2.4375</v>
      </c>
      <c r="J64" s="83">
        <v>0.33571428571428563</v>
      </c>
      <c r="K64" s="83">
        <v>0.39999999999999986</v>
      </c>
      <c r="L64" s="83">
        <v>1.2714285714285702</v>
      </c>
      <c r="M64" s="83">
        <v>0.66428571428571392</v>
      </c>
      <c r="N64" s="83">
        <v>2.1785714285714257</v>
      </c>
      <c r="O64" s="83">
        <v>0.48571428571428554</v>
      </c>
      <c r="P64" s="83">
        <v>0</v>
      </c>
      <c r="Q64" s="83">
        <v>7.1428571428571426E-3</v>
      </c>
      <c r="R64" s="83">
        <v>0.12857142857142856</v>
      </c>
      <c r="S64" s="83">
        <v>7.857142857142857E-2</v>
      </c>
      <c r="T64" s="83">
        <v>0.19285714285714284</v>
      </c>
      <c r="U64" s="83">
        <v>2.2714285714285678</v>
      </c>
      <c r="V64" s="83">
        <v>2.1428571428571397</v>
      </c>
      <c r="W64" s="84" t="s">
        <v>77</v>
      </c>
      <c r="X64" s="85" t="s">
        <v>52</v>
      </c>
      <c r="Y64" s="152">
        <v>45491</v>
      </c>
      <c r="Z64" s="151" t="s">
        <v>62</v>
      </c>
      <c r="AA64" s="151" t="s">
        <v>70</v>
      </c>
      <c r="AB64" s="151" t="s">
        <v>63</v>
      </c>
    </row>
    <row r="65" spans="1:28" ht="16.350000000000001" customHeight="1" x14ac:dyDescent="0.25">
      <c r="A65" s="80" t="s">
        <v>282</v>
      </c>
      <c r="B65" s="80" t="s">
        <v>283</v>
      </c>
      <c r="C65" s="80" t="s">
        <v>284</v>
      </c>
      <c r="D65" s="80" t="s">
        <v>94</v>
      </c>
      <c r="E65" s="81">
        <v>77301</v>
      </c>
      <c r="F65" s="80" t="s">
        <v>267</v>
      </c>
      <c r="G65" s="80" t="s">
        <v>69</v>
      </c>
      <c r="H65" s="80" t="s">
        <v>51</v>
      </c>
      <c r="I65" s="82">
        <v>27.171597633136098</v>
      </c>
      <c r="J65" s="83">
        <v>733.55714285715032</v>
      </c>
      <c r="K65" s="83">
        <v>51.35000000000008</v>
      </c>
      <c r="L65" s="83">
        <v>18.985714285714277</v>
      </c>
      <c r="M65" s="83">
        <v>8.9571428571428555</v>
      </c>
      <c r="N65" s="83">
        <v>41.564285714285724</v>
      </c>
      <c r="O65" s="83">
        <v>771.28571428572332</v>
      </c>
      <c r="P65" s="83">
        <v>0</v>
      </c>
      <c r="Q65" s="83">
        <v>0</v>
      </c>
      <c r="R65" s="83">
        <v>10.807142857142859</v>
      </c>
      <c r="S65" s="83">
        <v>6.1714285714285717</v>
      </c>
      <c r="T65" s="83">
        <v>12.049999999999997</v>
      </c>
      <c r="U65" s="83">
        <v>783.82142857143663</v>
      </c>
      <c r="V65" s="83">
        <v>693.31428571429376</v>
      </c>
      <c r="W65" s="84" t="s">
        <v>77</v>
      </c>
      <c r="X65" s="85" t="s">
        <v>52</v>
      </c>
      <c r="Y65" s="152">
        <v>45645</v>
      </c>
      <c r="Z65" s="151" t="s">
        <v>53</v>
      </c>
      <c r="AA65" s="151" t="s">
        <v>70</v>
      </c>
      <c r="AB65" s="151" t="s">
        <v>63</v>
      </c>
    </row>
    <row r="66" spans="1:28" ht="16.350000000000001" customHeight="1" x14ac:dyDescent="0.25">
      <c r="A66" s="80" t="s">
        <v>285</v>
      </c>
      <c r="B66" s="80" t="s">
        <v>286</v>
      </c>
      <c r="C66" s="80" t="s">
        <v>287</v>
      </c>
      <c r="D66" s="80" t="s">
        <v>89</v>
      </c>
      <c r="E66" s="81">
        <v>34009</v>
      </c>
      <c r="F66" s="80" t="s">
        <v>90</v>
      </c>
      <c r="G66" s="80" t="s">
        <v>288</v>
      </c>
      <c r="H66" s="80" t="s">
        <v>51</v>
      </c>
      <c r="I66" s="82"/>
      <c r="J66" s="83">
        <v>0.45714285714285707</v>
      </c>
      <c r="K66" s="83">
        <v>0.53571428571428559</v>
      </c>
      <c r="L66" s="83">
        <v>2.5285714285714276</v>
      </c>
      <c r="M66" s="83">
        <v>2.7071428571428564</v>
      </c>
      <c r="N66" s="83">
        <v>2.9285714285714284</v>
      </c>
      <c r="O66" s="83">
        <v>3.3000000000000003</v>
      </c>
      <c r="P66" s="83">
        <v>0</v>
      </c>
      <c r="Q66" s="83">
        <v>0</v>
      </c>
      <c r="R66" s="83">
        <v>1.0214285714285711</v>
      </c>
      <c r="S66" s="83">
        <v>0.69285714285714273</v>
      </c>
      <c r="T66" s="83">
        <v>1.1285714285714283</v>
      </c>
      <c r="U66" s="83">
        <v>3.3857142857142861</v>
      </c>
      <c r="V66" s="83">
        <v>6.1999999999999922</v>
      </c>
      <c r="W66" s="84" t="s">
        <v>77</v>
      </c>
      <c r="X66" s="85" t="s">
        <v>53</v>
      </c>
      <c r="Y66" s="152" t="s">
        <v>77</v>
      </c>
      <c r="Z66" s="151" t="s">
        <v>53</v>
      </c>
      <c r="AA66" s="151" t="s">
        <v>77</v>
      </c>
      <c r="AB66" s="151" t="s">
        <v>77</v>
      </c>
    </row>
    <row r="67" spans="1:28" ht="16.350000000000001" customHeight="1" x14ac:dyDescent="0.25">
      <c r="A67" s="80" t="s">
        <v>289</v>
      </c>
      <c r="B67" s="80" t="s">
        <v>290</v>
      </c>
      <c r="C67" s="80" t="s">
        <v>291</v>
      </c>
      <c r="D67" s="80" t="s">
        <v>232</v>
      </c>
      <c r="E67" s="81">
        <v>56201</v>
      </c>
      <c r="F67" s="80" t="s">
        <v>178</v>
      </c>
      <c r="G67" s="80" t="s">
        <v>69</v>
      </c>
      <c r="H67" s="80" t="s">
        <v>51</v>
      </c>
      <c r="I67" s="82">
        <v>52.285714285714299</v>
      </c>
      <c r="J67" s="83">
        <v>24.599999999999998</v>
      </c>
      <c r="K67" s="83">
        <v>20.792857142857148</v>
      </c>
      <c r="L67" s="83">
        <v>68.700000000000031</v>
      </c>
      <c r="M67" s="83">
        <v>25.685714285714287</v>
      </c>
      <c r="N67" s="83">
        <v>76.592857142857227</v>
      </c>
      <c r="O67" s="83">
        <v>51.721428571428589</v>
      </c>
      <c r="P67" s="83">
        <v>7.2357142857142858</v>
      </c>
      <c r="Q67" s="83">
        <v>4.2285714285714286</v>
      </c>
      <c r="R67" s="83">
        <v>29.142857142857149</v>
      </c>
      <c r="S67" s="83">
        <v>14.150000000000002</v>
      </c>
      <c r="T67" s="83">
        <v>7.8928571428571415</v>
      </c>
      <c r="U67" s="83">
        <v>88.592857142857213</v>
      </c>
      <c r="V67" s="83">
        <v>101.32142857142865</v>
      </c>
      <c r="W67" s="84" t="s">
        <v>77</v>
      </c>
      <c r="X67" s="85" t="s">
        <v>52</v>
      </c>
      <c r="Y67" s="152">
        <v>45533</v>
      </c>
      <c r="Z67" s="151" t="s">
        <v>62</v>
      </c>
      <c r="AA67" s="151" t="s">
        <v>70</v>
      </c>
      <c r="AB67" s="151" t="s">
        <v>63</v>
      </c>
    </row>
    <row r="68" spans="1:28" ht="16.350000000000001" customHeight="1" x14ac:dyDescent="0.25">
      <c r="A68" s="80" t="s">
        <v>292</v>
      </c>
      <c r="B68" s="80" t="s">
        <v>293</v>
      </c>
      <c r="C68" s="80" t="s">
        <v>294</v>
      </c>
      <c r="D68" s="80" t="s">
        <v>94</v>
      </c>
      <c r="E68" s="81">
        <v>78118</v>
      </c>
      <c r="F68" s="80" t="s">
        <v>295</v>
      </c>
      <c r="G68" s="80" t="s">
        <v>101</v>
      </c>
      <c r="H68" s="80" t="s">
        <v>51</v>
      </c>
      <c r="I68" s="82">
        <v>1.1428571428571399</v>
      </c>
      <c r="J68" s="83">
        <v>0.33571428571428563</v>
      </c>
      <c r="K68" s="83">
        <v>0.14285714285714288</v>
      </c>
      <c r="L68" s="83">
        <v>0.67857142857142838</v>
      </c>
      <c r="M68" s="83">
        <v>2.8571428571428571E-2</v>
      </c>
      <c r="N68" s="83">
        <v>0.82857142857142829</v>
      </c>
      <c r="O68" s="83">
        <v>0.35714285714285704</v>
      </c>
      <c r="P68" s="83">
        <v>0</v>
      </c>
      <c r="Q68" s="83">
        <v>0</v>
      </c>
      <c r="R68" s="83">
        <v>0.15</v>
      </c>
      <c r="S68" s="83">
        <v>0.52857142857142847</v>
      </c>
      <c r="T68" s="83">
        <v>0.13571428571428573</v>
      </c>
      <c r="U68" s="83">
        <v>0.37142857142857133</v>
      </c>
      <c r="V68" s="83">
        <v>1.1785714285714282</v>
      </c>
      <c r="W68" s="84" t="s">
        <v>77</v>
      </c>
      <c r="X68" s="85" t="s">
        <v>144</v>
      </c>
      <c r="Y68" s="152">
        <v>45394</v>
      </c>
      <c r="Z68" s="151" t="s">
        <v>62</v>
      </c>
      <c r="AA68" s="151" t="s">
        <v>145</v>
      </c>
      <c r="AB68" s="151" t="s">
        <v>63</v>
      </c>
    </row>
    <row r="69" spans="1:28" ht="16.350000000000001" customHeight="1" x14ac:dyDescent="0.25">
      <c r="A69" s="80" t="s">
        <v>296</v>
      </c>
      <c r="B69" s="80" t="s">
        <v>297</v>
      </c>
      <c r="C69" s="80" t="s">
        <v>294</v>
      </c>
      <c r="D69" s="80" t="s">
        <v>94</v>
      </c>
      <c r="E69" s="81">
        <v>78118</v>
      </c>
      <c r="F69" s="80" t="s">
        <v>295</v>
      </c>
      <c r="G69" s="80" t="s">
        <v>50</v>
      </c>
      <c r="H69" s="80" t="s">
        <v>51</v>
      </c>
      <c r="I69" s="82">
        <v>44.661354581673301</v>
      </c>
      <c r="J69" s="83">
        <v>1061.2857142857035</v>
      </c>
      <c r="K69" s="83">
        <v>18.785714285714285</v>
      </c>
      <c r="L69" s="83">
        <v>1.3428571428571427</v>
      </c>
      <c r="M69" s="83">
        <v>2.8571428571428571E-2</v>
      </c>
      <c r="N69" s="83">
        <v>7.8714285714285692</v>
      </c>
      <c r="O69" s="83">
        <v>744.27857142856328</v>
      </c>
      <c r="P69" s="83">
        <v>2.8857142857142857</v>
      </c>
      <c r="Q69" s="83">
        <v>326.4071428571425</v>
      </c>
      <c r="R69" s="83">
        <v>0</v>
      </c>
      <c r="S69" s="83">
        <v>0.56428571428571428</v>
      </c>
      <c r="T69" s="83">
        <v>7.3714285714285692</v>
      </c>
      <c r="U69" s="83">
        <v>1073.50714285713</v>
      </c>
      <c r="V69" s="83">
        <v>626.41428571427878</v>
      </c>
      <c r="W69" s="84">
        <v>928</v>
      </c>
      <c r="X69" s="85" t="s">
        <v>52</v>
      </c>
      <c r="Y69" s="152">
        <v>45554</v>
      </c>
      <c r="Z69" s="151" t="s">
        <v>62</v>
      </c>
      <c r="AA69" s="151" t="s">
        <v>54</v>
      </c>
      <c r="AB69" s="151" t="s">
        <v>63</v>
      </c>
    </row>
    <row r="70" spans="1:28" ht="16.350000000000001" customHeight="1" x14ac:dyDescent="0.25">
      <c r="A70" s="80" t="s">
        <v>298</v>
      </c>
      <c r="B70" s="80" t="s">
        <v>299</v>
      </c>
      <c r="C70" s="80" t="s">
        <v>300</v>
      </c>
      <c r="D70" s="80" t="s">
        <v>301</v>
      </c>
      <c r="E70" s="81">
        <v>74647</v>
      </c>
      <c r="F70" s="80" t="s">
        <v>100</v>
      </c>
      <c r="G70" s="80" t="s">
        <v>69</v>
      </c>
      <c r="H70" s="80" t="s">
        <v>51</v>
      </c>
      <c r="I70" s="82">
        <v>77.428571428571402</v>
      </c>
      <c r="J70" s="83">
        <v>38.614285714285742</v>
      </c>
      <c r="K70" s="83">
        <v>17.607142857142868</v>
      </c>
      <c r="L70" s="83">
        <v>18.600000000000016</v>
      </c>
      <c r="M70" s="83">
        <v>12.535714285714288</v>
      </c>
      <c r="N70" s="83">
        <v>41.271428571428622</v>
      </c>
      <c r="O70" s="83">
        <v>46.08571428571431</v>
      </c>
      <c r="P70" s="83">
        <v>0</v>
      </c>
      <c r="Q70" s="83">
        <v>0</v>
      </c>
      <c r="R70" s="83">
        <v>11.214285714285712</v>
      </c>
      <c r="S70" s="83">
        <v>12.614285714285717</v>
      </c>
      <c r="T70" s="83">
        <v>8.2428571428571438</v>
      </c>
      <c r="U70" s="83">
        <v>55.285714285714313</v>
      </c>
      <c r="V70" s="83">
        <v>67.342857142857213</v>
      </c>
      <c r="W70" s="84" t="s">
        <v>77</v>
      </c>
      <c r="X70" s="85" t="s">
        <v>52</v>
      </c>
      <c r="Y70" s="152">
        <v>45512</v>
      </c>
      <c r="Z70" s="151" t="s">
        <v>62</v>
      </c>
      <c r="AA70" s="151" t="s">
        <v>70</v>
      </c>
      <c r="AB70" s="151" t="s">
        <v>63</v>
      </c>
    </row>
    <row r="71" spans="1:28" ht="16.350000000000001" customHeight="1" x14ac:dyDescent="0.25">
      <c r="A71" s="80" t="s">
        <v>302</v>
      </c>
      <c r="B71" s="80" t="s">
        <v>303</v>
      </c>
      <c r="C71" s="80" t="s">
        <v>304</v>
      </c>
      <c r="D71" s="80" t="s">
        <v>305</v>
      </c>
      <c r="E71" s="81">
        <v>37918</v>
      </c>
      <c r="F71" s="80" t="s">
        <v>49</v>
      </c>
      <c r="G71" s="80" t="s">
        <v>101</v>
      </c>
      <c r="H71" s="80" t="s">
        <v>51</v>
      </c>
      <c r="I71" s="82">
        <v>1.71830985915493</v>
      </c>
      <c r="J71" s="83">
        <v>2.0785714285714243</v>
      </c>
      <c r="K71" s="83">
        <v>2.7214285714285649</v>
      </c>
      <c r="L71" s="83">
        <v>2.6928571428571364</v>
      </c>
      <c r="M71" s="83">
        <v>1.0428571428571423</v>
      </c>
      <c r="N71" s="83">
        <v>4.9785714285714153</v>
      </c>
      <c r="O71" s="83">
        <v>3.0785714285714207</v>
      </c>
      <c r="P71" s="83">
        <v>0.15714285714285717</v>
      </c>
      <c r="Q71" s="83">
        <v>0.32142857142857145</v>
      </c>
      <c r="R71" s="83">
        <v>7.1428571428571425E-2</v>
      </c>
      <c r="S71" s="83">
        <v>8.5714285714285715E-2</v>
      </c>
      <c r="T71" s="83">
        <v>8.5714285714285715E-2</v>
      </c>
      <c r="U71" s="83">
        <v>8.2928571428571267</v>
      </c>
      <c r="V71" s="83">
        <v>5.557142857142841</v>
      </c>
      <c r="W71" s="84" t="s">
        <v>77</v>
      </c>
      <c r="X71" s="85" t="s">
        <v>52</v>
      </c>
      <c r="Y71" s="152">
        <v>45561</v>
      </c>
      <c r="Z71" s="151" t="s">
        <v>62</v>
      </c>
      <c r="AA71" s="151" t="s">
        <v>70</v>
      </c>
      <c r="AB71" s="151" t="s">
        <v>63</v>
      </c>
    </row>
    <row r="72" spans="1:28" ht="16.350000000000001" customHeight="1" x14ac:dyDescent="0.25">
      <c r="A72" s="80" t="s">
        <v>306</v>
      </c>
      <c r="B72" s="80" t="s">
        <v>307</v>
      </c>
      <c r="C72" s="80" t="s">
        <v>308</v>
      </c>
      <c r="D72" s="80" t="s">
        <v>89</v>
      </c>
      <c r="E72" s="81">
        <v>33194</v>
      </c>
      <c r="F72" s="80" t="s">
        <v>90</v>
      </c>
      <c r="G72" s="80" t="s">
        <v>113</v>
      </c>
      <c r="H72" s="80" t="s">
        <v>76</v>
      </c>
      <c r="I72" s="82">
        <v>46.278195488721799</v>
      </c>
      <c r="J72" s="83">
        <v>10.385714285714286</v>
      </c>
      <c r="K72" s="83">
        <v>9.6999999999999957</v>
      </c>
      <c r="L72" s="83">
        <v>239.17142857142849</v>
      </c>
      <c r="M72" s="83">
        <v>291.34999999999991</v>
      </c>
      <c r="N72" s="83">
        <v>376.05714285714288</v>
      </c>
      <c r="O72" s="83">
        <v>174.35714285714292</v>
      </c>
      <c r="P72" s="83">
        <v>0.19285714285714287</v>
      </c>
      <c r="Q72" s="83">
        <v>0</v>
      </c>
      <c r="R72" s="83">
        <v>165.48571428571427</v>
      </c>
      <c r="S72" s="83">
        <v>34.064285714285717</v>
      </c>
      <c r="T72" s="83">
        <v>25.7</v>
      </c>
      <c r="U72" s="83">
        <v>325.35714285714232</v>
      </c>
      <c r="V72" s="83">
        <v>389.53571428571354</v>
      </c>
      <c r="W72" s="84">
        <v>450</v>
      </c>
      <c r="X72" s="85" t="s">
        <v>52</v>
      </c>
      <c r="Y72" s="152">
        <v>45547</v>
      </c>
      <c r="Z72" s="151" t="s">
        <v>62</v>
      </c>
      <c r="AA72" s="151" t="s">
        <v>54</v>
      </c>
      <c r="AB72" s="151" t="s">
        <v>63</v>
      </c>
    </row>
    <row r="73" spans="1:28" ht="16.350000000000001" customHeight="1" x14ac:dyDescent="0.25">
      <c r="A73" s="80" t="s">
        <v>309</v>
      </c>
      <c r="B73" s="80" t="s">
        <v>310</v>
      </c>
      <c r="C73" s="80" t="s">
        <v>311</v>
      </c>
      <c r="D73" s="80" t="s">
        <v>94</v>
      </c>
      <c r="E73" s="81">
        <v>78041</v>
      </c>
      <c r="F73" s="80" t="s">
        <v>166</v>
      </c>
      <c r="G73" s="80" t="s">
        <v>50</v>
      </c>
      <c r="H73" s="80" t="s">
        <v>51</v>
      </c>
      <c r="I73" s="82">
        <v>16.805970149253699</v>
      </c>
      <c r="J73" s="83">
        <v>338.47857142857208</v>
      </c>
      <c r="K73" s="83">
        <v>2.3071428571428574</v>
      </c>
      <c r="L73" s="83">
        <v>1.4357142857142855</v>
      </c>
      <c r="M73" s="83">
        <v>3.5000000000000004</v>
      </c>
      <c r="N73" s="83">
        <v>7.857142857142857E-2</v>
      </c>
      <c r="O73" s="83">
        <v>0.66428571428571426</v>
      </c>
      <c r="P73" s="83">
        <v>7.721428571428568</v>
      </c>
      <c r="Q73" s="83">
        <v>337.25714285714338</v>
      </c>
      <c r="R73" s="83">
        <v>0.61428571428571432</v>
      </c>
      <c r="S73" s="83">
        <v>0.7</v>
      </c>
      <c r="T73" s="83">
        <v>4.6428571428571415</v>
      </c>
      <c r="U73" s="83">
        <v>339.76428571428636</v>
      </c>
      <c r="V73" s="83">
        <v>213.73571428571438</v>
      </c>
      <c r="W73" s="84" t="s">
        <v>77</v>
      </c>
      <c r="X73" s="85" t="s">
        <v>52</v>
      </c>
      <c r="Y73" s="152">
        <v>45547</v>
      </c>
      <c r="Z73" s="151" t="s">
        <v>62</v>
      </c>
      <c r="AA73" s="151" t="s">
        <v>70</v>
      </c>
      <c r="AB73" s="151" t="s">
        <v>63</v>
      </c>
    </row>
    <row r="74" spans="1:28" ht="16.350000000000001" customHeight="1" x14ac:dyDescent="0.25">
      <c r="A74" s="80" t="s">
        <v>312</v>
      </c>
      <c r="B74" s="80" t="s">
        <v>313</v>
      </c>
      <c r="C74" s="80" t="s">
        <v>314</v>
      </c>
      <c r="D74" s="80" t="s">
        <v>135</v>
      </c>
      <c r="E74" s="81">
        <v>66048</v>
      </c>
      <c r="F74" s="80" t="s">
        <v>100</v>
      </c>
      <c r="G74" s="80" t="s">
        <v>85</v>
      </c>
      <c r="H74" s="80" t="s">
        <v>51</v>
      </c>
      <c r="I74" s="82"/>
      <c r="J74" s="83">
        <v>0.92857142857142816</v>
      </c>
      <c r="K74" s="83">
        <v>0.2142857142857143</v>
      </c>
      <c r="L74" s="83">
        <v>0.30714285714285711</v>
      </c>
      <c r="M74" s="83">
        <v>0.48571428571428571</v>
      </c>
      <c r="N74" s="83">
        <v>0.88571428571428568</v>
      </c>
      <c r="O74" s="83">
        <v>1.0499999999999998</v>
      </c>
      <c r="P74" s="83">
        <v>0</v>
      </c>
      <c r="Q74" s="83">
        <v>0</v>
      </c>
      <c r="R74" s="83">
        <v>0.27857142857142858</v>
      </c>
      <c r="S74" s="83">
        <v>2.8571428571428571E-2</v>
      </c>
      <c r="T74" s="83">
        <v>0.22142857142857142</v>
      </c>
      <c r="U74" s="83">
        <v>1.4071428571428577</v>
      </c>
      <c r="V74" s="83">
        <v>1.9071428571428586</v>
      </c>
      <c r="W74" s="84" t="s">
        <v>77</v>
      </c>
      <c r="X74" s="85" t="s">
        <v>53</v>
      </c>
      <c r="Y74" s="152" t="s">
        <v>77</v>
      </c>
      <c r="Z74" s="151" t="s">
        <v>53</v>
      </c>
      <c r="AA74" s="151" t="s">
        <v>77</v>
      </c>
      <c r="AB74" s="151" t="s">
        <v>77</v>
      </c>
    </row>
    <row r="75" spans="1:28" ht="16.350000000000001" customHeight="1" x14ac:dyDescent="0.25">
      <c r="A75" s="80" t="s">
        <v>315</v>
      </c>
      <c r="B75" s="80" t="s">
        <v>316</v>
      </c>
      <c r="C75" s="80" t="s">
        <v>217</v>
      </c>
      <c r="D75" s="80" t="s">
        <v>317</v>
      </c>
      <c r="E75" s="81">
        <v>29072</v>
      </c>
      <c r="F75" s="80" t="s">
        <v>68</v>
      </c>
      <c r="G75" s="80" t="s">
        <v>101</v>
      </c>
      <c r="H75" s="80" t="s">
        <v>51</v>
      </c>
      <c r="I75" s="82">
        <v>1.7457627118644099</v>
      </c>
      <c r="J75" s="83">
        <v>0.57142857142857117</v>
      </c>
      <c r="K75" s="83">
        <v>1.3214285714285692</v>
      </c>
      <c r="L75" s="83">
        <v>0.64999999999999947</v>
      </c>
      <c r="M75" s="83">
        <v>0.3</v>
      </c>
      <c r="N75" s="83">
        <v>1.5071428571428545</v>
      </c>
      <c r="O75" s="83">
        <v>1.0928571428571416</v>
      </c>
      <c r="P75" s="83">
        <v>6.4285714285714279E-2</v>
      </c>
      <c r="Q75" s="83">
        <v>0.1785714285714286</v>
      </c>
      <c r="R75" s="83">
        <v>7.1428571428571426E-3</v>
      </c>
      <c r="S75" s="83">
        <v>4.2857142857142858E-2</v>
      </c>
      <c r="T75" s="83">
        <v>2.1428571428571429E-2</v>
      </c>
      <c r="U75" s="83">
        <v>2.7714285714285642</v>
      </c>
      <c r="V75" s="83">
        <v>1.5785714285714254</v>
      </c>
      <c r="W75" s="84" t="s">
        <v>77</v>
      </c>
      <c r="X75" s="85" t="s">
        <v>52</v>
      </c>
      <c r="Y75" s="152">
        <v>45512</v>
      </c>
      <c r="Z75" s="151" t="s">
        <v>62</v>
      </c>
      <c r="AA75" s="151" t="s">
        <v>70</v>
      </c>
      <c r="AB75" s="151" t="s">
        <v>63</v>
      </c>
    </row>
    <row r="76" spans="1:28" ht="16.350000000000001" customHeight="1" x14ac:dyDescent="0.25">
      <c r="A76" s="80" t="s">
        <v>318</v>
      </c>
      <c r="B76" s="80" t="s">
        <v>319</v>
      </c>
      <c r="C76" s="80" t="s">
        <v>320</v>
      </c>
      <c r="D76" s="80" t="s">
        <v>94</v>
      </c>
      <c r="E76" s="81">
        <v>76642</v>
      </c>
      <c r="F76" s="80" t="s">
        <v>267</v>
      </c>
      <c r="G76" s="80" t="s">
        <v>101</v>
      </c>
      <c r="H76" s="80" t="s">
        <v>76</v>
      </c>
      <c r="I76" s="82">
        <v>30.521739130434799</v>
      </c>
      <c r="J76" s="83">
        <v>14.471428571428572</v>
      </c>
      <c r="K76" s="83">
        <v>0.86428571428571443</v>
      </c>
      <c r="L76" s="83">
        <v>2.6499999999999981</v>
      </c>
      <c r="M76" s="83">
        <v>2.3071428571428547</v>
      </c>
      <c r="N76" s="83">
        <v>3.7571428571428549</v>
      </c>
      <c r="O76" s="83">
        <v>16.535714285714288</v>
      </c>
      <c r="P76" s="83">
        <v>0</v>
      </c>
      <c r="Q76" s="83">
        <v>0</v>
      </c>
      <c r="R76" s="83">
        <v>0.49285714285714288</v>
      </c>
      <c r="S76" s="83">
        <v>0.25714285714285712</v>
      </c>
      <c r="T76" s="83">
        <v>0.47142857142857142</v>
      </c>
      <c r="U76" s="83">
        <v>19.07142857142858</v>
      </c>
      <c r="V76" s="83">
        <v>15.507142857142854</v>
      </c>
      <c r="W76" s="84" t="s">
        <v>77</v>
      </c>
      <c r="X76" s="85" t="s">
        <v>52</v>
      </c>
      <c r="Y76" s="152">
        <v>45561</v>
      </c>
      <c r="Z76" s="151" t="s">
        <v>62</v>
      </c>
      <c r="AA76" s="151" t="s">
        <v>70</v>
      </c>
      <c r="AB76" s="151" t="s">
        <v>63</v>
      </c>
    </row>
    <row r="77" spans="1:28" ht="16.350000000000001" customHeight="1" x14ac:dyDescent="0.25">
      <c r="A77" s="80" t="s">
        <v>321</v>
      </c>
      <c r="B77" s="80" t="s">
        <v>322</v>
      </c>
      <c r="C77" s="80" t="s">
        <v>323</v>
      </c>
      <c r="D77" s="80" t="s">
        <v>94</v>
      </c>
      <c r="E77" s="81">
        <v>79401</v>
      </c>
      <c r="F77" s="80" t="s">
        <v>95</v>
      </c>
      <c r="G77" s="80" t="s">
        <v>101</v>
      </c>
      <c r="H77" s="80" t="s">
        <v>51</v>
      </c>
      <c r="I77" s="82">
        <v>1.3333333333333299</v>
      </c>
      <c r="J77" s="83">
        <v>0.31428571428571428</v>
      </c>
      <c r="K77" s="83">
        <v>0.63571428571428501</v>
      </c>
      <c r="L77" s="83">
        <v>0.24285714285714291</v>
      </c>
      <c r="M77" s="83">
        <v>6.4285714285714293E-2</v>
      </c>
      <c r="N77" s="83">
        <v>0.53571428571428548</v>
      </c>
      <c r="O77" s="83">
        <v>0.64999999999999902</v>
      </c>
      <c r="P77" s="83">
        <v>0</v>
      </c>
      <c r="Q77" s="83">
        <v>7.1428571428571425E-2</v>
      </c>
      <c r="R77" s="83">
        <v>0.10714285714285715</v>
      </c>
      <c r="S77" s="83">
        <v>0</v>
      </c>
      <c r="T77" s="83">
        <v>2.8571428571428571E-2</v>
      </c>
      <c r="U77" s="83">
        <v>1.1214285714285697</v>
      </c>
      <c r="V77" s="83">
        <v>0.52857142857142814</v>
      </c>
      <c r="W77" s="84" t="s">
        <v>77</v>
      </c>
      <c r="X77" s="85" t="s">
        <v>144</v>
      </c>
      <c r="Y77" s="152">
        <v>45377</v>
      </c>
      <c r="Z77" s="151" t="s">
        <v>62</v>
      </c>
      <c r="AA77" s="151" t="s">
        <v>145</v>
      </c>
      <c r="AB77" s="151" t="s">
        <v>63</v>
      </c>
    </row>
    <row r="78" spans="1:28" ht="16.350000000000001" customHeight="1" x14ac:dyDescent="0.25">
      <c r="A78" s="80" t="s">
        <v>324</v>
      </c>
      <c r="B78" s="80" t="s">
        <v>325</v>
      </c>
      <c r="C78" s="80" t="s">
        <v>326</v>
      </c>
      <c r="D78" s="80" t="s">
        <v>48</v>
      </c>
      <c r="E78" s="81">
        <v>39046</v>
      </c>
      <c r="F78" s="80" t="s">
        <v>49</v>
      </c>
      <c r="G78" s="80" t="s">
        <v>101</v>
      </c>
      <c r="H78" s="80" t="s">
        <v>51</v>
      </c>
      <c r="I78" s="82">
        <v>2.0499999999999998</v>
      </c>
      <c r="J78" s="83">
        <v>0.79999999999999927</v>
      </c>
      <c r="K78" s="83">
        <v>0.8071428571428565</v>
      </c>
      <c r="L78" s="83">
        <v>0.62142857142857111</v>
      </c>
      <c r="M78" s="83">
        <v>0.17142857142857146</v>
      </c>
      <c r="N78" s="83">
        <v>1.0642857142857132</v>
      </c>
      <c r="O78" s="83">
        <v>1.2142857142857126</v>
      </c>
      <c r="P78" s="83">
        <v>4.2857142857142858E-2</v>
      </c>
      <c r="Q78" s="83">
        <v>7.857142857142857E-2</v>
      </c>
      <c r="R78" s="83">
        <v>7.1428571428571426E-3</v>
      </c>
      <c r="S78" s="83">
        <v>7.1428571428571426E-3</v>
      </c>
      <c r="T78" s="83">
        <v>0</v>
      </c>
      <c r="U78" s="83">
        <v>2.3857142857142799</v>
      </c>
      <c r="V78" s="83">
        <v>1.4142857142857121</v>
      </c>
      <c r="W78" s="84" t="s">
        <v>77</v>
      </c>
      <c r="X78" s="85" t="s">
        <v>52</v>
      </c>
      <c r="Y78" s="152">
        <v>45561</v>
      </c>
      <c r="Z78" s="151" t="s">
        <v>62</v>
      </c>
      <c r="AA78" s="151" t="s">
        <v>70</v>
      </c>
      <c r="AB78" s="151" t="s">
        <v>63</v>
      </c>
    </row>
    <row r="79" spans="1:28" ht="16.350000000000001" customHeight="1" x14ac:dyDescent="0.25">
      <c r="A79" s="80" t="s">
        <v>327</v>
      </c>
      <c r="B79" s="80" t="s">
        <v>328</v>
      </c>
      <c r="C79" s="80" t="s">
        <v>329</v>
      </c>
      <c r="D79" s="80" t="s">
        <v>154</v>
      </c>
      <c r="E79" s="81">
        <v>46204</v>
      </c>
      <c r="F79" s="80" t="s">
        <v>100</v>
      </c>
      <c r="G79" s="80" t="s">
        <v>101</v>
      </c>
      <c r="H79" s="80" t="s">
        <v>51</v>
      </c>
      <c r="I79" s="82"/>
      <c r="J79" s="83">
        <v>0.94285714285714262</v>
      </c>
      <c r="K79" s="83">
        <v>0.22142857142857142</v>
      </c>
      <c r="L79" s="83">
        <v>0.20714285714285713</v>
      </c>
      <c r="M79" s="83">
        <v>0.16428571428571428</v>
      </c>
      <c r="N79" s="83">
        <v>0.4285714285714286</v>
      </c>
      <c r="O79" s="83">
        <v>1.0999999999999992</v>
      </c>
      <c r="P79" s="83">
        <v>0</v>
      </c>
      <c r="Q79" s="83">
        <v>7.1428571428571426E-3</v>
      </c>
      <c r="R79" s="83">
        <v>3.5714285714285712E-2</v>
      </c>
      <c r="S79" s="83">
        <v>0.15</v>
      </c>
      <c r="T79" s="83">
        <v>0.16428571428571428</v>
      </c>
      <c r="U79" s="83">
        <v>1.1857142857142851</v>
      </c>
      <c r="V79" s="83">
        <v>0.50714285714285712</v>
      </c>
      <c r="W79" s="84" t="s">
        <v>77</v>
      </c>
      <c r="X79" s="85" t="s">
        <v>144</v>
      </c>
      <c r="Y79" s="152">
        <v>45291</v>
      </c>
      <c r="Z79" s="151" t="s">
        <v>62</v>
      </c>
      <c r="AA79" s="151" t="s">
        <v>145</v>
      </c>
      <c r="AB79" s="151" t="s">
        <v>63</v>
      </c>
    </row>
    <row r="80" spans="1:28" ht="16.350000000000001" customHeight="1" x14ac:dyDescent="0.25">
      <c r="A80" s="80" t="s">
        <v>330</v>
      </c>
      <c r="B80" s="80" t="s">
        <v>331</v>
      </c>
      <c r="C80" s="80" t="s">
        <v>332</v>
      </c>
      <c r="D80" s="80" t="s">
        <v>59</v>
      </c>
      <c r="E80" s="81">
        <v>93301</v>
      </c>
      <c r="F80" s="80" t="s">
        <v>188</v>
      </c>
      <c r="G80" s="80" t="s">
        <v>61</v>
      </c>
      <c r="H80" s="80" t="s">
        <v>51</v>
      </c>
      <c r="I80" s="82">
        <v>307.33333333333297</v>
      </c>
      <c r="J80" s="83">
        <v>0</v>
      </c>
      <c r="K80" s="83">
        <v>2.1642857142857146</v>
      </c>
      <c r="L80" s="83">
        <v>12.207142857142859</v>
      </c>
      <c r="M80" s="83">
        <v>36.250000000000007</v>
      </c>
      <c r="N80" s="83">
        <v>50.621428571428581</v>
      </c>
      <c r="O80" s="83">
        <v>0</v>
      </c>
      <c r="P80" s="83">
        <v>0</v>
      </c>
      <c r="Q80" s="83">
        <v>0</v>
      </c>
      <c r="R80" s="83">
        <v>39.214285714285715</v>
      </c>
      <c r="S80" s="83">
        <v>1.4714285714285715</v>
      </c>
      <c r="T80" s="83">
        <v>0.38571428571428573</v>
      </c>
      <c r="U80" s="83">
        <v>9.5499999999999989</v>
      </c>
      <c r="V80" s="83">
        <v>42.507142857142867</v>
      </c>
      <c r="W80" s="84">
        <v>320</v>
      </c>
      <c r="X80" s="85" t="s">
        <v>52</v>
      </c>
      <c r="Y80" s="152">
        <v>45456</v>
      </c>
      <c r="Z80" s="151" t="s">
        <v>62</v>
      </c>
      <c r="AA80" s="151" t="s">
        <v>54</v>
      </c>
      <c r="AB80" s="151" t="s">
        <v>63</v>
      </c>
    </row>
    <row r="81" spans="1:28" ht="16.350000000000001" customHeight="1" x14ac:dyDescent="0.25">
      <c r="A81" s="80" t="s">
        <v>333</v>
      </c>
      <c r="B81" s="80" t="s">
        <v>334</v>
      </c>
      <c r="C81" s="80" t="s">
        <v>308</v>
      </c>
      <c r="D81" s="80" t="s">
        <v>89</v>
      </c>
      <c r="E81" s="81">
        <v>33132</v>
      </c>
      <c r="F81" s="80" t="s">
        <v>90</v>
      </c>
      <c r="G81" s="80" t="s">
        <v>85</v>
      </c>
      <c r="H81" s="80" t="s">
        <v>51</v>
      </c>
      <c r="I81" s="82"/>
      <c r="J81" s="83">
        <v>1.2928571428571429</v>
      </c>
      <c r="K81" s="83">
        <v>1.2214285714285713</v>
      </c>
      <c r="L81" s="83">
        <v>8.5071428571428456</v>
      </c>
      <c r="M81" s="83">
        <v>4.2071428571428546</v>
      </c>
      <c r="N81" s="83">
        <v>7.3571428571428443</v>
      </c>
      <c r="O81" s="83">
        <v>7.8714285714285568</v>
      </c>
      <c r="P81" s="83">
        <v>0</v>
      </c>
      <c r="Q81" s="83">
        <v>0</v>
      </c>
      <c r="R81" s="83">
        <v>3.0500000000000007</v>
      </c>
      <c r="S81" s="83">
        <v>2.157142857142857</v>
      </c>
      <c r="T81" s="83">
        <v>1.3642857142857139</v>
      </c>
      <c r="U81" s="83">
        <v>8.6571428571428495</v>
      </c>
      <c r="V81" s="83">
        <v>4.9642857142857082</v>
      </c>
      <c r="W81" s="84" t="s">
        <v>77</v>
      </c>
      <c r="X81" s="85" t="s">
        <v>53</v>
      </c>
      <c r="Y81" s="152" t="s">
        <v>77</v>
      </c>
      <c r="Z81" s="151" t="s">
        <v>53</v>
      </c>
      <c r="AA81" s="151" t="s">
        <v>77</v>
      </c>
      <c r="AB81" s="151" t="s">
        <v>77</v>
      </c>
    </row>
    <row r="82" spans="1:28" ht="16.350000000000001" customHeight="1" x14ac:dyDescent="0.25">
      <c r="A82" s="80" t="s">
        <v>335</v>
      </c>
      <c r="B82" s="80" t="s">
        <v>286</v>
      </c>
      <c r="C82" s="80" t="s">
        <v>287</v>
      </c>
      <c r="D82" s="80" t="s">
        <v>89</v>
      </c>
      <c r="E82" s="81">
        <v>34009</v>
      </c>
      <c r="F82" s="80" t="s">
        <v>90</v>
      </c>
      <c r="G82" s="80" t="s">
        <v>336</v>
      </c>
      <c r="H82" s="80" t="s">
        <v>51</v>
      </c>
      <c r="I82" s="82"/>
      <c r="J82" s="83">
        <v>2.1</v>
      </c>
      <c r="K82" s="83">
        <v>0.59285714285714286</v>
      </c>
      <c r="L82" s="83">
        <v>0.12857142857142856</v>
      </c>
      <c r="M82" s="83">
        <v>0</v>
      </c>
      <c r="N82" s="83">
        <v>0.5</v>
      </c>
      <c r="O82" s="83">
        <v>2.3214285714285707</v>
      </c>
      <c r="P82" s="83">
        <v>0</v>
      </c>
      <c r="Q82" s="83">
        <v>0</v>
      </c>
      <c r="R82" s="83">
        <v>0</v>
      </c>
      <c r="S82" s="83">
        <v>0.19285714285714284</v>
      </c>
      <c r="T82" s="83">
        <v>0.30714285714285711</v>
      </c>
      <c r="U82" s="83">
        <v>2.3214285714285707</v>
      </c>
      <c r="V82" s="83">
        <v>2.8214285714285694</v>
      </c>
      <c r="W82" s="84" t="s">
        <v>77</v>
      </c>
      <c r="X82" s="85" t="s">
        <v>53</v>
      </c>
      <c r="Y82" s="152" t="s">
        <v>77</v>
      </c>
      <c r="Z82" s="151" t="s">
        <v>53</v>
      </c>
      <c r="AA82" s="151" t="s">
        <v>77</v>
      </c>
      <c r="AB82" s="151" t="s">
        <v>77</v>
      </c>
    </row>
    <row r="83" spans="1:28" ht="16.350000000000001" customHeight="1" x14ac:dyDescent="0.25">
      <c r="A83" s="80" t="s">
        <v>337</v>
      </c>
      <c r="B83" s="80" t="s">
        <v>338</v>
      </c>
      <c r="C83" s="80" t="s">
        <v>339</v>
      </c>
      <c r="D83" s="80" t="s">
        <v>117</v>
      </c>
      <c r="E83" s="81">
        <v>48161</v>
      </c>
      <c r="F83" s="80" t="s">
        <v>118</v>
      </c>
      <c r="G83" s="80" t="s">
        <v>69</v>
      </c>
      <c r="H83" s="80" t="s">
        <v>76</v>
      </c>
      <c r="I83" s="82">
        <v>79.7</v>
      </c>
      <c r="J83" s="83">
        <v>59.621428571428588</v>
      </c>
      <c r="K83" s="83">
        <v>10.635714285714291</v>
      </c>
      <c r="L83" s="83">
        <v>0.45714285714285718</v>
      </c>
      <c r="M83" s="83">
        <v>0.24285714285714283</v>
      </c>
      <c r="N83" s="83">
        <v>2.5499999999999989</v>
      </c>
      <c r="O83" s="83">
        <v>68.357142857142833</v>
      </c>
      <c r="P83" s="83">
        <v>0</v>
      </c>
      <c r="Q83" s="83">
        <v>0.05</v>
      </c>
      <c r="R83" s="83">
        <v>0.37142857142857144</v>
      </c>
      <c r="S83" s="83">
        <v>0.6</v>
      </c>
      <c r="T83" s="83">
        <v>1.4785714285714286</v>
      </c>
      <c r="U83" s="83">
        <v>68.507142857142838</v>
      </c>
      <c r="V83" s="83">
        <v>24.128571428571437</v>
      </c>
      <c r="W83" s="84" t="s">
        <v>77</v>
      </c>
      <c r="X83" s="85" t="s">
        <v>52</v>
      </c>
      <c r="Y83" s="152">
        <v>45547</v>
      </c>
      <c r="Z83" s="151" t="s">
        <v>62</v>
      </c>
      <c r="AA83" s="151" t="s">
        <v>70</v>
      </c>
      <c r="AB83" s="151" t="s">
        <v>63</v>
      </c>
    </row>
    <row r="84" spans="1:28" ht="16.350000000000001" customHeight="1" x14ac:dyDescent="0.25">
      <c r="A84" s="80" t="s">
        <v>340</v>
      </c>
      <c r="B84" s="80" t="s">
        <v>341</v>
      </c>
      <c r="C84" s="80" t="s">
        <v>284</v>
      </c>
      <c r="D84" s="80" t="s">
        <v>94</v>
      </c>
      <c r="E84" s="81">
        <v>77301</v>
      </c>
      <c r="F84" s="80" t="s">
        <v>267</v>
      </c>
      <c r="G84" s="80" t="s">
        <v>61</v>
      </c>
      <c r="H84" s="80" t="s">
        <v>51</v>
      </c>
      <c r="I84" s="82">
        <v>27.140350877193001</v>
      </c>
      <c r="J84" s="83">
        <v>149.97857142857117</v>
      </c>
      <c r="K84" s="83">
        <v>546.12857142857263</v>
      </c>
      <c r="L84" s="83">
        <v>362.70714285714377</v>
      </c>
      <c r="M84" s="83">
        <v>169.45000000000016</v>
      </c>
      <c r="N84" s="83">
        <v>672.12857142857263</v>
      </c>
      <c r="O84" s="83">
        <v>445.66428571428781</v>
      </c>
      <c r="P84" s="83">
        <v>52.95</v>
      </c>
      <c r="Q84" s="83">
        <v>57.521428571428601</v>
      </c>
      <c r="R84" s="83">
        <v>278.82857142857267</v>
      </c>
      <c r="S84" s="83">
        <v>173.62142857142871</v>
      </c>
      <c r="T84" s="83">
        <v>178.29285714285706</v>
      </c>
      <c r="U84" s="83">
        <v>597.52142857142792</v>
      </c>
      <c r="V84" s="83">
        <v>841.26428571428391</v>
      </c>
      <c r="W84" s="84">
        <v>750</v>
      </c>
      <c r="X84" s="85" t="s">
        <v>52</v>
      </c>
      <c r="Y84" s="152">
        <v>45631</v>
      </c>
      <c r="Z84" s="151" t="s">
        <v>53</v>
      </c>
      <c r="AA84" s="151" t="s">
        <v>54</v>
      </c>
      <c r="AB84" s="151" t="s">
        <v>63</v>
      </c>
    </row>
    <row r="85" spans="1:28" ht="16.350000000000001" customHeight="1" x14ac:dyDescent="0.25">
      <c r="A85" s="80" t="s">
        <v>342</v>
      </c>
      <c r="B85" s="80" t="s">
        <v>343</v>
      </c>
      <c r="C85" s="80" t="s">
        <v>344</v>
      </c>
      <c r="D85" s="80" t="s">
        <v>158</v>
      </c>
      <c r="E85" s="81">
        <v>16866</v>
      </c>
      <c r="F85" s="80" t="s">
        <v>159</v>
      </c>
      <c r="G85" s="80" t="s">
        <v>50</v>
      </c>
      <c r="H85" s="80" t="s">
        <v>51</v>
      </c>
      <c r="I85" s="82">
        <v>128.5</v>
      </c>
      <c r="J85" s="83">
        <v>179.62857142857195</v>
      </c>
      <c r="K85" s="83">
        <v>91.650000000000034</v>
      </c>
      <c r="L85" s="83">
        <v>536.88571428571447</v>
      </c>
      <c r="M85" s="83">
        <v>399.66428571428639</v>
      </c>
      <c r="N85" s="83">
        <v>698.40000000000146</v>
      </c>
      <c r="O85" s="83">
        <v>461.10714285714306</v>
      </c>
      <c r="P85" s="83">
        <v>26.285714285714292</v>
      </c>
      <c r="Q85" s="83">
        <v>22.035714285714285</v>
      </c>
      <c r="R85" s="83">
        <v>275.66428571428571</v>
      </c>
      <c r="S85" s="83">
        <v>81.914285714285739</v>
      </c>
      <c r="T85" s="83">
        <v>84.999999999999986</v>
      </c>
      <c r="U85" s="83">
        <v>765.25000000000023</v>
      </c>
      <c r="V85" s="83">
        <v>746.20000000000209</v>
      </c>
      <c r="W85" s="84">
        <v>800</v>
      </c>
      <c r="X85" s="85" t="s">
        <v>52</v>
      </c>
      <c r="Y85" s="152">
        <v>45505</v>
      </c>
      <c r="Z85" s="151" t="s">
        <v>62</v>
      </c>
      <c r="AA85" s="151" t="s">
        <v>54</v>
      </c>
      <c r="AB85" s="151" t="s">
        <v>63</v>
      </c>
    </row>
    <row r="86" spans="1:28" ht="16.350000000000001" customHeight="1" x14ac:dyDescent="0.25">
      <c r="A86" s="80" t="s">
        <v>345</v>
      </c>
      <c r="B86" s="80" t="s">
        <v>346</v>
      </c>
      <c r="C86" s="80" t="s">
        <v>347</v>
      </c>
      <c r="D86" s="80" t="s">
        <v>258</v>
      </c>
      <c r="E86" s="81">
        <v>89060</v>
      </c>
      <c r="F86" s="80" t="s">
        <v>259</v>
      </c>
      <c r="G86" s="80" t="s">
        <v>348</v>
      </c>
      <c r="H86" s="80" t="s">
        <v>51</v>
      </c>
      <c r="I86" s="82">
        <v>87.636363636363598</v>
      </c>
      <c r="J86" s="83">
        <v>86.507142857142853</v>
      </c>
      <c r="K86" s="83">
        <v>68.085714285714289</v>
      </c>
      <c r="L86" s="83">
        <v>52.76428571428572</v>
      </c>
      <c r="M86" s="83">
        <v>45.921428571428599</v>
      </c>
      <c r="N86" s="83">
        <v>154.87857142857166</v>
      </c>
      <c r="O86" s="83">
        <v>98.064285714285745</v>
      </c>
      <c r="P86" s="83">
        <v>0.20714285714285716</v>
      </c>
      <c r="Q86" s="83">
        <v>0.12857142857142856</v>
      </c>
      <c r="R86" s="83">
        <v>58.34285714285717</v>
      </c>
      <c r="S86" s="83">
        <v>32.464285714285715</v>
      </c>
      <c r="T86" s="83">
        <v>19.828571428571426</v>
      </c>
      <c r="U86" s="83">
        <v>142.64285714285731</v>
      </c>
      <c r="V86" s="83">
        <v>188.60000000000022</v>
      </c>
      <c r="W86" s="84" t="s">
        <v>77</v>
      </c>
      <c r="X86" s="85" t="s">
        <v>52</v>
      </c>
      <c r="Y86" s="152" t="s">
        <v>349</v>
      </c>
      <c r="Z86" s="151" t="s">
        <v>62</v>
      </c>
      <c r="AA86" s="151" t="s">
        <v>70</v>
      </c>
      <c r="AB86" s="151" t="s">
        <v>63</v>
      </c>
    </row>
    <row r="87" spans="1:28" ht="16.350000000000001" customHeight="1" x14ac:dyDescent="0.25">
      <c r="A87" s="80" t="s">
        <v>350</v>
      </c>
      <c r="B87" s="80" t="s">
        <v>351</v>
      </c>
      <c r="C87" s="80" t="s">
        <v>352</v>
      </c>
      <c r="D87" s="80" t="s">
        <v>67</v>
      </c>
      <c r="E87" s="81">
        <v>28429</v>
      </c>
      <c r="F87" s="80" t="s">
        <v>68</v>
      </c>
      <c r="G87" s="80" t="s">
        <v>101</v>
      </c>
      <c r="H87" s="80" t="s">
        <v>51</v>
      </c>
      <c r="I87" s="82">
        <v>2.53571428571429</v>
      </c>
      <c r="J87" s="83">
        <v>0.24285714285714291</v>
      </c>
      <c r="K87" s="83">
        <v>0.22857142857142862</v>
      </c>
      <c r="L87" s="83">
        <v>0.24285714285714291</v>
      </c>
      <c r="M87" s="83">
        <v>0.47857142857142843</v>
      </c>
      <c r="N87" s="83">
        <v>0.81428571428571395</v>
      </c>
      <c r="O87" s="83">
        <v>0.3571428571428571</v>
      </c>
      <c r="P87" s="83">
        <v>2.1428571428571429E-2</v>
      </c>
      <c r="Q87" s="83">
        <v>0</v>
      </c>
      <c r="R87" s="83">
        <v>1.4285714285714285E-2</v>
      </c>
      <c r="S87" s="83">
        <v>0</v>
      </c>
      <c r="T87" s="83">
        <v>1.4285714285714285E-2</v>
      </c>
      <c r="U87" s="83">
        <v>1.1642857142857135</v>
      </c>
      <c r="V87" s="83">
        <v>0.77857142857142825</v>
      </c>
      <c r="W87" s="84" t="s">
        <v>77</v>
      </c>
      <c r="X87" s="85" t="s">
        <v>52</v>
      </c>
      <c r="Y87" s="152">
        <v>45526</v>
      </c>
      <c r="Z87" s="151" t="s">
        <v>62</v>
      </c>
      <c r="AA87" s="151" t="s">
        <v>70</v>
      </c>
      <c r="AB87" s="151" t="s">
        <v>63</v>
      </c>
    </row>
    <row r="88" spans="1:28" ht="16.350000000000001" customHeight="1" x14ac:dyDescent="0.25">
      <c r="A88" s="80" t="s">
        <v>353</v>
      </c>
      <c r="B88" s="80" t="s">
        <v>354</v>
      </c>
      <c r="C88" s="80" t="s">
        <v>355</v>
      </c>
      <c r="D88" s="80" t="s">
        <v>356</v>
      </c>
      <c r="E88" s="81">
        <v>98421</v>
      </c>
      <c r="F88" s="80" t="s">
        <v>357</v>
      </c>
      <c r="G88" s="80" t="s">
        <v>61</v>
      </c>
      <c r="H88" s="80" t="s">
        <v>51</v>
      </c>
      <c r="I88" s="82">
        <v>86.019230769230802</v>
      </c>
      <c r="J88" s="83">
        <v>396.36428571428496</v>
      </c>
      <c r="K88" s="83">
        <v>78.478571428571456</v>
      </c>
      <c r="L88" s="83">
        <v>139.4928571428571</v>
      </c>
      <c r="M88" s="83">
        <v>172.48571428571404</v>
      </c>
      <c r="N88" s="83">
        <v>301.94285714285712</v>
      </c>
      <c r="O88" s="83">
        <v>388.14999999999958</v>
      </c>
      <c r="P88" s="83">
        <v>35.935714285714283</v>
      </c>
      <c r="Q88" s="83">
        <v>60.792857142857109</v>
      </c>
      <c r="R88" s="83">
        <v>187.70714285714271</v>
      </c>
      <c r="S88" s="83">
        <v>43.321428571428598</v>
      </c>
      <c r="T88" s="83">
        <v>28.314285714285724</v>
      </c>
      <c r="U88" s="83">
        <v>527.47857142857367</v>
      </c>
      <c r="V88" s="83">
        <v>524.10714285714539</v>
      </c>
      <c r="W88" s="84">
        <v>1181</v>
      </c>
      <c r="X88" s="85" t="s">
        <v>52</v>
      </c>
      <c r="Y88" s="152">
        <v>45687</v>
      </c>
      <c r="Z88" s="151" t="s">
        <v>53</v>
      </c>
      <c r="AA88" s="151" t="s">
        <v>54</v>
      </c>
      <c r="AB88" s="151" t="s">
        <v>55</v>
      </c>
    </row>
    <row r="89" spans="1:28" ht="16.350000000000001" customHeight="1" x14ac:dyDescent="0.25">
      <c r="A89" s="80" t="s">
        <v>358</v>
      </c>
      <c r="B89" s="80" t="s">
        <v>359</v>
      </c>
      <c r="C89" s="80" t="s">
        <v>360</v>
      </c>
      <c r="D89" s="80" t="s">
        <v>99</v>
      </c>
      <c r="E89" s="81">
        <v>40031</v>
      </c>
      <c r="F89" s="80" t="s">
        <v>100</v>
      </c>
      <c r="G89" s="80" t="s">
        <v>101</v>
      </c>
      <c r="H89" s="80" t="s">
        <v>51</v>
      </c>
      <c r="I89" s="82">
        <v>2.1875</v>
      </c>
      <c r="J89" s="83">
        <v>0.33571428571428574</v>
      </c>
      <c r="K89" s="83">
        <v>0.39999999999999997</v>
      </c>
      <c r="L89" s="83">
        <v>0.62857142857142834</v>
      </c>
      <c r="M89" s="83">
        <v>0.44285714285714262</v>
      </c>
      <c r="N89" s="83">
        <v>1.2785714285714276</v>
      </c>
      <c r="O89" s="83">
        <v>0.51428571428571412</v>
      </c>
      <c r="P89" s="83">
        <v>0</v>
      </c>
      <c r="Q89" s="83">
        <v>1.4285714285714285E-2</v>
      </c>
      <c r="R89" s="83">
        <v>0.05</v>
      </c>
      <c r="S89" s="83">
        <v>0</v>
      </c>
      <c r="T89" s="83">
        <v>7.1428571428571426E-3</v>
      </c>
      <c r="U89" s="83">
        <v>1.7499999999999976</v>
      </c>
      <c r="V89" s="83">
        <v>1.2071428571428557</v>
      </c>
      <c r="W89" s="84" t="s">
        <v>77</v>
      </c>
      <c r="X89" s="85" t="s">
        <v>52</v>
      </c>
      <c r="Y89" s="152">
        <v>45554</v>
      </c>
      <c r="Z89" s="151" t="s">
        <v>62</v>
      </c>
      <c r="AA89" s="151" t="s">
        <v>70</v>
      </c>
      <c r="AB89" s="151" t="s">
        <v>63</v>
      </c>
    </row>
    <row r="90" spans="1:28" ht="16.350000000000001" customHeight="1" x14ac:dyDescent="0.25">
      <c r="A90" s="80" t="s">
        <v>361</v>
      </c>
      <c r="B90" s="80" t="s">
        <v>362</v>
      </c>
      <c r="C90" s="80" t="s">
        <v>363</v>
      </c>
      <c r="D90" s="80" t="s">
        <v>89</v>
      </c>
      <c r="E90" s="81">
        <v>32839</v>
      </c>
      <c r="F90" s="80" t="s">
        <v>90</v>
      </c>
      <c r="G90" s="80" t="s">
        <v>101</v>
      </c>
      <c r="H90" s="80" t="s">
        <v>51</v>
      </c>
      <c r="I90" s="82">
        <v>2.27868852459016</v>
      </c>
      <c r="J90" s="83">
        <v>1.342857142857141</v>
      </c>
      <c r="K90" s="83">
        <v>1.6499999999999972</v>
      </c>
      <c r="L90" s="83">
        <v>2.5285714285714227</v>
      </c>
      <c r="M90" s="83">
        <v>1.2499999999999982</v>
      </c>
      <c r="N90" s="83">
        <v>2.578571428571423</v>
      </c>
      <c r="O90" s="83">
        <v>3.3714285714285634</v>
      </c>
      <c r="P90" s="83">
        <v>0.20714285714285718</v>
      </c>
      <c r="Q90" s="83">
        <v>0.61428571428571377</v>
      </c>
      <c r="R90" s="83">
        <v>2.8571428571428571E-2</v>
      </c>
      <c r="S90" s="83">
        <v>2.8571428571428571E-2</v>
      </c>
      <c r="T90" s="83">
        <v>3.5714285714285712E-2</v>
      </c>
      <c r="U90" s="83">
        <v>6.6785714285714084</v>
      </c>
      <c r="V90" s="83">
        <v>3.6142857142857041</v>
      </c>
      <c r="W90" s="84" t="s">
        <v>77</v>
      </c>
      <c r="X90" s="85" t="s">
        <v>52</v>
      </c>
      <c r="Y90" s="152">
        <v>45519</v>
      </c>
      <c r="Z90" s="151" t="s">
        <v>62</v>
      </c>
      <c r="AA90" s="151" t="s">
        <v>70</v>
      </c>
      <c r="AB90" s="151" t="s">
        <v>63</v>
      </c>
    </row>
    <row r="91" spans="1:28" ht="16.350000000000001" customHeight="1" x14ac:dyDescent="0.25">
      <c r="A91" s="80" t="s">
        <v>364</v>
      </c>
      <c r="B91" s="80" t="s">
        <v>365</v>
      </c>
      <c r="C91" s="80" t="s">
        <v>366</v>
      </c>
      <c r="D91" s="80" t="s">
        <v>111</v>
      </c>
      <c r="E91" s="81">
        <v>10924</v>
      </c>
      <c r="F91" s="80" t="s">
        <v>367</v>
      </c>
      <c r="G91" s="80" t="s">
        <v>69</v>
      </c>
      <c r="H91" s="80" t="s">
        <v>51</v>
      </c>
      <c r="I91" s="82">
        <v>38.299999999999997</v>
      </c>
      <c r="J91" s="83">
        <v>28.528571428571436</v>
      </c>
      <c r="K91" s="83">
        <v>28.50714285714286</v>
      </c>
      <c r="L91" s="83">
        <v>11.071428571428575</v>
      </c>
      <c r="M91" s="83">
        <v>12.614285714285717</v>
      </c>
      <c r="N91" s="83">
        <v>48.878571428571455</v>
      </c>
      <c r="O91" s="83">
        <v>31.842857142857159</v>
      </c>
      <c r="P91" s="83">
        <v>0</v>
      </c>
      <c r="Q91" s="83">
        <v>0</v>
      </c>
      <c r="R91" s="83">
        <v>7.8857142857142835</v>
      </c>
      <c r="S91" s="83">
        <v>9.9785714285714295</v>
      </c>
      <c r="T91" s="83">
        <v>12.164285714285715</v>
      </c>
      <c r="U91" s="83">
        <v>50.692857142857179</v>
      </c>
      <c r="V91" s="83">
        <v>50.4</v>
      </c>
      <c r="W91" s="84" t="s">
        <v>77</v>
      </c>
      <c r="X91" s="85" t="s">
        <v>52</v>
      </c>
      <c r="Y91" s="152">
        <v>45638</v>
      </c>
      <c r="Z91" s="151" t="s">
        <v>53</v>
      </c>
      <c r="AA91" s="151" t="s">
        <v>70</v>
      </c>
      <c r="AB91" s="151" t="s">
        <v>63</v>
      </c>
    </row>
    <row r="92" spans="1:28" ht="16.350000000000001" customHeight="1" x14ac:dyDescent="0.25">
      <c r="A92" s="80" t="s">
        <v>368</v>
      </c>
      <c r="B92" s="80" t="s">
        <v>369</v>
      </c>
      <c r="C92" s="80" t="s">
        <v>370</v>
      </c>
      <c r="D92" s="80" t="s">
        <v>59</v>
      </c>
      <c r="E92" s="81">
        <v>92154</v>
      </c>
      <c r="F92" s="80" t="s">
        <v>274</v>
      </c>
      <c r="G92" s="80" t="s">
        <v>61</v>
      </c>
      <c r="H92" s="80" t="s">
        <v>51</v>
      </c>
      <c r="I92" s="82">
        <v>20.201686746987999</v>
      </c>
      <c r="J92" s="83">
        <v>829.92857142854223</v>
      </c>
      <c r="K92" s="83">
        <v>474.43571428570743</v>
      </c>
      <c r="L92" s="83">
        <v>41.849999999999994</v>
      </c>
      <c r="M92" s="83">
        <v>44.464285714285722</v>
      </c>
      <c r="N92" s="83">
        <v>146.18571428571428</v>
      </c>
      <c r="O92" s="83">
        <v>982.27857142855578</v>
      </c>
      <c r="P92" s="83">
        <v>16.314285714285717</v>
      </c>
      <c r="Q92" s="83">
        <v>245.90000000000049</v>
      </c>
      <c r="R92" s="83">
        <v>60.00714285714286</v>
      </c>
      <c r="S92" s="83">
        <v>27.871428571428584</v>
      </c>
      <c r="T92" s="83">
        <v>25.249999999999993</v>
      </c>
      <c r="U92" s="83">
        <v>1277.5499999999893</v>
      </c>
      <c r="V92" s="83">
        <v>442.6357142857093</v>
      </c>
      <c r="W92" s="84">
        <v>750</v>
      </c>
      <c r="X92" s="85" t="s">
        <v>52</v>
      </c>
      <c r="Y92" s="152">
        <v>45603</v>
      </c>
      <c r="Z92" s="151" t="s">
        <v>53</v>
      </c>
      <c r="AA92" s="151" t="s">
        <v>54</v>
      </c>
      <c r="AB92" s="151" t="s">
        <v>63</v>
      </c>
    </row>
    <row r="93" spans="1:28" ht="16.350000000000001" customHeight="1" x14ac:dyDescent="0.25">
      <c r="A93" s="80" t="s">
        <v>371</v>
      </c>
      <c r="B93" s="80" t="s">
        <v>372</v>
      </c>
      <c r="C93" s="80" t="s">
        <v>373</v>
      </c>
      <c r="D93" s="80" t="s">
        <v>149</v>
      </c>
      <c r="E93" s="81">
        <v>88081</v>
      </c>
      <c r="F93" s="80" t="s">
        <v>150</v>
      </c>
      <c r="G93" s="80" t="s">
        <v>50</v>
      </c>
      <c r="H93" s="80" t="s">
        <v>51</v>
      </c>
      <c r="I93" s="82">
        <v>21.712446351931298</v>
      </c>
      <c r="J93" s="83">
        <v>698.91428571425035</v>
      </c>
      <c r="K93" s="83">
        <v>78.171428571428564</v>
      </c>
      <c r="L93" s="83">
        <v>31.435714285714297</v>
      </c>
      <c r="M93" s="83">
        <v>10.528571428571432</v>
      </c>
      <c r="N93" s="83">
        <v>123.00714285714284</v>
      </c>
      <c r="O93" s="83">
        <v>520.26428571429733</v>
      </c>
      <c r="P93" s="83">
        <v>6.1928571428571422</v>
      </c>
      <c r="Q93" s="83">
        <v>169.5857142857146</v>
      </c>
      <c r="R93" s="83">
        <v>20.664285714285725</v>
      </c>
      <c r="S93" s="83">
        <v>13.007142857142863</v>
      </c>
      <c r="T93" s="83">
        <v>50.128571428571455</v>
      </c>
      <c r="U93" s="83">
        <v>735.24999999995919</v>
      </c>
      <c r="V93" s="83">
        <v>689.09999999997217</v>
      </c>
      <c r="W93" s="84">
        <v>500</v>
      </c>
      <c r="X93" s="85" t="s">
        <v>52</v>
      </c>
      <c r="Y93" s="152">
        <v>45603</v>
      </c>
      <c r="Z93" s="151" t="s">
        <v>53</v>
      </c>
      <c r="AA93" s="151" t="s">
        <v>54</v>
      </c>
      <c r="AB93" s="151" t="s">
        <v>63</v>
      </c>
    </row>
    <row r="94" spans="1:28" ht="16.350000000000001" customHeight="1" x14ac:dyDescent="0.25">
      <c r="A94" s="80" t="s">
        <v>374</v>
      </c>
      <c r="B94" s="80" t="s">
        <v>375</v>
      </c>
      <c r="C94" s="80" t="s">
        <v>376</v>
      </c>
      <c r="D94" s="80" t="s">
        <v>177</v>
      </c>
      <c r="E94" s="81">
        <v>68949</v>
      </c>
      <c r="F94" s="80" t="s">
        <v>178</v>
      </c>
      <c r="G94" s="80" t="s">
        <v>101</v>
      </c>
      <c r="H94" s="80" t="s">
        <v>51</v>
      </c>
      <c r="I94" s="82">
        <v>90.75</v>
      </c>
      <c r="J94" s="83">
        <v>0.69285714285714284</v>
      </c>
      <c r="K94" s="83">
        <v>5.9714285714285706</v>
      </c>
      <c r="L94" s="83">
        <v>9.4357142857142833</v>
      </c>
      <c r="M94" s="83">
        <v>11.135714285714284</v>
      </c>
      <c r="N94" s="83">
        <v>23.485714285714273</v>
      </c>
      <c r="O94" s="83">
        <v>2.9785714285714278</v>
      </c>
      <c r="P94" s="83">
        <v>0.77142857142857146</v>
      </c>
      <c r="Q94" s="83">
        <v>0</v>
      </c>
      <c r="R94" s="83">
        <v>6.3642857142857139</v>
      </c>
      <c r="S94" s="83">
        <v>4.6714285714285708</v>
      </c>
      <c r="T94" s="83">
        <v>0.72142857142857131</v>
      </c>
      <c r="U94" s="83">
        <v>15.478571428571431</v>
      </c>
      <c r="V94" s="83">
        <v>20.45</v>
      </c>
      <c r="W94" s="84" t="s">
        <v>77</v>
      </c>
      <c r="X94" s="85" t="s">
        <v>52</v>
      </c>
      <c r="Y94" s="152">
        <v>45694</v>
      </c>
      <c r="Z94" s="151"/>
      <c r="AA94" s="151" t="s">
        <v>70</v>
      </c>
      <c r="AB94" s="151" t="s">
        <v>55</v>
      </c>
    </row>
    <row r="95" spans="1:28" ht="16.350000000000001" customHeight="1" x14ac:dyDescent="0.25">
      <c r="A95" s="80" t="s">
        <v>377</v>
      </c>
      <c r="B95" s="80" t="s">
        <v>378</v>
      </c>
      <c r="C95" s="80" t="s">
        <v>379</v>
      </c>
      <c r="D95" s="80" t="s">
        <v>380</v>
      </c>
      <c r="E95" s="81">
        <v>35447</v>
      </c>
      <c r="F95" s="80" t="s">
        <v>49</v>
      </c>
      <c r="G95" s="80" t="s">
        <v>69</v>
      </c>
      <c r="H95" s="80" t="s">
        <v>51</v>
      </c>
      <c r="I95" s="82">
        <v>2.7769230769230799</v>
      </c>
      <c r="J95" s="83">
        <v>6.3714285714285523</v>
      </c>
      <c r="K95" s="83">
        <v>10.707142857142882</v>
      </c>
      <c r="L95" s="83">
        <v>10.985714285714304</v>
      </c>
      <c r="M95" s="83">
        <v>5.5071428571428438</v>
      </c>
      <c r="N95" s="83">
        <v>15.200000000000063</v>
      </c>
      <c r="O95" s="83">
        <v>14.685714285714388</v>
      </c>
      <c r="P95" s="83">
        <v>2.2999999999999958</v>
      </c>
      <c r="Q95" s="83">
        <v>1.3857142857142846</v>
      </c>
      <c r="R95" s="83">
        <v>0.52142857142857146</v>
      </c>
      <c r="S95" s="83">
        <v>0.57142857142857151</v>
      </c>
      <c r="T95" s="83">
        <v>0.58571428571428574</v>
      </c>
      <c r="U95" s="83">
        <v>31.892857142857451</v>
      </c>
      <c r="V95" s="83">
        <v>23.61428571428592</v>
      </c>
      <c r="W95" s="84" t="s">
        <v>77</v>
      </c>
      <c r="X95" s="85" t="s">
        <v>52</v>
      </c>
      <c r="Y95" s="152">
        <v>45512</v>
      </c>
      <c r="Z95" s="151" t="s">
        <v>62</v>
      </c>
      <c r="AA95" s="151" t="s">
        <v>70</v>
      </c>
      <c r="AB95" s="151" t="s">
        <v>63</v>
      </c>
    </row>
    <row r="96" spans="1:28" ht="16.350000000000001" customHeight="1" x14ac:dyDescent="0.25">
      <c r="A96" s="80" t="s">
        <v>381</v>
      </c>
      <c r="B96" s="80" t="s">
        <v>382</v>
      </c>
      <c r="C96" s="80" t="s">
        <v>383</v>
      </c>
      <c r="D96" s="80" t="s">
        <v>158</v>
      </c>
      <c r="E96" s="81">
        <v>18428</v>
      </c>
      <c r="F96" s="80" t="s">
        <v>159</v>
      </c>
      <c r="G96" s="80" t="s">
        <v>69</v>
      </c>
      <c r="H96" s="80" t="s">
        <v>76</v>
      </c>
      <c r="I96" s="82">
        <v>30.744186046511601</v>
      </c>
      <c r="J96" s="83">
        <v>106.52857142857135</v>
      </c>
      <c r="K96" s="83">
        <v>16.735714285714284</v>
      </c>
      <c r="L96" s="83">
        <v>31.757142857142867</v>
      </c>
      <c r="M96" s="83">
        <v>26.528571428571432</v>
      </c>
      <c r="N96" s="83">
        <v>61.542857142857187</v>
      </c>
      <c r="O96" s="83">
        <v>120.00714285714271</v>
      </c>
      <c r="P96" s="83">
        <v>0</v>
      </c>
      <c r="Q96" s="83">
        <v>0</v>
      </c>
      <c r="R96" s="83">
        <v>10.257142857142854</v>
      </c>
      <c r="S96" s="83">
        <v>9.9785714285714278</v>
      </c>
      <c r="T96" s="83">
        <v>7.5428571428571418</v>
      </c>
      <c r="U96" s="83">
        <v>153.77142857142846</v>
      </c>
      <c r="V96" s="83">
        <v>154.09285714285713</v>
      </c>
      <c r="W96" s="84">
        <v>100</v>
      </c>
      <c r="X96" s="85" t="s">
        <v>52</v>
      </c>
      <c r="Y96" s="152">
        <v>45533</v>
      </c>
      <c r="Z96" s="151" t="s">
        <v>62</v>
      </c>
      <c r="AA96" s="151" t="s">
        <v>54</v>
      </c>
      <c r="AB96" s="151" t="s">
        <v>63</v>
      </c>
    </row>
    <row r="97" spans="1:28" ht="16.350000000000001" customHeight="1" x14ac:dyDescent="0.25">
      <c r="A97" s="80" t="s">
        <v>384</v>
      </c>
      <c r="B97" s="80" t="s">
        <v>385</v>
      </c>
      <c r="C97" s="80" t="s">
        <v>386</v>
      </c>
      <c r="D97" s="80" t="s">
        <v>74</v>
      </c>
      <c r="E97" s="81">
        <v>70576</v>
      </c>
      <c r="F97" s="80" t="s">
        <v>49</v>
      </c>
      <c r="G97" s="80" t="s">
        <v>50</v>
      </c>
      <c r="H97" s="80" t="s">
        <v>76</v>
      </c>
      <c r="I97" s="82">
        <v>28.938356164383599</v>
      </c>
      <c r="J97" s="83">
        <v>260.22142857142984</v>
      </c>
      <c r="K97" s="83">
        <v>106.2642857142865</v>
      </c>
      <c r="L97" s="83">
        <v>163.12142857142985</v>
      </c>
      <c r="M97" s="83">
        <v>97.885714285715068</v>
      </c>
      <c r="N97" s="83">
        <v>270.23571428571728</v>
      </c>
      <c r="O97" s="83">
        <v>357.12857142857149</v>
      </c>
      <c r="P97" s="83">
        <v>2.1428571428571429E-2</v>
      </c>
      <c r="Q97" s="83">
        <v>0.10714285714285715</v>
      </c>
      <c r="R97" s="83">
        <v>29.800000000000054</v>
      </c>
      <c r="S97" s="83">
        <v>21.642857142857174</v>
      </c>
      <c r="T97" s="83">
        <v>26.021428571428586</v>
      </c>
      <c r="U97" s="83">
        <v>550.02857142856772</v>
      </c>
      <c r="V97" s="83">
        <v>543.58571428571247</v>
      </c>
      <c r="W97" s="84" t="s">
        <v>77</v>
      </c>
      <c r="X97" s="85" t="s">
        <v>52</v>
      </c>
      <c r="Y97" s="152">
        <v>45505</v>
      </c>
      <c r="Z97" s="151" t="s">
        <v>62</v>
      </c>
      <c r="AA97" s="151" t="s">
        <v>54</v>
      </c>
      <c r="AB97" s="151" t="s">
        <v>63</v>
      </c>
    </row>
    <row r="98" spans="1:28" ht="16.350000000000001" customHeight="1" x14ac:dyDescent="0.25">
      <c r="A98" s="80" t="s">
        <v>387</v>
      </c>
      <c r="B98" s="80" t="s">
        <v>388</v>
      </c>
      <c r="C98" s="80" t="s">
        <v>389</v>
      </c>
      <c r="D98" s="80" t="s">
        <v>89</v>
      </c>
      <c r="E98" s="81">
        <v>33762</v>
      </c>
      <c r="F98" s="80" t="s">
        <v>90</v>
      </c>
      <c r="G98" s="80" t="s">
        <v>101</v>
      </c>
      <c r="H98" s="80" t="s">
        <v>51</v>
      </c>
      <c r="I98" s="82">
        <v>1.66336633663366</v>
      </c>
      <c r="J98" s="83">
        <v>1.0357142857142836</v>
      </c>
      <c r="K98" s="83">
        <v>1.7071428571428537</v>
      </c>
      <c r="L98" s="83">
        <v>2.2571428571428518</v>
      </c>
      <c r="M98" s="83">
        <v>0.64999999999999947</v>
      </c>
      <c r="N98" s="83">
        <v>2.7857142857142789</v>
      </c>
      <c r="O98" s="83">
        <v>2.6785714285714222</v>
      </c>
      <c r="P98" s="83">
        <v>4.2857142857142858E-2</v>
      </c>
      <c r="Q98" s="83">
        <v>0.14285714285714288</v>
      </c>
      <c r="R98" s="83">
        <v>7.1428571428571426E-3</v>
      </c>
      <c r="S98" s="83">
        <v>2.8571428571428571E-2</v>
      </c>
      <c r="T98" s="83">
        <v>2.8571428571428571E-2</v>
      </c>
      <c r="U98" s="83">
        <v>5.5857142857142685</v>
      </c>
      <c r="V98" s="83">
        <v>3.035714285714278</v>
      </c>
      <c r="W98" s="84" t="s">
        <v>77</v>
      </c>
      <c r="X98" s="85" t="s">
        <v>52</v>
      </c>
      <c r="Y98" s="152">
        <v>45561</v>
      </c>
      <c r="Z98" s="151" t="s">
        <v>62</v>
      </c>
      <c r="AA98" s="151" t="s">
        <v>70</v>
      </c>
      <c r="AB98" s="151" t="s">
        <v>254</v>
      </c>
    </row>
    <row r="99" spans="1:28" ht="16.350000000000001" customHeight="1" x14ac:dyDescent="0.25">
      <c r="A99" s="80" t="s">
        <v>390</v>
      </c>
      <c r="B99" s="80" t="s">
        <v>391</v>
      </c>
      <c r="C99" s="80" t="s">
        <v>392</v>
      </c>
      <c r="D99" s="80" t="s">
        <v>393</v>
      </c>
      <c r="E99" s="81">
        <v>2360</v>
      </c>
      <c r="F99" s="80" t="s">
        <v>143</v>
      </c>
      <c r="G99" s="80" t="s">
        <v>69</v>
      </c>
      <c r="H99" s="80" t="s">
        <v>76</v>
      </c>
      <c r="I99" s="82">
        <v>78.284153005464503</v>
      </c>
      <c r="J99" s="83">
        <v>136.22857142857166</v>
      </c>
      <c r="K99" s="83">
        <v>23.814285714285713</v>
      </c>
      <c r="L99" s="83">
        <v>117.44285714285715</v>
      </c>
      <c r="M99" s="83">
        <v>112.91428571428573</v>
      </c>
      <c r="N99" s="83">
        <v>134.06428571428569</v>
      </c>
      <c r="O99" s="83">
        <v>256.18571428571431</v>
      </c>
      <c r="P99" s="83">
        <v>0.15</v>
      </c>
      <c r="Q99" s="83">
        <v>0</v>
      </c>
      <c r="R99" s="83">
        <v>49.007142857142846</v>
      </c>
      <c r="S99" s="83">
        <v>14.378571428571432</v>
      </c>
      <c r="T99" s="83">
        <v>18.87857142857143</v>
      </c>
      <c r="U99" s="83">
        <v>308.13571428571356</v>
      </c>
      <c r="V99" s="83">
        <v>206.40714285714276</v>
      </c>
      <c r="W99" s="84" t="s">
        <v>77</v>
      </c>
      <c r="X99" s="85" t="s">
        <v>52</v>
      </c>
      <c r="Y99" s="152">
        <v>45617</v>
      </c>
      <c r="Z99" s="151" t="s">
        <v>53</v>
      </c>
      <c r="AA99" s="151" t="s">
        <v>70</v>
      </c>
      <c r="AB99" s="151" t="s">
        <v>63</v>
      </c>
    </row>
    <row r="100" spans="1:28" ht="16.350000000000001" customHeight="1" x14ac:dyDescent="0.25">
      <c r="A100" s="80" t="s">
        <v>394</v>
      </c>
      <c r="B100" s="80" t="s">
        <v>395</v>
      </c>
      <c r="C100" s="80" t="s">
        <v>396</v>
      </c>
      <c r="D100" s="80" t="s">
        <v>397</v>
      </c>
      <c r="E100" s="81">
        <v>50313</v>
      </c>
      <c r="F100" s="80" t="s">
        <v>178</v>
      </c>
      <c r="G100" s="80" t="s">
        <v>101</v>
      </c>
      <c r="H100" s="80" t="s">
        <v>51</v>
      </c>
      <c r="I100" s="82">
        <v>87.6666666666667</v>
      </c>
      <c r="J100" s="83">
        <v>3.1071428571428568</v>
      </c>
      <c r="K100" s="83">
        <v>10.328571428571426</v>
      </c>
      <c r="L100" s="83">
        <v>7.5071428571428562</v>
      </c>
      <c r="M100" s="83">
        <v>11.078571428571426</v>
      </c>
      <c r="N100" s="83">
        <v>28.9</v>
      </c>
      <c r="O100" s="83">
        <v>2.6571428571428566</v>
      </c>
      <c r="P100" s="83">
        <v>0</v>
      </c>
      <c r="Q100" s="83">
        <v>0.4642857142857143</v>
      </c>
      <c r="R100" s="83">
        <v>10.342857142857143</v>
      </c>
      <c r="S100" s="83">
        <v>1.407142857142857</v>
      </c>
      <c r="T100" s="83">
        <v>1.0714285714285714</v>
      </c>
      <c r="U100" s="83">
        <v>19.199999999999996</v>
      </c>
      <c r="V100" s="83">
        <v>29.849999999999998</v>
      </c>
      <c r="W100" s="84" t="s">
        <v>77</v>
      </c>
      <c r="X100" s="85" t="s">
        <v>52</v>
      </c>
      <c r="Y100" s="152">
        <v>45704</v>
      </c>
      <c r="Z100" s="151"/>
      <c r="AA100" s="151" t="s">
        <v>70</v>
      </c>
      <c r="AB100" s="151" t="s">
        <v>55</v>
      </c>
    </row>
    <row r="101" spans="1:28" ht="16.350000000000001" customHeight="1" x14ac:dyDescent="0.25">
      <c r="A101" s="80" t="s">
        <v>398</v>
      </c>
      <c r="B101" s="80" t="s">
        <v>399</v>
      </c>
      <c r="C101" s="80" t="s">
        <v>400</v>
      </c>
      <c r="D101" s="80" t="s">
        <v>94</v>
      </c>
      <c r="E101" s="81">
        <v>78566</v>
      </c>
      <c r="F101" s="80" t="s">
        <v>166</v>
      </c>
      <c r="G101" s="80" t="s">
        <v>113</v>
      </c>
      <c r="H101" s="80" t="s">
        <v>51</v>
      </c>
      <c r="I101" s="82">
        <v>7.8057630736392696</v>
      </c>
      <c r="J101" s="83">
        <v>956.71428571428419</v>
      </c>
      <c r="K101" s="83">
        <v>25.142857142857149</v>
      </c>
      <c r="L101" s="83">
        <v>0.20714285714285718</v>
      </c>
      <c r="M101" s="83">
        <v>4.2642857142857142</v>
      </c>
      <c r="N101" s="83">
        <v>87.992857142857147</v>
      </c>
      <c r="O101" s="83">
        <v>897.65714285714057</v>
      </c>
      <c r="P101" s="83">
        <v>5.7142857142857148E-2</v>
      </c>
      <c r="Q101" s="83">
        <v>0.62142857142857022</v>
      </c>
      <c r="R101" s="83">
        <v>25.050000000000004</v>
      </c>
      <c r="S101" s="83">
        <v>23.814285714285717</v>
      </c>
      <c r="T101" s="83">
        <v>31.342857142857138</v>
      </c>
      <c r="U101" s="83">
        <v>906.12142857142635</v>
      </c>
      <c r="V101" s="83">
        <v>556.84285714286</v>
      </c>
      <c r="W101" s="84">
        <v>650</v>
      </c>
      <c r="X101" s="85" t="s">
        <v>52</v>
      </c>
      <c r="Y101" s="152">
        <v>45547</v>
      </c>
      <c r="Z101" s="151" t="s">
        <v>62</v>
      </c>
      <c r="AA101" s="151" t="s">
        <v>54</v>
      </c>
      <c r="AB101" s="151" t="s">
        <v>63</v>
      </c>
    </row>
    <row r="102" spans="1:28" ht="16.350000000000001" customHeight="1" x14ac:dyDescent="0.25">
      <c r="A102" s="80" t="s">
        <v>401</v>
      </c>
      <c r="B102" s="80" t="s">
        <v>402</v>
      </c>
      <c r="C102" s="80" t="s">
        <v>403</v>
      </c>
      <c r="D102" s="80" t="s">
        <v>397</v>
      </c>
      <c r="E102" s="81">
        <v>51501</v>
      </c>
      <c r="F102" s="80" t="s">
        <v>178</v>
      </c>
      <c r="G102" s="80" t="s">
        <v>101</v>
      </c>
      <c r="H102" s="80" t="s">
        <v>51</v>
      </c>
      <c r="I102" s="82">
        <v>52.125</v>
      </c>
      <c r="J102" s="83">
        <v>1.2357142857142855</v>
      </c>
      <c r="K102" s="83">
        <v>3.9571428571428564</v>
      </c>
      <c r="L102" s="83">
        <v>10.071428571428571</v>
      </c>
      <c r="M102" s="83">
        <v>17.521428571428569</v>
      </c>
      <c r="N102" s="83">
        <v>30.557142857142829</v>
      </c>
      <c r="O102" s="83">
        <v>2.1714285714285713</v>
      </c>
      <c r="P102" s="83">
        <v>5.7142857142857141E-2</v>
      </c>
      <c r="Q102" s="83">
        <v>0</v>
      </c>
      <c r="R102" s="83">
        <v>7.8214285714285721</v>
      </c>
      <c r="S102" s="83">
        <v>1.842857142857143</v>
      </c>
      <c r="T102" s="83">
        <v>1.9214285714285713</v>
      </c>
      <c r="U102" s="83">
        <v>21.199999999999996</v>
      </c>
      <c r="V102" s="83">
        <v>29.685714285714266</v>
      </c>
      <c r="W102" s="84" t="s">
        <v>77</v>
      </c>
      <c r="X102" s="85" t="s">
        <v>52</v>
      </c>
      <c r="Y102" s="152">
        <v>45589</v>
      </c>
      <c r="Z102" s="151" t="s">
        <v>53</v>
      </c>
      <c r="AA102" s="151" t="s">
        <v>70</v>
      </c>
      <c r="AB102" s="151" t="s">
        <v>63</v>
      </c>
    </row>
    <row r="103" spans="1:28" ht="16.350000000000001" customHeight="1" x14ac:dyDescent="0.25">
      <c r="A103" s="80" t="s">
        <v>404</v>
      </c>
      <c r="B103" s="80" t="s">
        <v>405</v>
      </c>
      <c r="C103" s="80" t="s">
        <v>406</v>
      </c>
      <c r="D103" s="80" t="s">
        <v>94</v>
      </c>
      <c r="E103" s="81">
        <v>76009</v>
      </c>
      <c r="F103" s="80" t="s">
        <v>95</v>
      </c>
      <c r="G103" s="80" t="s">
        <v>50</v>
      </c>
      <c r="H103" s="80" t="s">
        <v>51</v>
      </c>
      <c r="I103" s="82">
        <v>9.5808823529411793</v>
      </c>
      <c r="J103" s="83">
        <v>217.29285714286033</v>
      </c>
      <c r="K103" s="83">
        <v>77.300000000000125</v>
      </c>
      <c r="L103" s="83">
        <v>194.45714285714396</v>
      </c>
      <c r="M103" s="83">
        <v>117.20000000000009</v>
      </c>
      <c r="N103" s="83">
        <v>260.25000000000199</v>
      </c>
      <c r="O103" s="83">
        <v>295.79285714285936</v>
      </c>
      <c r="P103" s="83">
        <v>19.649999999999999</v>
      </c>
      <c r="Q103" s="83">
        <v>30.557142857142825</v>
      </c>
      <c r="R103" s="83">
        <v>106.07142857142856</v>
      </c>
      <c r="S103" s="83">
        <v>58.078571428571593</v>
      </c>
      <c r="T103" s="83">
        <v>48.435714285714425</v>
      </c>
      <c r="U103" s="83">
        <v>393.66428571428628</v>
      </c>
      <c r="V103" s="83">
        <v>392.67142857142932</v>
      </c>
      <c r="W103" s="84">
        <v>525</v>
      </c>
      <c r="X103" s="85" t="s">
        <v>52</v>
      </c>
      <c r="Y103" s="152">
        <v>45645</v>
      </c>
      <c r="Z103" s="151" t="s">
        <v>53</v>
      </c>
      <c r="AA103" s="151" t="s">
        <v>54</v>
      </c>
      <c r="AB103" s="151" t="s">
        <v>63</v>
      </c>
    </row>
    <row r="104" spans="1:28" ht="16.350000000000001" customHeight="1" x14ac:dyDescent="0.25">
      <c r="A104" s="80" t="s">
        <v>407</v>
      </c>
      <c r="B104" s="80" t="s">
        <v>408</v>
      </c>
      <c r="C104" s="80" t="s">
        <v>409</v>
      </c>
      <c r="D104" s="80" t="s">
        <v>122</v>
      </c>
      <c r="E104" s="81">
        <v>23901</v>
      </c>
      <c r="F104" s="80" t="s">
        <v>123</v>
      </c>
      <c r="G104" s="80" t="s">
        <v>50</v>
      </c>
      <c r="H104" s="80" t="s">
        <v>76</v>
      </c>
      <c r="I104" s="82">
        <v>87.681159420289902</v>
      </c>
      <c r="J104" s="83">
        <v>135.79285714285714</v>
      </c>
      <c r="K104" s="83">
        <v>59.492857142857147</v>
      </c>
      <c r="L104" s="83">
        <v>122.74999999999994</v>
      </c>
      <c r="M104" s="83">
        <v>143.77857142857138</v>
      </c>
      <c r="N104" s="83">
        <v>269.2000000000001</v>
      </c>
      <c r="O104" s="83">
        <v>192.6142857142855</v>
      </c>
      <c r="P104" s="83">
        <v>0</v>
      </c>
      <c r="Q104" s="83">
        <v>0</v>
      </c>
      <c r="R104" s="83">
        <v>88.857142857142932</v>
      </c>
      <c r="S104" s="83">
        <v>36.792857142857137</v>
      </c>
      <c r="T104" s="83">
        <v>31.778571428571428</v>
      </c>
      <c r="U104" s="83">
        <v>304.38571428571464</v>
      </c>
      <c r="V104" s="83">
        <v>290.49285714285759</v>
      </c>
      <c r="W104" s="84">
        <v>459</v>
      </c>
      <c r="X104" s="85" t="s">
        <v>52</v>
      </c>
      <c r="Y104" s="152">
        <v>45645</v>
      </c>
      <c r="Z104" s="151" t="s">
        <v>62</v>
      </c>
      <c r="AA104" s="151" t="s">
        <v>54</v>
      </c>
      <c r="AB104" s="151" t="s">
        <v>63</v>
      </c>
    </row>
    <row r="105" spans="1:28" ht="16.350000000000001" customHeight="1" x14ac:dyDescent="0.25">
      <c r="A105" s="80" t="s">
        <v>410</v>
      </c>
      <c r="B105" s="80" t="s">
        <v>411</v>
      </c>
      <c r="C105" s="80" t="s">
        <v>339</v>
      </c>
      <c r="D105" s="80" t="s">
        <v>74</v>
      </c>
      <c r="E105" s="81">
        <v>71202</v>
      </c>
      <c r="F105" s="80" t="s">
        <v>49</v>
      </c>
      <c r="G105" s="80" t="s">
        <v>50</v>
      </c>
      <c r="H105" s="80" t="s">
        <v>76</v>
      </c>
      <c r="I105" s="82">
        <v>33.2817551963049</v>
      </c>
      <c r="J105" s="83">
        <v>768.1571428571383</v>
      </c>
      <c r="K105" s="83">
        <v>17.457142857142863</v>
      </c>
      <c r="L105" s="83">
        <v>1.6714285714285715</v>
      </c>
      <c r="M105" s="83">
        <v>1.157142857142857</v>
      </c>
      <c r="N105" s="83">
        <v>4.1857142857142842</v>
      </c>
      <c r="O105" s="83">
        <v>12.04285714285713</v>
      </c>
      <c r="P105" s="83">
        <v>5.7571428571428562</v>
      </c>
      <c r="Q105" s="83">
        <v>766.45714285713848</v>
      </c>
      <c r="R105" s="83">
        <v>2.0571428571428574</v>
      </c>
      <c r="S105" s="83">
        <v>2.157142857142857</v>
      </c>
      <c r="T105" s="83">
        <v>2.6142857142857139</v>
      </c>
      <c r="U105" s="83">
        <v>781.6142857142811</v>
      </c>
      <c r="V105" s="83">
        <v>338.59285714285852</v>
      </c>
      <c r="W105" s="84">
        <v>677</v>
      </c>
      <c r="X105" s="85" t="s">
        <v>52</v>
      </c>
      <c r="Y105" s="152">
        <v>45603</v>
      </c>
      <c r="Z105" s="151" t="s">
        <v>62</v>
      </c>
      <c r="AA105" s="151" t="s">
        <v>54</v>
      </c>
      <c r="AB105" s="151" t="s">
        <v>63</v>
      </c>
    </row>
    <row r="106" spans="1:28" ht="16.350000000000001" customHeight="1" x14ac:dyDescent="0.25">
      <c r="A106" s="80" t="s">
        <v>412</v>
      </c>
      <c r="B106" s="80" t="s">
        <v>413</v>
      </c>
      <c r="C106" s="80" t="s">
        <v>311</v>
      </c>
      <c r="D106" s="80" t="s">
        <v>94</v>
      </c>
      <c r="E106" s="81">
        <v>78046</v>
      </c>
      <c r="F106" s="80" t="s">
        <v>166</v>
      </c>
      <c r="G106" s="80" t="s">
        <v>348</v>
      </c>
      <c r="H106" s="80" t="s">
        <v>76</v>
      </c>
      <c r="I106" s="82">
        <v>96.962500000000006</v>
      </c>
      <c r="J106" s="83">
        <v>616.77857142856658</v>
      </c>
      <c r="K106" s="83">
        <v>6.421428571428569</v>
      </c>
      <c r="L106" s="83">
        <v>0</v>
      </c>
      <c r="M106" s="83">
        <v>0</v>
      </c>
      <c r="N106" s="83">
        <v>16.214285714285719</v>
      </c>
      <c r="O106" s="83">
        <v>606.98571428571029</v>
      </c>
      <c r="P106" s="83">
        <v>0</v>
      </c>
      <c r="Q106" s="83">
        <v>0</v>
      </c>
      <c r="R106" s="83">
        <v>1.6642857142857144</v>
      </c>
      <c r="S106" s="83">
        <v>5.3499999999999988</v>
      </c>
      <c r="T106" s="83">
        <v>9.1499999999999986</v>
      </c>
      <c r="U106" s="83">
        <v>607.03571428571024</v>
      </c>
      <c r="V106" s="83">
        <v>381.7785714285755</v>
      </c>
      <c r="W106" s="84">
        <v>275</v>
      </c>
      <c r="X106" s="85" t="s">
        <v>52</v>
      </c>
      <c r="Y106" s="152">
        <v>45666</v>
      </c>
      <c r="Z106" s="151"/>
      <c r="AA106" s="151" t="s">
        <v>70</v>
      </c>
      <c r="AB106" s="151" t="s">
        <v>55</v>
      </c>
    </row>
    <row r="107" spans="1:28" ht="16.350000000000001" customHeight="1" x14ac:dyDescent="0.25">
      <c r="A107" s="80" t="s">
        <v>414</v>
      </c>
      <c r="B107" s="80" t="s">
        <v>415</v>
      </c>
      <c r="C107" s="80" t="s">
        <v>416</v>
      </c>
      <c r="D107" s="80" t="s">
        <v>74</v>
      </c>
      <c r="E107" s="81">
        <v>71334</v>
      </c>
      <c r="F107" s="80" t="s">
        <v>49</v>
      </c>
      <c r="G107" s="80" t="s">
        <v>50</v>
      </c>
      <c r="H107" s="80" t="s">
        <v>76</v>
      </c>
      <c r="I107" s="82">
        <v>73.529126213592207</v>
      </c>
      <c r="J107" s="83">
        <v>492.77142857142906</v>
      </c>
      <c r="K107" s="83">
        <v>58.064285714285724</v>
      </c>
      <c r="L107" s="83">
        <v>1.0142857142857142</v>
      </c>
      <c r="M107" s="83">
        <v>0.83571428571428574</v>
      </c>
      <c r="N107" s="83">
        <v>8.9500000000000028</v>
      </c>
      <c r="O107" s="83">
        <v>543.45714285714439</v>
      </c>
      <c r="P107" s="83">
        <v>0</v>
      </c>
      <c r="Q107" s="83">
        <v>0.27857142857142858</v>
      </c>
      <c r="R107" s="83">
        <v>1.0642857142857143</v>
      </c>
      <c r="S107" s="83">
        <v>0.62142857142857144</v>
      </c>
      <c r="T107" s="83">
        <v>1.4857142857142858</v>
      </c>
      <c r="U107" s="83">
        <v>549.51428571428744</v>
      </c>
      <c r="V107" s="83">
        <v>269.56428571428569</v>
      </c>
      <c r="W107" s="84">
        <v>361</v>
      </c>
      <c r="X107" s="85" t="s">
        <v>52</v>
      </c>
      <c r="Y107" s="152">
        <v>45617</v>
      </c>
      <c r="Z107" s="151" t="s">
        <v>62</v>
      </c>
      <c r="AA107" s="151" t="s">
        <v>54</v>
      </c>
      <c r="AB107" s="151" t="s">
        <v>63</v>
      </c>
    </row>
    <row r="108" spans="1:28" ht="16.350000000000001" customHeight="1" x14ac:dyDescent="0.25">
      <c r="A108" s="80" t="s">
        <v>417</v>
      </c>
      <c r="B108" s="80" t="s">
        <v>418</v>
      </c>
      <c r="C108" s="80" t="s">
        <v>419</v>
      </c>
      <c r="D108" s="80" t="s">
        <v>84</v>
      </c>
      <c r="E108" s="81">
        <v>30250</v>
      </c>
      <c r="F108" s="80" t="s">
        <v>68</v>
      </c>
      <c r="G108" s="80" t="s">
        <v>348</v>
      </c>
      <c r="H108" s="80" t="s">
        <v>51</v>
      </c>
      <c r="I108" s="82">
        <v>1.2978723404255299</v>
      </c>
      <c r="J108" s="83">
        <v>0.52142857142857113</v>
      </c>
      <c r="K108" s="83">
        <v>0.99999999999999878</v>
      </c>
      <c r="L108" s="83">
        <v>1.4357142857142828</v>
      </c>
      <c r="M108" s="83">
        <v>0.33571428571428558</v>
      </c>
      <c r="N108" s="83">
        <v>1.6714285714285688</v>
      </c>
      <c r="O108" s="83">
        <v>1.6214285714285688</v>
      </c>
      <c r="P108" s="83">
        <v>0</v>
      </c>
      <c r="Q108" s="83">
        <v>0</v>
      </c>
      <c r="R108" s="83">
        <v>4.2857142857142858E-2</v>
      </c>
      <c r="S108" s="83">
        <v>7.1428571428571425E-2</v>
      </c>
      <c r="T108" s="83">
        <v>2.1428571428571429E-2</v>
      </c>
      <c r="U108" s="83">
        <v>3.1571428571428486</v>
      </c>
      <c r="V108" s="83">
        <v>2.1428571428571384</v>
      </c>
      <c r="W108" s="84" t="s">
        <v>77</v>
      </c>
      <c r="X108" s="85" t="s">
        <v>52</v>
      </c>
      <c r="Y108" s="152">
        <v>45246</v>
      </c>
      <c r="Z108" s="151" t="s">
        <v>62</v>
      </c>
      <c r="AA108" s="151" t="s">
        <v>70</v>
      </c>
      <c r="AB108" s="151" t="s">
        <v>63</v>
      </c>
    </row>
    <row r="109" spans="1:28" ht="16.350000000000001" customHeight="1" x14ac:dyDescent="0.25">
      <c r="A109" s="80" t="s">
        <v>420</v>
      </c>
      <c r="B109" s="80" t="s">
        <v>421</v>
      </c>
      <c r="C109" s="80" t="s">
        <v>422</v>
      </c>
      <c r="D109" s="80" t="s">
        <v>423</v>
      </c>
      <c r="E109" s="81">
        <v>96950</v>
      </c>
      <c r="F109" s="80" t="s">
        <v>188</v>
      </c>
      <c r="G109" s="80" t="s">
        <v>101</v>
      </c>
      <c r="H109" s="80" t="s">
        <v>51</v>
      </c>
      <c r="I109" s="82"/>
      <c r="J109" s="83">
        <v>1.6500000000000001</v>
      </c>
      <c r="K109" s="83">
        <v>1.8285714285714283</v>
      </c>
      <c r="L109" s="83">
        <v>0.37857142857142856</v>
      </c>
      <c r="M109" s="83">
        <v>0</v>
      </c>
      <c r="N109" s="83">
        <v>3.0500000000000007</v>
      </c>
      <c r="O109" s="83">
        <v>0.66428571428571426</v>
      </c>
      <c r="P109" s="83">
        <v>0</v>
      </c>
      <c r="Q109" s="83">
        <v>0.14285714285714285</v>
      </c>
      <c r="R109" s="83">
        <v>1.4642857142857142</v>
      </c>
      <c r="S109" s="83">
        <v>0.70000000000000007</v>
      </c>
      <c r="T109" s="83">
        <v>0</v>
      </c>
      <c r="U109" s="83">
        <v>1.6928571428571428</v>
      </c>
      <c r="V109" s="83">
        <v>3.5071428571428576</v>
      </c>
      <c r="W109" s="84" t="s">
        <v>77</v>
      </c>
      <c r="X109" s="85" t="s">
        <v>144</v>
      </c>
      <c r="Y109" s="152">
        <v>45359</v>
      </c>
      <c r="Z109" s="151" t="s">
        <v>62</v>
      </c>
      <c r="AA109" s="151" t="s">
        <v>145</v>
      </c>
      <c r="AB109" s="151" t="s">
        <v>63</v>
      </c>
    </row>
    <row r="110" spans="1:28" ht="16.350000000000001" customHeight="1" x14ac:dyDescent="0.25">
      <c r="A110" s="80" t="s">
        <v>424</v>
      </c>
      <c r="B110" s="80" t="s">
        <v>425</v>
      </c>
      <c r="C110" s="80" t="s">
        <v>426</v>
      </c>
      <c r="D110" s="80" t="s">
        <v>427</v>
      </c>
      <c r="E110" s="81">
        <v>84119</v>
      </c>
      <c r="F110" s="80" t="s">
        <v>259</v>
      </c>
      <c r="G110" s="80" t="s">
        <v>101</v>
      </c>
      <c r="H110" s="80" t="s">
        <v>51</v>
      </c>
      <c r="I110" s="82">
        <v>2.0379746835443</v>
      </c>
      <c r="J110" s="83">
        <v>0.8499999999999992</v>
      </c>
      <c r="K110" s="83">
        <v>4.5928571428571301</v>
      </c>
      <c r="L110" s="83">
        <v>0.34285714285714275</v>
      </c>
      <c r="M110" s="83">
        <v>0.10714285714285715</v>
      </c>
      <c r="N110" s="83">
        <v>4.0071428571428465</v>
      </c>
      <c r="O110" s="83">
        <v>1.5071428571428545</v>
      </c>
      <c r="P110" s="83">
        <v>0.15000000000000002</v>
      </c>
      <c r="Q110" s="83">
        <v>0.22857142857142862</v>
      </c>
      <c r="R110" s="83">
        <v>0.67857142857142805</v>
      </c>
      <c r="S110" s="83">
        <v>0.15714285714285717</v>
      </c>
      <c r="T110" s="83">
        <v>0.15714285714285717</v>
      </c>
      <c r="U110" s="83">
        <v>4.8999999999999861</v>
      </c>
      <c r="V110" s="83">
        <v>4.5928571428571301</v>
      </c>
      <c r="W110" s="84" t="s">
        <v>77</v>
      </c>
      <c r="X110" s="85" t="s">
        <v>52</v>
      </c>
      <c r="Y110" s="152">
        <v>45562</v>
      </c>
      <c r="Z110" s="151" t="s">
        <v>62</v>
      </c>
      <c r="AA110" s="151" t="s">
        <v>70</v>
      </c>
      <c r="AB110" s="151" t="s">
        <v>63</v>
      </c>
    </row>
    <row r="111" spans="1:28" ht="16.350000000000001" customHeight="1" x14ac:dyDescent="0.25">
      <c r="A111" s="80" t="s">
        <v>428</v>
      </c>
      <c r="B111" s="80" t="s">
        <v>429</v>
      </c>
      <c r="C111" s="80" t="s">
        <v>430</v>
      </c>
      <c r="D111" s="80" t="s">
        <v>250</v>
      </c>
      <c r="E111" s="81">
        <v>965</v>
      </c>
      <c r="F111" s="80" t="s">
        <v>90</v>
      </c>
      <c r="G111" s="80" t="s">
        <v>75</v>
      </c>
      <c r="H111" s="80" t="s">
        <v>51</v>
      </c>
      <c r="I111" s="82">
        <v>2.3921568627451002</v>
      </c>
      <c r="J111" s="83">
        <v>2.7714285714285678</v>
      </c>
      <c r="K111" s="83">
        <v>0.17857142857142855</v>
      </c>
      <c r="L111" s="83">
        <v>2.8571428571428571E-2</v>
      </c>
      <c r="M111" s="83">
        <v>1.4285714285714285E-2</v>
      </c>
      <c r="N111" s="83">
        <v>0.16428571428571428</v>
      </c>
      <c r="O111" s="83">
        <v>2.3571428571428545</v>
      </c>
      <c r="P111" s="83">
        <v>7.1428571428571426E-3</v>
      </c>
      <c r="Q111" s="83">
        <v>0.46428571428571402</v>
      </c>
      <c r="R111" s="83">
        <v>1.4285714285714285E-2</v>
      </c>
      <c r="S111" s="83">
        <v>0</v>
      </c>
      <c r="T111" s="83">
        <v>0</v>
      </c>
      <c r="U111" s="83">
        <v>2.9785714285714242</v>
      </c>
      <c r="V111" s="83">
        <v>1.9499999999999982</v>
      </c>
      <c r="W111" s="84" t="s">
        <v>77</v>
      </c>
      <c r="X111" s="85" t="s">
        <v>53</v>
      </c>
      <c r="Y111" s="152" t="s">
        <v>77</v>
      </c>
      <c r="Z111" s="151" t="s">
        <v>53</v>
      </c>
      <c r="AA111" s="151" t="s">
        <v>77</v>
      </c>
      <c r="AB111" s="151" t="s">
        <v>77</v>
      </c>
    </row>
    <row r="112" spans="1:28" ht="16.350000000000001" customHeight="1" x14ac:dyDescent="0.25">
      <c r="A112" s="80" t="s">
        <v>431</v>
      </c>
      <c r="B112" s="80" t="s">
        <v>432</v>
      </c>
      <c r="C112" s="80" t="s">
        <v>433</v>
      </c>
      <c r="D112" s="80" t="s">
        <v>127</v>
      </c>
      <c r="E112" s="81">
        <v>85349</v>
      </c>
      <c r="F112" s="80" t="s">
        <v>274</v>
      </c>
      <c r="G112" s="80" t="s">
        <v>69</v>
      </c>
      <c r="H112" s="80" t="s">
        <v>51</v>
      </c>
      <c r="I112" s="82">
        <v>6.54285714285714</v>
      </c>
      <c r="J112" s="83">
        <v>39.628571428571377</v>
      </c>
      <c r="K112" s="83">
        <v>3.9357142857142779</v>
      </c>
      <c r="L112" s="83">
        <v>0.32142857142857145</v>
      </c>
      <c r="M112" s="83">
        <v>0.49999999999999989</v>
      </c>
      <c r="N112" s="83">
        <v>1.8285714285714267</v>
      </c>
      <c r="O112" s="83">
        <v>32.700000000000095</v>
      </c>
      <c r="P112" s="83">
        <v>8.5714285714285715E-2</v>
      </c>
      <c r="Q112" s="83">
        <v>9.7714285714285651</v>
      </c>
      <c r="R112" s="83">
        <v>0.72857142857142843</v>
      </c>
      <c r="S112" s="83">
        <v>3.5714285714285712E-2</v>
      </c>
      <c r="T112" s="83">
        <v>0.2857142857142857</v>
      </c>
      <c r="U112" s="83">
        <v>43.335714285714197</v>
      </c>
      <c r="V112" s="83">
        <v>12.214285714285719</v>
      </c>
      <c r="W112" s="84">
        <v>100</v>
      </c>
      <c r="X112" s="85" t="s">
        <v>52</v>
      </c>
      <c r="Y112" s="152">
        <v>45561</v>
      </c>
      <c r="Z112" s="151" t="s">
        <v>62</v>
      </c>
      <c r="AA112" s="151" t="s">
        <v>70</v>
      </c>
      <c r="AB112" s="151" t="s">
        <v>63</v>
      </c>
    </row>
    <row r="113" spans="1:28" ht="16.350000000000001" customHeight="1" x14ac:dyDescent="0.25">
      <c r="A113" s="80" t="s">
        <v>434</v>
      </c>
      <c r="B113" s="80" t="s">
        <v>435</v>
      </c>
      <c r="C113" s="80" t="s">
        <v>436</v>
      </c>
      <c r="D113" s="80" t="s">
        <v>236</v>
      </c>
      <c r="E113" s="81">
        <v>44883</v>
      </c>
      <c r="F113" s="80" t="s">
        <v>118</v>
      </c>
      <c r="G113" s="80" t="s">
        <v>69</v>
      </c>
      <c r="H113" s="80" t="s">
        <v>51</v>
      </c>
      <c r="I113" s="82">
        <v>84.25</v>
      </c>
      <c r="J113" s="83">
        <v>13.728571428571431</v>
      </c>
      <c r="K113" s="83">
        <v>12.114285714285712</v>
      </c>
      <c r="L113" s="83">
        <v>16.514285714285716</v>
      </c>
      <c r="M113" s="83">
        <v>19.899999999999995</v>
      </c>
      <c r="N113" s="83">
        <v>49.407142857142837</v>
      </c>
      <c r="O113" s="83">
        <v>10.15</v>
      </c>
      <c r="P113" s="83">
        <v>2.0642857142857141</v>
      </c>
      <c r="Q113" s="83">
        <v>0.63571428571428579</v>
      </c>
      <c r="R113" s="83">
        <v>18.978571428571428</v>
      </c>
      <c r="S113" s="83">
        <v>5.1499999999999995</v>
      </c>
      <c r="T113" s="83">
        <v>6.7071428571428564</v>
      </c>
      <c r="U113" s="83">
        <v>31.421428571428585</v>
      </c>
      <c r="V113" s="83">
        <v>51.557142857142857</v>
      </c>
      <c r="W113" s="84" t="s">
        <v>77</v>
      </c>
      <c r="X113" s="85" t="s">
        <v>52</v>
      </c>
      <c r="Y113" s="152">
        <v>45596</v>
      </c>
      <c r="Z113" s="151" t="s">
        <v>53</v>
      </c>
      <c r="AA113" s="151" t="s">
        <v>70</v>
      </c>
      <c r="AB113" s="151" t="s">
        <v>63</v>
      </c>
    </row>
    <row r="114" spans="1:28" ht="16.350000000000001" customHeight="1" x14ac:dyDescent="0.25">
      <c r="A114" s="80" t="s">
        <v>437</v>
      </c>
      <c r="B114" s="80" t="s">
        <v>438</v>
      </c>
      <c r="C114" s="80" t="s">
        <v>439</v>
      </c>
      <c r="D114" s="80" t="s">
        <v>232</v>
      </c>
      <c r="E114" s="81">
        <v>55330</v>
      </c>
      <c r="F114" s="80" t="s">
        <v>178</v>
      </c>
      <c r="G114" s="80" t="s">
        <v>69</v>
      </c>
      <c r="H114" s="80" t="s">
        <v>51</v>
      </c>
      <c r="I114" s="82">
        <v>1</v>
      </c>
      <c r="J114" s="83">
        <v>2.1</v>
      </c>
      <c r="K114" s="83">
        <v>3.2571428571428562</v>
      </c>
      <c r="L114" s="83">
        <v>4.5357142857142847</v>
      </c>
      <c r="M114" s="83">
        <v>1.8642857142857143</v>
      </c>
      <c r="N114" s="83">
        <v>6.8857142857142843</v>
      </c>
      <c r="O114" s="83">
        <v>4.599999999999997</v>
      </c>
      <c r="P114" s="83">
        <v>0.1</v>
      </c>
      <c r="Q114" s="83">
        <v>0.17142857142857143</v>
      </c>
      <c r="R114" s="83">
        <v>3.6357142857142848</v>
      </c>
      <c r="S114" s="83">
        <v>1.0071428571428571</v>
      </c>
      <c r="T114" s="83">
        <v>0.98571428571428554</v>
      </c>
      <c r="U114" s="83">
        <v>6.1285714285714263</v>
      </c>
      <c r="V114" s="83">
        <v>8.3142857142857096</v>
      </c>
      <c r="W114" s="84" t="s">
        <v>77</v>
      </c>
      <c r="X114" s="85" t="s">
        <v>52</v>
      </c>
      <c r="Y114" s="152">
        <v>45414</v>
      </c>
      <c r="Z114" s="151" t="s">
        <v>62</v>
      </c>
      <c r="AA114" s="151" t="s">
        <v>70</v>
      </c>
      <c r="AB114" s="151" t="s">
        <v>63</v>
      </c>
    </row>
    <row r="115" spans="1:28" ht="16.350000000000001" customHeight="1" x14ac:dyDescent="0.25">
      <c r="A115" s="80" t="s">
        <v>440</v>
      </c>
      <c r="B115" s="80" t="s">
        <v>441</v>
      </c>
      <c r="C115" s="80" t="s">
        <v>442</v>
      </c>
      <c r="D115" s="80" t="s">
        <v>443</v>
      </c>
      <c r="E115" s="81">
        <v>25309</v>
      </c>
      <c r="F115" s="80" t="s">
        <v>159</v>
      </c>
      <c r="G115" s="80" t="s">
        <v>69</v>
      </c>
      <c r="H115" s="80" t="s">
        <v>51</v>
      </c>
      <c r="I115" s="82">
        <v>5.5263157894736796</v>
      </c>
      <c r="J115" s="83">
        <v>1.2214285714285715</v>
      </c>
      <c r="K115" s="83">
        <v>1.1142857142857141</v>
      </c>
      <c r="L115" s="83">
        <v>1.4714285714285713</v>
      </c>
      <c r="M115" s="83">
        <v>1.0857142857142854</v>
      </c>
      <c r="N115" s="83">
        <v>3.4071428571428557</v>
      </c>
      <c r="O115" s="83">
        <v>1.4857142857142853</v>
      </c>
      <c r="P115" s="83">
        <v>0</v>
      </c>
      <c r="Q115" s="83">
        <v>0</v>
      </c>
      <c r="R115" s="83">
        <v>0.61428571428571432</v>
      </c>
      <c r="S115" s="83">
        <v>0.3</v>
      </c>
      <c r="T115" s="83">
        <v>0.6071428571428571</v>
      </c>
      <c r="U115" s="83">
        <v>3.3714285714285701</v>
      </c>
      <c r="V115" s="83">
        <v>3.6357142857142843</v>
      </c>
      <c r="W115" s="84" t="s">
        <v>77</v>
      </c>
      <c r="X115" s="85" t="s">
        <v>52</v>
      </c>
      <c r="Y115" s="152">
        <v>45561</v>
      </c>
      <c r="Z115" s="151" t="s">
        <v>62</v>
      </c>
      <c r="AA115" s="151" t="s">
        <v>70</v>
      </c>
      <c r="AB115" s="151" t="s">
        <v>63</v>
      </c>
    </row>
    <row r="116" spans="1:28" ht="16.350000000000001" customHeight="1" x14ac:dyDescent="0.25">
      <c r="A116" s="80" t="s">
        <v>444</v>
      </c>
      <c r="B116" s="80" t="s">
        <v>445</v>
      </c>
      <c r="C116" s="80" t="s">
        <v>446</v>
      </c>
      <c r="D116" s="80" t="s">
        <v>74</v>
      </c>
      <c r="E116" s="81">
        <v>70515</v>
      </c>
      <c r="F116" s="80" t="s">
        <v>49</v>
      </c>
      <c r="G116" s="80" t="s">
        <v>50</v>
      </c>
      <c r="H116" s="80" t="s">
        <v>51</v>
      </c>
      <c r="I116" s="82">
        <v>45.152380952381002</v>
      </c>
      <c r="J116" s="83">
        <v>599.23571428571245</v>
      </c>
      <c r="K116" s="83">
        <v>99.657142857142915</v>
      </c>
      <c r="L116" s="83">
        <v>87.014285714285748</v>
      </c>
      <c r="M116" s="83">
        <v>34.492857142857147</v>
      </c>
      <c r="N116" s="83">
        <v>1.9928571428571429</v>
      </c>
      <c r="O116" s="83">
        <v>3.0571428571428569</v>
      </c>
      <c r="P116" s="83">
        <v>109.07142857142858</v>
      </c>
      <c r="Q116" s="83">
        <v>706.2785714285709</v>
      </c>
      <c r="R116" s="83">
        <v>55.735714285714309</v>
      </c>
      <c r="S116" s="83">
        <v>21.614285714285717</v>
      </c>
      <c r="T116" s="83">
        <v>19.978571428571435</v>
      </c>
      <c r="U116" s="83">
        <v>723.07142857142821</v>
      </c>
      <c r="V116" s="83">
        <v>372.04999999999842</v>
      </c>
      <c r="W116" s="84">
        <v>700</v>
      </c>
      <c r="X116" s="85" t="s">
        <v>52</v>
      </c>
      <c r="Y116" s="152">
        <v>45533</v>
      </c>
      <c r="Z116" s="151" t="s">
        <v>62</v>
      </c>
      <c r="AA116" s="151" t="s">
        <v>54</v>
      </c>
      <c r="AB116" s="151" t="s">
        <v>63</v>
      </c>
    </row>
    <row r="117" spans="1:28" ht="16.350000000000001" customHeight="1" x14ac:dyDescent="0.25">
      <c r="A117" s="80" t="s">
        <v>447</v>
      </c>
      <c r="B117" s="80" t="s">
        <v>448</v>
      </c>
      <c r="C117" s="80" t="s">
        <v>449</v>
      </c>
      <c r="D117" s="80" t="s">
        <v>94</v>
      </c>
      <c r="E117" s="81">
        <v>78061</v>
      </c>
      <c r="F117" s="80" t="s">
        <v>295</v>
      </c>
      <c r="G117" s="80" t="s">
        <v>61</v>
      </c>
      <c r="H117" s="80" t="s">
        <v>51</v>
      </c>
      <c r="I117" s="82">
        <v>49.8762376237624</v>
      </c>
      <c r="J117" s="83">
        <v>1317.2642857142932</v>
      </c>
      <c r="K117" s="83">
        <v>98.2</v>
      </c>
      <c r="L117" s="83">
        <v>186.35714285714303</v>
      </c>
      <c r="M117" s="83">
        <v>64.642857142857153</v>
      </c>
      <c r="N117" s="83">
        <v>321.46428571428584</v>
      </c>
      <c r="O117" s="83">
        <v>1318.2714285714364</v>
      </c>
      <c r="P117" s="83">
        <v>19.357142857142858</v>
      </c>
      <c r="Q117" s="83">
        <v>7.3714285714285728</v>
      </c>
      <c r="R117" s="83">
        <v>86.9</v>
      </c>
      <c r="S117" s="83">
        <v>74.771428571428544</v>
      </c>
      <c r="T117" s="83">
        <v>162.91428571428577</v>
      </c>
      <c r="U117" s="83">
        <v>1341.8785714285818</v>
      </c>
      <c r="V117" s="83">
        <v>985.07142857143208</v>
      </c>
      <c r="W117" s="84">
        <v>1350</v>
      </c>
      <c r="X117" s="85" t="s">
        <v>52</v>
      </c>
      <c r="Y117" s="152">
        <v>45526</v>
      </c>
      <c r="Z117" s="151" t="s">
        <v>62</v>
      </c>
      <c r="AA117" s="151" t="s">
        <v>54</v>
      </c>
      <c r="AB117" s="151" t="s">
        <v>63</v>
      </c>
    </row>
    <row r="118" spans="1:28" ht="16.350000000000001" customHeight="1" x14ac:dyDescent="0.25">
      <c r="A118" s="80" t="s">
        <v>450</v>
      </c>
      <c r="B118" s="80" t="s">
        <v>451</v>
      </c>
      <c r="C118" s="80" t="s">
        <v>452</v>
      </c>
      <c r="D118" s="80" t="s">
        <v>117</v>
      </c>
      <c r="E118" s="81">
        <v>48060</v>
      </c>
      <c r="F118" s="80" t="s">
        <v>118</v>
      </c>
      <c r="G118" s="80" t="s">
        <v>69</v>
      </c>
      <c r="H118" s="80" t="s">
        <v>76</v>
      </c>
      <c r="I118" s="82">
        <v>128.25</v>
      </c>
      <c r="J118" s="83">
        <v>48.414285714285704</v>
      </c>
      <c r="K118" s="83">
        <v>12.49285714285714</v>
      </c>
      <c r="L118" s="83">
        <v>9.1857142857142886</v>
      </c>
      <c r="M118" s="83">
        <v>4.2571428571428562</v>
      </c>
      <c r="N118" s="83">
        <v>21.764285714285716</v>
      </c>
      <c r="O118" s="83">
        <v>52.585714285714282</v>
      </c>
      <c r="P118" s="83">
        <v>0</v>
      </c>
      <c r="Q118" s="83">
        <v>0</v>
      </c>
      <c r="R118" s="83">
        <v>5.8785714285714272</v>
      </c>
      <c r="S118" s="83">
        <v>7.0285714285714294</v>
      </c>
      <c r="T118" s="83">
        <v>5.2285714285714278</v>
      </c>
      <c r="U118" s="83">
        <v>56.214285714285715</v>
      </c>
      <c r="V118" s="83">
        <v>52.93571428571429</v>
      </c>
      <c r="W118" s="84" t="s">
        <v>77</v>
      </c>
      <c r="X118" s="85" t="s">
        <v>52</v>
      </c>
      <c r="Y118" s="152">
        <v>45554</v>
      </c>
      <c r="Z118" s="151" t="s">
        <v>62</v>
      </c>
      <c r="AA118" s="151" t="s">
        <v>70</v>
      </c>
      <c r="AB118" s="151" t="s">
        <v>63</v>
      </c>
    </row>
    <row r="119" spans="1:28" ht="16.350000000000001" customHeight="1" x14ac:dyDescent="0.25">
      <c r="A119" s="80" t="s">
        <v>453</v>
      </c>
      <c r="B119" s="80" t="s">
        <v>454</v>
      </c>
      <c r="C119" s="80" t="s">
        <v>455</v>
      </c>
      <c r="D119" s="80" t="s">
        <v>84</v>
      </c>
      <c r="E119" s="81">
        <v>31815</v>
      </c>
      <c r="F119" s="80" t="s">
        <v>68</v>
      </c>
      <c r="G119" s="80" t="s">
        <v>50</v>
      </c>
      <c r="H119" s="80" t="s">
        <v>51</v>
      </c>
      <c r="I119" s="82">
        <v>67.9368932038835</v>
      </c>
      <c r="J119" s="83">
        <v>708.1285714285691</v>
      </c>
      <c r="K119" s="83">
        <v>182.87857142857146</v>
      </c>
      <c r="L119" s="83">
        <v>345.27857142857187</v>
      </c>
      <c r="M119" s="83">
        <v>322.32857142857148</v>
      </c>
      <c r="N119" s="83">
        <v>641.52142857142871</v>
      </c>
      <c r="O119" s="83">
        <v>716.62857142857058</v>
      </c>
      <c r="P119" s="83">
        <v>43.928571428571445</v>
      </c>
      <c r="Q119" s="83">
        <v>156.53571428571408</v>
      </c>
      <c r="R119" s="83">
        <v>285.2785714285713</v>
      </c>
      <c r="S119" s="83">
        <v>132.11428571428578</v>
      </c>
      <c r="T119" s="83">
        <v>100.03571428571429</v>
      </c>
      <c r="U119" s="83">
        <v>1041.1857142857234</v>
      </c>
      <c r="V119" s="83">
        <v>954.88571428571299</v>
      </c>
      <c r="W119" s="84">
        <v>1600</v>
      </c>
      <c r="X119" s="85" t="s">
        <v>52</v>
      </c>
      <c r="Y119" s="152">
        <v>45505</v>
      </c>
      <c r="Z119" s="151" t="s">
        <v>62</v>
      </c>
      <c r="AA119" s="151" t="s">
        <v>54</v>
      </c>
      <c r="AB119" s="151" t="s">
        <v>63</v>
      </c>
    </row>
    <row r="120" spans="1:28" ht="16.350000000000001" customHeight="1" x14ac:dyDescent="0.25">
      <c r="A120" s="80" t="s">
        <v>456</v>
      </c>
      <c r="B120" s="80" t="s">
        <v>457</v>
      </c>
      <c r="C120" s="80" t="s">
        <v>458</v>
      </c>
      <c r="D120" s="80" t="s">
        <v>459</v>
      </c>
      <c r="E120" s="81">
        <v>3820</v>
      </c>
      <c r="F120" s="80" t="s">
        <v>143</v>
      </c>
      <c r="G120" s="80" t="s">
        <v>69</v>
      </c>
      <c r="H120" s="80" t="s">
        <v>51</v>
      </c>
      <c r="I120" s="82">
        <v>148.842105263158</v>
      </c>
      <c r="J120" s="83">
        <v>0</v>
      </c>
      <c r="K120" s="83">
        <v>0</v>
      </c>
      <c r="L120" s="83">
        <v>46.971428571428589</v>
      </c>
      <c r="M120" s="83">
        <v>39.285714285714278</v>
      </c>
      <c r="N120" s="83">
        <v>43.785714285714292</v>
      </c>
      <c r="O120" s="83">
        <v>29.85</v>
      </c>
      <c r="P120" s="83">
        <v>6.5357142857142856</v>
      </c>
      <c r="Q120" s="83">
        <v>6.0857142857142854</v>
      </c>
      <c r="R120" s="83">
        <v>23.56428571428571</v>
      </c>
      <c r="S120" s="83">
        <v>7.178571428571427</v>
      </c>
      <c r="T120" s="83">
        <v>8.5428571428571445</v>
      </c>
      <c r="U120" s="83">
        <v>46.971428571428582</v>
      </c>
      <c r="V120" s="83">
        <v>55.207142857142891</v>
      </c>
      <c r="W120" s="84" t="s">
        <v>77</v>
      </c>
      <c r="X120" s="85" t="s">
        <v>52</v>
      </c>
      <c r="Y120" s="152">
        <v>45547</v>
      </c>
      <c r="Z120" s="151" t="s">
        <v>62</v>
      </c>
      <c r="AA120" s="151" t="s">
        <v>70</v>
      </c>
      <c r="AB120" s="151" t="s">
        <v>63</v>
      </c>
    </row>
    <row r="121" spans="1:28" ht="16.350000000000001" customHeight="1" x14ac:dyDescent="0.25">
      <c r="A121" s="80" t="s">
        <v>460</v>
      </c>
      <c r="B121" s="80" t="s">
        <v>461</v>
      </c>
      <c r="C121" s="80" t="s">
        <v>462</v>
      </c>
      <c r="D121" s="80" t="s">
        <v>463</v>
      </c>
      <c r="E121" s="81">
        <v>82935</v>
      </c>
      <c r="F121" s="80" t="s">
        <v>183</v>
      </c>
      <c r="G121" s="80" t="s">
        <v>101</v>
      </c>
      <c r="H121" s="80" t="s">
        <v>51</v>
      </c>
      <c r="I121" s="82">
        <v>3.5</v>
      </c>
      <c r="J121" s="83">
        <v>0.17857142857142858</v>
      </c>
      <c r="K121" s="83">
        <v>0.42857142857142855</v>
      </c>
      <c r="L121" s="83">
        <v>0.42857142857142849</v>
      </c>
      <c r="M121" s="83">
        <v>7.857142857142857E-2</v>
      </c>
      <c r="N121" s="83">
        <v>0.83571428571428563</v>
      </c>
      <c r="O121" s="83">
        <v>0.17142857142857143</v>
      </c>
      <c r="P121" s="83">
        <v>0</v>
      </c>
      <c r="Q121" s="83">
        <v>0.10714285714285714</v>
      </c>
      <c r="R121" s="83">
        <v>0.1</v>
      </c>
      <c r="S121" s="83">
        <v>0.11428571428571428</v>
      </c>
      <c r="T121" s="83">
        <v>2.1428571428571429E-2</v>
      </c>
      <c r="U121" s="83">
        <v>0.87857142857142823</v>
      </c>
      <c r="V121" s="83">
        <v>0.98571428571428554</v>
      </c>
      <c r="W121" s="84" t="s">
        <v>77</v>
      </c>
      <c r="X121" s="85" t="s">
        <v>144</v>
      </c>
      <c r="Y121" s="152">
        <v>45377</v>
      </c>
      <c r="Z121" s="151" t="s">
        <v>62</v>
      </c>
      <c r="AA121" s="151" t="s">
        <v>145</v>
      </c>
      <c r="AB121" s="151" t="s">
        <v>63</v>
      </c>
    </row>
    <row r="122" spans="1:28" ht="16.350000000000001" customHeight="1" x14ac:dyDescent="0.25">
      <c r="A122" s="80" t="s">
        <v>464</v>
      </c>
      <c r="B122" s="80" t="s">
        <v>465</v>
      </c>
      <c r="C122" s="80" t="s">
        <v>466</v>
      </c>
      <c r="D122" s="80" t="s">
        <v>94</v>
      </c>
      <c r="E122" s="81">
        <v>76574</v>
      </c>
      <c r="F122" s="80" t="s">
        <v>295</v>
      </c>
      <c r="G122" s="80" t="s">
        <v>50</v>
      </c>
      <c r="H122" s="80" t="s">
        <v>76</v>
      </c>
      <c r="I122" s="82">
        <v>72.0625</v>
      </c>
      <c r="J122" s="83">
        <v>199.97142857142842</v>
      </c>
      <c r="K122" s="83">
        <v>40.542857142857166</v>
      </c>
      <c r="L122" s="83">
        <v>114.82142857142848</v>
      </c>
      <c r="M122" s="83">
        <v>67.6357142857143</v>
      </c>
      <c r="N122" s="83">
        <v>234.14999999999989</v>
      </c>
      <c r="O122" s="83">
        <v>188.82142857142864</v>
      </c>
      <c r="P122" s="83">
        <v>0</v>
      </c>
      <c r="Q122" s="83">
        <v>0</v>
      </c>
      <c r="R122" s="83">
        <v>61.771428571428572</v>
      </c>
      <c r="S122" s="83">
        <v>58.792857142857166</v>
      </c>
      <c r="T122" s="83">
        <v>102.07142857142857</v>
      </c>
      <c r="U122" s="83">
        <v>200.3357142857144</v>
      </c>
      <c r="V122" s="83">
        <v>294.32857142857148</v>
      </c>
      <c r="W122" s="84">
        <v>461</v>
      </c>
      <c r="X122" s="85" t="s">
        <v>52</v>
      </c>
      <c r="Y122" s="152">
        <v>45645</v>
      </c>
      <c r="Z122" s="151" t="s">
        <v>53</v>
      </c>
      <c r="AA122" s="151" t="s">
        <v>54</v>
      </c>
      <c r="AB122" s="151" t="s">
        <v>63</v>
      </c>
    </row>
    <row r="123" spans="1:28" ht="16.350000000000001" customHeight="1" x14ac:dyDescent="0.25">
      <c r="A123" s="80" t="s">
        <v>467</v>
      </c>
      <c r="B123" s="80" t="s">
        <v>468</v>
      </c>
      <c r="C123" s="80" t="s">
        <v>469</v>
      </c>
      <c r="D123" s="80" t="s">
        <v>149</v>
      </c>
      <c r="E123" s="81">
        <v>87016</v>
      </c>
      <c r="F123" s="80" t="s">
        <v>150</v>
      </c>
      <c r="G123" s="80" t="s">
        <v>69</v>
      </c>
      <c r="H123" s="80" t="s">
        <v>76</v>
      </c>
      <c r="I123" s="82">
        <v>32.595348837209301</v>
      </c>
      <c r="J123" s="83">
        <v>320.58571428571338</v>
      </c>
      <c r="K123" s="83">
        <v>45.900000000000027</v>
      </c>
      <c r="L123" s="83">
        <v>8.5428571428571427</v>
      </c>
      <c r="M123" s="83">
        <v>4.7</v>
      </c>
      <c r="N123" s="83">
        <v>49.564285714285681</v>
      </c>
      <c r="O123" s="83">
        <v>330.1642857142848</v>
      </c>
      <c r="P123" s="83">
        <v>0</v>
      </c>
      <c r="Q123" s="83">
        <v>0</v>
      </c>
      <c r="R123" s="83">
        <v>4.1214285714285719</v>
      </c>
      <c r="S123" s="83">
        <v>0.8214285714285714</v>
      </c>
      <c r="T123" s="83">
        <v>17.142857142857135</v>
      </c>
      <c r="U123" s="83">
        <v>357.6428571428566</v>
      </c>
      <c r="V123" s="83">
        <v>266.24999999999937</v>
      </c>
      <c r="W123" s="84">
        <v>505</v>
      </c>
      <c r="X123" s="85" t="s">
        <v>52</v>
      </c>
      <c r="Y123" s="152">
        <v>45589</v>
      </c>
      <c r="Z123" s="151" t="s">
        <v>53</v>
      </c>
      <c r="AA123" s="151" t="s">
        <v>54</v>
      </c>
      <c r="AB123" s="151" t="s">
        <v>63</v>
      </c>
    </row>
    <row r="124" spans="1:28" ht="16.350000000000001" customHeight="1" x14ac:dyDescent="0.25">
      <c r="A124" s="80" t="s">
        <v>470</v>
      </c>
      <c r="B124" s="80" t="s">
        <v>471</v>
      </c>
      <c r="C124" s="80" t="s">
        <v>472</v>
      </c>
      <c r="D124" s="80" t="s">
        <v>301</v>
      </c>
      <c r="E124" s="81">
        <v>74103</v>
      </c>
      <c r="F124" s="80" t="s">
        <v>95</v>
      </c>
      <c r="G124" s="80" t="s">
        <v>69</v>
      </c>
      <c r="H124" s="80" t="s">
        <v>51</v>
      </c>
      <c r="I124" s="82">
        <v>2.3444444444444401</v>
      </c>
      <c r="J124" s="83">
        <v>1.914285714285711</v>
      </c>
      <c r="K124" s="83">
        <v>1.9785714285714249</v>
      </c>
      <c r="L124" s="83">
        <v>1.4357142857142842</v>
      </c>
      <c r="M124" s="83">
        <v>0.53571428571428548</v>
      </c>
      <c r="N124" s="83">
        <v>3.5214285714285634</v>
      </c>
      <c r="O124" s="83">
        <v>2.0428571428571392</v>
      </c>
      <c r="P124" s="83">
        <v>4.2857142857142858E-2</v>
      </c>
      <c r="Q124" s="83">
        <v>0.25714285714285717</v>
      </c>
      <c r="R124" s="83">
        <v>0.30000000000000004</v>
      </c>
      <c r="S124" s="83">
        <v>0.21428571428571433</v>
      </c>
      <c r="T124" s="83">
        <v>5.7142857142857141E-2</v>
      </c>
      <c r="U124" s="83">
        <v>5.2928571428571285</v>
      </c>
      <c r="V124" s="83">
        <v>3.0357142857142785</v>
      </c>
      <c r="W124" s="84" t="s">
        <v>77</v>
      </c>
      <c r="X124" s="85" t="s">
        <v>52</v>
      </c>
      <c r="Y124" s="152">
        <v>45554</v>
      </c>
      <c r="Z124" s="151" t="s">
        <v>62</v>
      </c>
      <c r="AA124" s="151" t="s">
        <v>70</v>
      </c>
      <c r="AB124" s="151" t="s">
        <v>63</v>
      </c>
    </row>
    <row r="125" spans="1:28" ht="16.350000000000001" customHeight="1" x14ac:dyDescent="0.25">
      <c r="A125" s="80" t="s">
        <v>473</v>
      </c>
      <c r="B125" s="80" t="s">
        <v>474</v>
      </c>
      <c r="C125" s="80" t="s">
        <v>475</v>
      </c>
      <c r="D125" s="80" t="s">
        <v>476</v>
      </c>
      <c r="E125" s="81">
        <v>72701</v>
      </c>
      <c r="F125" s="80" t="s">
        <v>49</v>
      </c>
      <c r="G125" s="80" t="s">
        <v>101</v>
      </c>
      <c r="H125" s="80" t="s">
        <v>51</v>
      </c>
      <c r="I125" s="82">
        <v>1.7346938775510199</v>
      </c>
      <c r="J125" s="83">
        <v>0.7714285714285708</v>
      </c>
      <c r="K125" s="83">
        <v>0.9357142857142845</v>
      </c>
      <c r="L125" s="83">
        <v>1.0928571428571412</v>
      </c>
      <c r="M125" s="83">
        <v>0.34285714285714269</v>
      </c>
      <c r="N125" s="83">
        <v>1.1642857142857126</v>
      </c>
      <c r="O125" s="83">
        <v>1.8142857142857103</v>
      </c>
      <c r="P125" s="83">
        <v>0.05</v>
      </c>
      <c r="Q125" s="83">
        <v>0.1142857142857143</v>
      </c>
      <c r="R125" s="83">
        <v>4.2857142857142858E-2</v>
      </c>
      <c r="S125" s="83">
        <v>2.8571428571428571E-2</v>
      </c>
      <c r="T125" s="83">
        <v>2.1428571428571429E-2</v>
      </c>
      <c r="U125" s="83">
        <v>3.0499999999999923</v>
      </c>
      <c r="V125" s="83">
        <v>2.1071428571428523</v>
      </c>
      <c r="W125" s="84" t="s">
        <v>77</v>
      </c>
      <c r="X125" s="85" t="s">
        <v>52</v>
      </c>
      <c r="Y125" s="152">
        <v>45232</v>
      </c>
      <c r="Z125" s="151" t="s">
        <v>62</v>
      </c>
      <c r="AA125" s="151" t="s">
        <v>70</v>
      </c>
      <c r="AB125" s="151" t="s">
        <v>63</v>
      </c>
    </row>
    <row r="126" spans="1:28" ht="16.350000000000001" customHeight="1" x14ac:dyDescent="0.25">
      <c r="A126" s="80" t="s">
        <v>477</v>
      </c>
      <c r="B126" s="80" t="s">
        <v>478</v>
      </c>
      <c r="C126" s="80" t="s">
        <v>479</v>
      </c>
      <c r="D126" s="80" t="s">
        <v>258</v>
      </c>
      <c r="E126" s="81">
        <v>89506</v>
      </c>
      <c r="F126" s="80" t="s">
        <v>259</v>
      </c>
      <c r="G126" s="80" t="s">
        <v>101</v>
      </c>
      <c r="H126" s="80" t="s">
        <v>51</v>
      </c>
      <c r="I126" s="82">
        <v>19.703703703703699</v>
      </c>
      <c r="J126" s="83">
        <v>0.31428571428571433</v>
      </c>
      <c r="K126" s="83">
        <v>1.2214285714285713</v>
      </c>
      <c r="L126" s="83">
        <v>3.8642857142857117</v>
      </c>
      <c r="M126" s="83">
        <v>3.7214285714285698</v>
      </c>
      <c r="N126" s="83">
        <v>7.6999999999999895</v>
      </c>
      <c r="O126" s="83">
        <v>1.1428571428571428</v>
      </c>
      <c r="P126" s="83">
        <v>0.20714285714285716</v>
      </c>
      <c r="Q126" s="83">
        <v>7.1428571428571425E-2</v>
      </c>
      <c r="R126" s="83">
        <v>2.7214285714285706</v>
      </c>
      <c r="S126" s="83">
        <v>0.3785714285714285</v>
      </c>
      <c r="T126" s="83">
        <v>0.45714285714285718</v>
      </c>
      <c r="U126" s="83">
        <v>5.5642857142857078</v>
      </c>
      <c r="V126" s="83">
        <v>7.907142857142845</v>
      </c>
      <c r="W126" s="84" t="s">
        <v>77</v>
      </c>
      <c r="X126" s="85" t="s">
        <v>52</v>
      </c>
      <c r="Y126" s="152">
        <v>45603</v>
      </c>
      <c r="Z126" s="151" t="s">
        <v>53</v>
      </c>
      <c r="AA126" s="151" t="s">
        <v>70</v>
      </c>
      <c r="AB126" s="151" t="s">
        <v>63</v>
      </c>
    </row>
    <row r="127" spans="1:28" ht="16.350000000000001" customHeight="1" x14ac:dyDescent="0.25">
      <c r="A127" s="80" t="s">
        <v>480</v>
      </c>
      <c r="B127" s="80" t="s">
        <v>481</v>
      </c>
      <c r="C127" s="80" t="s">
        <v>311</v>
      </c>
      <c r="D127" s="80" t="s">
        <v>94</v>
      </c>
      <c r="E127" s="81">
        <v>78041</v>
      </c>
      <c r="F127" s="80" t="s">
        <v>166</v>
      </c>
      <c r="G127" s="80" t="s">
        <v>50</v>
      </c>
      <c r="H127" s="80" t="s">
        <v>51</v>
      </c>
      <c r="I127" s="82">
        <v>18.9583333333333</v>
      </c>
      <c r="J127" s="83">
        <v>215.40714285714213</v>
      </c>
      <c r="K127" s="83">
        <v>2.528571428571428</v>
      </c>
      <c r="L127" s="83">
        <v>25.092857142857138</v>
      </c>
      <c r="M127" s="83">
        <v>54.664285714285754</v>
      </c>
      <c r="N127" s="83">
        <v>32.942857142857143</v>
      </c>
      <c r="O127" s="83">
        <v>218.57142857142804</v>
      </c>
      <c r="P127" s="83">
        <v>5.2642857142857142</v>
      </c>
      <c r="Q127" s="83">
        <v>40.914285714285747</v>
      </c>
      <c r="R127" s="83">
        <v>15.628571428571425</v>
      </c>
      <c r="S127" s="83">
        <v>10.59285714285714</v>
      </c>
      <c r="T127" s="83">
        <v>7.5999999999999961</v>
      </c>
      <c r="U127" s="83">
        <v>263.87142857142743</v>
      </c>
      <c r="V127" s="83">
        <v>199.80714285714231</v>
      </c>
      <c r="W127" s="84">
        <v>250</v>
      </c>
      <c r="X127" s="85" t="s">
        <v>52</v>
      </c>
      <c r="Y127" s="152">
        <v>45694</v>
      </c>
      <c r="Z127" s="151"/>
      <c r="AA127" s="151" t="s">
        <v>54</v>
      </c>
      <c r="AB127" s="151" t="s">
        <v>55</v>
      </c>
    </row>
    <row r="128" spans="1:28" ht="16.350000000000001" customHeight="1" x14ac:dyDescent="0.25">
      <c r="A128" s="80" t="s">
        <v>482</v>
      </c>
      <c r="B128" s="80" t="s">
        <v>483</v>
      </c>
      <c r="C128" s="80" t="s">
        <v>484</v>
      </c>
      <c r="D128" s="80" t="s">
        <v>74</v>
      </c>
      <c r="E128" s="81">
        <v>71483</v>
      </c>
      <c r="F128" s="80" t="s">
        <v>49</v>
      </c>
      <c r="G128" s="80" t="s">
        <v>50</v>
      </c>
      <c r="H128" s="80" t="s">
        <v>76</v>
      </c>
      <c r="I128" s="82">
        <v>105.03051643192499</v>
      </c>
      <c r="J128" s="83">
        <v>1002.9714285714213</v>
      </c>
      <c r="K128" s="83">
        <v>211.09285714285724</v>
      </c>
      <c r="L128" s="83">
        <v>184.58571428571432</v>
      </c>
      <c r="M128" s="83">
        <v>92.549999999999969</v>
      </c>
      <c r="N128" s="83">
        <v>283.32857142857171</v>
      </c>
      <c r="O128" s="83">
        <v>1207.5071428571343</v>
      </c>
      <c r="P128" s="83">
        <v>0.32857142857142857</v>
      </c>
      <c r="Q128" s="83">
        <v>3.5714285714285712E-2</v>
      </c>
      <c r="R128" s="83">
        <v>59.042857142857166</v>
      </c>
      <c r="S128" s="83">
        <v>48.250000000000028</v>
      </c>
      <c r="T128" s="83">
        <v>45.164285714285718</v>
      </c>
      <c r="U128" s="83">
        <v>1338.7428571428477</v>
      </c>
      <c r="V128" s="83">
        <v>771.57142857142753</v>
      </c>
      <c r="W128" s="84">
        <v>946</v>
      </c>
      <c r="X128" s="85" t="s">
        <v>52</v>
      </c>
      <c r="Y128" s="152">
        <v>45673</v>
      </c>
      <c r="Z128" s="151" t="s">
        <v>53</v>
      </c>
      <c r="AA128" s="151" t="s">
        <v>54</v>
      </c>
      <c r="AB128" s="151" t="s">
        <v>55</v>
      </c>
    </row>
    <row r="129" spans="1:28" ht="16.350000000000001" customHeight="1" x14ac:dyDescent="0.25">
      <c r="A129" s="80" t="s">
        <v>485</v>
      </c>
      <c r="B129" s="80" t="s">
        <v>486</v>
      </c>
      <c r="C129" s="80" t="s">
        <v>487</v>
      </c>
      <c r="D129" s="80" t="s">
        <v>488</v>
      </c>
      <c r="E129" s="81">
        <v>2863</v>
      </c>
      <c r="F129" s="80" t="s">
        <v>143</v>
      </c>
      <c r="G129" s="80" t="s">
        <v>101</v>
      </c>
      <c r="H129" s="80" t="s">
        <v>76</v>
      </c>
      <c r="I129" s="82">
        <v>67.9375</v>
      </c>
      <c r="J129" s="83">
        <v>19.350000000000009</v>
      </c>
      <c r="K129" s="83">
        <v>4.8642857142857139</v>
      </c>
      <c r="L129" s="83">
        <v>38.707142857142863</v>
      </c>
      <c r="M129" s="83">
        <v>48.314285714285724</v>
      </c>
      <c r="N129" s="83">
        <v>57.335714285714275</v>
      </c>
      <c r="O129" s="83">
        <v>50.364285714285735</v>
      </c>
      <c r="P129" s="83">
        <v>1.6214285714285714</v>
      </c>
      <c r="Q129" s="83">
        <v>1.9142857142857141</v>
      </c>
      <c r="R129" s="83">
        <v>26.235714285714295</v>
      </c>
      <c r="S129" s="83">
        <v>3.5785714285714287</v>
      </c>
      <c r="T129" s="83">
        <v>3.8285714285714283</v>
      </c>
      <c r="U129" s="83">
        <v>77.59285714285717</v>
      </c>
      <c r="V129" s="83">
        <v>70.642857142857139</v>
      </c>
      <c r="W129" s="84" t="s">
        <v>77</v>
      </c>
      <c r="X129" s="85" t="s">
        <v>52</v>
      </c>
      <c r="Y129" s="152">
        <v>45554</v>
      </c>
      <c r="Z129" s="151" t="s">
        <v>62</v>
      </c>
      <c r="AA129" s="151" t="s">
        <v>70</v>
      </c>
      <c r="AB129" s="151" t="s">
        <v>63</v>
      </c>
    </row>
  </sheetData>
  <mergeCells count="13">
    <mergeCell ref="Q3:T3"/>
    <mergeCell ref="U3:X3"/>
    <mergeCell ref="Y3:AB3"/>
    <mergeCell ref="J5:M5"/>
    <mergeCell ref="N5:Q5"/>
    <mergeCell ref="R5:U5"/>
    <mergeCell ref="W5:AB5"/>
    <mergeCell ref="M3:P3"/>
    <mergeCell ref="A1:D1"/>
    <mergeCell ref="A2:D2"/>
    <mergeCell ref="A3:D3"/>
    <mergeCell ref="E3:H3"/>
    <mergeCell ref="I3:L3"/>
  </mergeCells>
  <pageMargins left="0.7" right="0.7" top="0.75" bottom="0.75" header="0.3" footer="0.3"/>
  <pageSetup orientation="portrait" horizontalDpi="1200" verticalDpi="1200"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BE2B92-E294-49BF-8B79-DB46998969A5}">
  <sheetPr codeName="Sheet5"/>
  <dimension ref="A1:X587"/>
  <sheetViews>
    <sheetView topLeftCell="A3" zoomScaleNormal="100" workbookViewId="0">
      <selection activeCell="E3" sqref="E3"/>
    </sheetView>
  </sheetViews>
  <sheetFormatPr defaultRowHeight="15" x14ac:dyDescent="0.25"/>
  <cols>
    <col min="1" max="1" width="52.28515625" customWidth="1"/>
    <col min="2" max="2" width="20" customWidth="1"/>
  </cols>
  <sheetData>
    <row r="1" spans="1:6" ht="26.25" x14ac:dyDescent="0.25">
      <c r="A1" s="364" t="s">
        <v>489</v>
      </c>
      <c r="B1" s="364"/>
      <c r="C1" s="27"/>
      <c r="D1" s="27"/>
      <c r="E1" s="27"/>
      <c r="F1" s="27"/>
    </row>
    <row r="2" spans="1:6" ht="15.75" thickBot="1" x14ac:dyDescent="0.3">
      <c r="A2" s="432"/>
      <c r="B2" s="432"/>
    </row>
    <row r="3" spans="1:6" ht="98.1" customHeight="1" thickBot="1" x14ac:dyDescent="0.3">
      <c r="A3" s="430" t="s">
        <v>490</v>
      </c>
      <c r="B3" s="431"/>
    </row>
    <row r="4" spans="1:6" x14ac:dyDescent="0.25">
      <c r="A4" s="21" t="s">
        <v>491</v>
      </c>
      <c r="B4" s="20" t="s">
        <v>492</v>
      </c>
    </row>
    <row r="5" spans="1:6" x14ac:dyDescent="0.25">
      <c r="A5" s="57" t="s">
        <v>342</v>
      </c>
      <c r="B5" s="58">
        <v>140</v>
      </c>
    </row>
    <row r="6" spans="1:6" x14ac:dyDescent="0.25">
      <c r="A6" s="57" t="s">
        <v>340</v>
      </c>
      <c r="B6" s="58">
        <v>91</v>
      </c>
    </row>
    <row r="7" spans="1:6" x14ac:dyDescent="0.25">
      <c r="A7" s="57" t="s">
        <v>447</v>
      </c>
      <c r="B7" s="58">
        <v>66</v>
      </c>
    </row>
    <row r="8" spans="1:6" x14ac:dyDescent="0.25">
      <c r="A8" s="57" t="s">
        <v>108</v>
      </c>
      <c r="B8" s="58">
        <v>63</v>
      </c>
    </row>
    <row r="9" spans="1:6" x14ac:dyDescent="0.25">
      <c r="A9" s="57" t="s">
        <v>201</v>
      </c>
      <c r="B9" s="58">
        <v>57</v>
      </c>
    </row>
    <row r="10" spans="1:6" x14ac:dyDescent="0.25">
      <c r="A10" s="57" t="s">
        <v>129</v>
      </c>
      <c r="B10" s="58">
        <v>51</v>
      </c>
    </row>
    <row r="11" spans="1:6" x14ac:dyDescent="0.25">
      <c r="A11" s="57" t="s">
        <v>212</v>
      </c>
      <c r="B11" s="58">
        <v>40</v>
      </c>
    </row>
    <row r="12" spans="1:6" x14ac:dyDescent="0.25">
      <c r="A12" s="57" t="s">
        <v>119</v>
      </c>
      <c r="B12" s="58">
        <v>38</v>
      </c>
    </row>
    <row r="13" spans="1:6" x14ac:dyDescent="0.25">
      <c r="A13" s="57" t="s">
        <v>345</v>
      </c>
      <c r="B13" s="58">
        <v>33</v>
      </c>
    </row>
    <row r="14" spans="1:6" x14ac:dyDescent="0.25">
      <c r="A14" s="57" t="s">
        <v>407</v>
      </c>
      <c r="B14" s="58">
        <v>29</v>
      </c>
    </row>
    <row r="15" spans="1:6" x14ac:dyDescent="0.25">
      <c r="A15" s="57" t="s">
        <v>91</v>
      </c>
      <c r="B15" s="58">
        <v>26</v>
      </c>
    </row>
    <row r="16" spans="1:6" x14ac:dyDescent="0.25">
      <c r="A16" s="57" t="s">
        <v>271</v>
      </c>
      <c r="B16" s="58">
        <v>25</v>
      </c>
    </row>
    <row r="17" spans="1:2" x14ac:dyDescent="0.25">
      <c r="A17" s="57" t="s">
        <v>179</v>
      </c>
      <c r="B17" s="58">
        <v>24</v>
      </c>
    </row>
    <row r="18" spans="1:2" x14ac:dyDescent="0.25">
      <c r="A18" s="57" t="s">
        <v>390</v>
      </c>
      <c r="B18" s="58">
        <v>24</v>
      </c>
    </row>
    <row r="19" spans="1:2" x14ac:dyDescent="0.25">
      <c r="A19" s="57" t="s">
        <v>221</v>
      </c>
      <c r="B19" s="58">
        <v>24</v>
      </c>
    </row>
    <row r="20" spans="1:2" x14ac:dyDescent="0.25">
      <c r="A20" s="57" t="s">
        <v>124</v>
      </c>
      <c r="B20" s="58">
        <v>21</v>
      </c>
    </row>
    <row r="21" spans="1:2" x14ac:dyDescent="0.25">
      <c r="A21" s="57" t="s">
        <v>223</v>
      </c>
      <c r="B21" s="58">
        <v>21</v>
      </c>
    </row>
    <row r="22" spans="1:2" x14ac:dyDescent="0.25">
      <c r="A22" s="57" t="s">
        <v>306</v>
      </c>
      <c r="B22" s="58">
        <v>16</v>
      </c>
    </row>
    <row r="23" spans="1:2" x14ac:dyDescent="0.25">
      <c r="A23" s="57" t="s">
        <v>384</v>
      </c>
      <c r="B23" s="58">
        <v>15</v>
      </c>
    </row>
    <row r="24" spans="1:2" x14ac:dyDescent="0.25">
      <c r="A24" s="57" t="s">
        <v>255</v>
      </c>
      <c r="B24" s="58">
        <v>13</v>
      </c>
    </row>
    <row r="25" spans="1:2" x14ac:dyDescent="0.25">
      <c r="A25" s="57" t="s">
        <v>227</v>
      </c>
      <c r="B25" s="58">
        <v>12</v>
      </c>
    </row>
    <row r="26" spans="1:2" x14ac:dyDescent="0.25">
      <c r="A26" s="57" t="s">
        <v>353</v>
      </c>
      <c r="B26" s="58">
        <v>12</v>
      </c>
    </row>
    <row r="27" spans="1:2" x14ac:dyDescent="0.25">
      <c r="A27" s="57" t="s">
        <v>485</v>
      </c>
      <c r="B27" s="58">
        <v>11</v>
      </c>
    </row>
    <row r="28" spans="1:2" x14ac:dyDescent="0.25">
      <c r="A28" s="57" t="s">
        <v>237</v>
      </c>
      <c r="B28" s="58">
        <v>11</v>
      </c>
    </row>
    <row r="29" spans="1:2" x14ac:dyDescent="0.25">
      <c r="A29" s="57" t="s">
        <v>456</v>
      </c>
      <c r="B29" s="58">
        <v>10</v>
      </c>
    </row>
    <row r="30" spans="1:2" x14ac:dyDescent="0.25">
      <c r="A30" s="57" t="s">
        <v>132</v>
      </c>
      <c r="B30" s="58">
        <v>9</v>
      </c>
    </row>
    <row r="31" spans="1:2" x14ac:dyDescent="0.25">
      <c r="A31" s="57" t="s">
        <v>207</v>
      </c>
      <c r="B31" s="58">
        <v>8</v>
      </c>
    </row>
    <row r="32" spans="1:2" x14ac:dyDescent="0.25">
      <c r="A32" s="57" t="s">
        <v>404</v>
      </c>
      <c r="B32" s="58">
        <v>7</v>
      </c>
    </row>
    <row r="33" spans="1:2" x14ac:dyDescent="0.25">
      <c r="A33" s="57" t="s">
        <v>189</v>
      </c>
      <c r="B33" s="58">
        <v>7</v>
      </c>
    </row>
    <row r="34" spans="1:2" x14ac:dyDescent="0.25">
      <c r="A34" s="57" t="s">
        <v>482</v>
      </c>
      <c r="B34" s="58">
        <v>6</v>
      </c>
    </row>
    <row r="35" spans="1:2" x14ac:dyDescent="0.25">
      <c r="A35" s="57" t="s">
        <v>453</v>
      </c>
      <c r="B35" s="58">
        <v>6</v>
      </c>
    </row>
    <row r="36" spans="1:2" x14ac:dyDescent="0.25">
      <c r="A36" s="57" t="s">
        <v>289</v>
      </c>
      <c r="B36" s="58">
        <v>6</v>
      </c>
    </row>
    <row r="37" spans="1:2" x14ac:dyDescent="0.25">
      <c r="A37" s="57" t="s">
        <v>114</v>
      </c>
      <c r="B37" s="58">
        <v>6</v>
      </c>
    </row>
    <row r="38" spans="1:2" x14ac:dyDescent="0.25">
      <c r="A38" s="57" t="s">
        <v>86</v>
      </c>
      <c r="B38" s="58">
        <v>5</v>
      </c>
    </row>
    <row r="39" spans="1:2" x14ac:dyDescent="0.25">
      <c r="A39" s="57" t="s">
        <v>401</v>
      </c>
      <c r="B39" s="58">
        <v>5</v>
      </c>
    </row>
    <row r="40" spans="1:2" x14ac:dyDescent="0.25">
      <c r="A40" s="57" t="s">
        <v>298</v>
      </c>
      <c r="B40" s="58">
        <v>5</v>
      </c>
    </row>
    <row r="41" spans="1:2" x14ac:dyDescent="0.25">
      <c r="A41" s="57" t="s">
        <v>45</v>
      </c>
      <c r="B41" s="58">
        <v>5</v>
      </c>
    </row>
    <row r="42" spans="1:2" x14ac:dyDescent="0.25">
      <c r="A42" s="57" t="s">
        <v>467</v>
      </c>
      <c r="B42" s="58">
        <v>4</v>
      </c>
    </row>
    <row r="43" spans="1:2" x14ac:dyDescent="0.25">
      <c r="A43" s="57" t="s">
        <v>381</v>
      </c>
      <c r="B43" s="58">
        <v>4</v>
      </c>
    </row>
    <row r="44" spans="1:2" x14ac:dyDescent="0.25">
      <c r="A44" s="57" t="s">
        <v>264</v>
      </c>
      <c r="B44" s="58">
        <v>3</v>
      </c>
    </row>
    <row r="45" spans="1:2" x14ac:dyDescent="0.25">
      <c r="A45" s="57" t="s">
        <v>224</v>
      </c>
      <c r="B45" s="58">
        <v>3</v>
      </c>
    </row>
    <row r="46" spans="1:2" x14ac:dyDescent="0.25">
      <c r="A46" s="57" t="s">
        <v>330</v>
      </c>
      <c r="B46" s="58">
        <v>3</v>
      </c>
    </row>
    <row r="47" spans="1:2" x14ac:dyDescent="0.25">
      <c r="A47" s="57" t="s">
        <v>434</v>
      </c>
      <c r="B47" s="58">
        <v>2</v>
      </c>
    </row>
    <row r="48" spans="1:2" x14ac:dyDescent="0.25">
      <c r="A48" s="57" t="s">
        <v>450</v>
      </c>
      <c r="B48" s="58">
        <v>2</v>
      </c>
    </row>
    <row r="49" spans="1:2" x14ac:dyDescent="0.25">
      <c r="A49" s="57" t="s">
        <v>204</v>
      </c>
      <c r="B49" s="58">
        <v>2</v>
      </c>
    </row>
    <row r="50" spans="1:2" x14ac:dyDescent="0.25">
      <c r="A50" s="57" t="s">
        <v>444</v>
      </c>
      <c r="B50" s="58">
        <v>1</v>
      </c>
    </row>
    <row r="51" spans="1:2" x14ac:dyDescent="0.25">
      <c r="A51" s="57" t="s">
        <v>170</v>
      </c>
      <c r="B51" s="58">
        <v>1</v>
      </c>
    </row>
    <row r="52" spans="1:2" x14ac:dyDescent="0.25">
      <c r="A52" s="57" t="s">
        <v>233</v>
      </c>
      <c r="B52" s="58">
        <v>1</v>
      </c>
    </row>
    <row r="53" spans="1:2" x14ac:dyDescent="0.25">
      <c r="A53" s="57" t="s">
        <v>394</v>
      </c>
      <c r="B53" s="58">
        <v>1</v>
      </c>
    </row>
    <row r="54" spans="1:2" x14ac:dyDescent="0.25">
      <c r="A54" s="57" t="s">
        <v>56</v>
      </c>
      <c r="B54" s="58">
        <v>1</v>
      </c>
    </row>
    <row r="55" spans="1:2" x14ac:dyDescent="0.25">
      <c r="A55" s="57" t="s">
        <v>493</v>
      </c>
      <c r="B55" s="58">
        <v>1</v>
      </c>
    </row>
    <row r="56" spans="1:2" x14ac:dyDescent="0.25">
      <c r="A56" s="57" t="s">
        <v>494</v>
      </c>
      <c r="B56" s="58">
        <v>1</v>
      </c>
    </row>
    <row r="57" spans="1:2" x14ac:dyDescent="0.25">
      <c r="A57" s="57" t="s">
        <v>495</v>
      </c>
      <c r="B57" s="58">
        <v>1</v>
      </c>
    </row>
    <row r="58" spans="1:2" x14ac:dyDescent="0.25">
      <c r="A58" s="57" t="s">
        <v>71</v>
      </c>
      <c r="B58" s="58">
        <v>1</v>
      </c>
    </row>
    <row r="59" spans="1:2" x14ac:dyDescent="0.25">
      <c r="A59" s="57" t="s">
        <v>96</v>
      </c>
      <c r="B59" s="58">
        <v>1</v>
      </c>
    </row>
    <row r="60" spans="1:2" x14ac:dyDescent="0.25">
      <c r="A60" s="57" t="s">
        <v>78</v>
      </c>
      <c r="B60" s="58">
        <v>1</v>
      </c>
    </row>
    <row r="61" spans="1:2" x14ac:dyDescent="0.25">
      <c r="A61" s="57" t="s">
        <v>368</v>
      </c>
      <c r="B61" s="58">
        <v>1</v>
      </c>
    </row>
    <row r="62" spans="1:2" x14ac:dyDescent="0.25">
      <c r="A62" s="57" t="s">
        <v>229</v>
      </c>
      <c r="B62" s="58">
        <v>1</v>
      </c>
    </row>
    <row r="63" spans="1:2" x14ac:dyDescent="0.25">
      <c r="A63" s="57" t="s">
        <v>371</v>
      </c>
      <c r="B63" s="58">
        <v>1</v>
      </c>
    </row>
    <row r="64" spans="1:2" x14ac:dyDescent="0.25">
      <c r="A64" s="57" t="s">
        <v>412</v>
      </c>
      <c r="B64" s="58">
        <v>1</v>
      </c>
    </row>
    <row r="65" spans="1:2" x14ac:dyDescent="0.25">
      <c r="A65" s="22" t="s">
        <v>496</v>
      </c>
      <c r="B65" s="22">
        <v>986</v>
      </c>
    </row>
    <row r="66" spans="1:2" x14ac:dyDescent="0.25">
      <c r="A66" s="56"/>
      <c r="B66" s="56"/>
    </row>
    <row r="67" spans="1:2" ht="15.75" thickBot="1" x14ac:dyDescent="0.3">
      <c r="A67" s="56"/>
      <c r="B67" s="56"/>
    </row>
    <row r="68" spans="1:2" ht="15.75" customHeight="1" thickBot="1" x14ac:dyDescent="0.3">
      <c r="A68" s="430" t="s">
        <v>497</v>
      </c>
      <c r="B68" s="431"/>
    </row>
    <row r="69" spans="1:2" x14ac:dyDescent="0.25">
      <c r="A69" s="21" t="s">
        <v>491</v>
      </c>
      <c r="B69" s="20" t="s">
        <v>492</v>
      </c>
    </row>
    <row r="70" spans="1:2" x14ac:dyDescent="0.25">
      <c r="A70" s="19" t="s">
        <v>342</v>
      </c>
      <c r="B70" s="19">
        <v>134</v>
      </c>
    </row>
    <row r="71" spans="1:2" x14ac:dyDescent="0.25">
      <c r="A71" s="19" t="s">
        <v>340</v>
      </c>
      <c r="B71" s="19">
        <v>104</v>
      </c>
    </row>
    <row r="72" spans="1:2" x14ac:dyDescent="0.25">
      <c r="A72" s="19" t="s">
        <v>108</v>
      </c>
      <c r="B72" s="19">
        <v>69</v>
      </c>
    </row>
    <row r="73" spans="1:2" x14ac:dyDescent="0.25">
      <c r="A73" s="19" t="s">
        <v>212</v>
      </c>
      <c r="B73" s="19">
        <v>44</v>
      </c>
    </row>
    <row r="74" spans="1:2" x14ac:dyDescent="0.25">
      <c r="A74" s="19" t="s">
        <v>129</v>
      </c>
      <c r="B74" s="19">
        <v>40</v>
      </c>
    </row>
    <row r="75" spans="1:2" x14ac:dyDescent="0.25">
      <c r="A75" s="19" t="s">
        <v>119</v>
      </c>
      <c r="B75" s="19">
        <v>35</v>
      </c>
    </row>
    <row r="76" spans="1:2" x14ac:dyDescent="0.25">
      <c r="A76" s="19" t="s">
        <v>201</v>
      </c>
      <c r="B76" s="19">
        <v>35</v>
      </c>
    </row>
    <row r="77" spans="1:2" x14ac:dyDescent="0.25">
      <c r="A77" s="19" t="s">
        <v>345</v>
      </c>
      <c r="B77" s="19">
        <v>27</v>
      </c>
    </row>
    <row r="78" spans="1:2" x14ac:dyDescent="0.25">
      <c r="A78" s="19" t="s">
        <v>407</v>
      </c>
      <c r="B78" s="19">
        <v>26</v>
      </c>
    </row>
    <row r="79" spans="1:2" x14ac:dyDescent="0.25">
      <c r="A79" s="19" t="s">
        <v>179</v>
      </c>
      <c r="B79" s="19">
        <v>23</v>
      </c>
    </row>
    <row r="80" spans="1:2" x14ac:dyDescent="0.25">
      <c r="A80" s="19" t="s">
        <v>390</v>
      </c>
      <c r="B80" s="19">
        <v>18</v>
      </c>
    </row>
    <row r="81" spans="1:2" x14ac:dyDescent="0.25">
      <c r="A81" s="19" t="s">
        <v>221</v>
      </c>
      <c r="B81" s="19">
        <v>18</v>
      </c>
    </row>
    <row r="82" spans="1:2" x14ac:dyDescent="0.25">
      <c r="A82" s="19" t="s">
        <v>91</v>
      </c>
      <c r="B82" s="19">
        <v>17</v>
      </c>
    </row>
    <row r="83" spans="1:2" x14ac:dyDescent="0.25">
      <c r="A83" s="19" t="s">
        <v>306</v>
      </c>
      <c r="B83" s="19">
        <v>17</v>
      </c>
    </row>
    <row r="84" spans="1:2" x14ac:dyDescent="0.25">
      <c r="A84" s="19" t="s">
        <v>447</v>
      </c>
      <c r="B84" s="19">
        <v>15</v>
      </c>
    </row>
    <row r="85" spans="1:2" x14ac:dyDescent="0.25">
      <c r="A85" s="19" t="s">
        <v>271</v>
      </c>
      <c r="B85" s="19">
        <v>15</v>
      </c>
    </row>
    <row r="86" spans="1:2" x14ac:dyDescent="0.25">
      <c r="A86" s="19" t="s">
        <v>124</v>
      </c>
      <c r="B86" s="19">
        <v>13</v>
      </c>
    </row>
    <row r="87" spans="1:2" x14ac:dyDescent="0.25">
      <c r="A87" s="19" t="s">
        <v>189</v>
      </c>
      <c r="B87" s="19">
        <v>12</v>
      </c>
    </row>
    <row r="88" spans="1:2" x14ac:dyDescent="0.25">
      <c r="A88" s="19" t="s">
        <v>255</v>
      </c>
      <c r="B88" s="19">
        <v>12</v>
      </c>
    </row>
    <row r="89" spans="1:2" x14ac:dyDescent="0.25">
      <c r="A89" s="19" t="s">
        <v>223</v>
      </c>
      <c r="B89" s="19">
        <v>12</v>
      </c>
    </row>
    <row r="90" spans="1:2" x14ac:dyDescent="0.25">
      <c r="A90" s="19" t="s">
        <v>227</v>
      </c>
      <c r="B90" s="19">
        <v>12</v>
      </c>
    </row>
    <row r="91" spans="1:2" x14ac:dyDescent="0.25">
      <c r="A91" s="19" t="s">
        <v>353</v>
      </c>
      <c r="B91" s="19">
        <v>11</v>
      </c>
    </row>
    <row r="92" spans="1:2" x14ac:dyDescent="0.25">
      <c r="A92" s="19" t="s">
        <v>237</v>
      </c>
      <c r="B92" s="19">
        <v>9</v>
      </c>
    </row>
    <row r="93" spans="1:2" x14ac:dyDescent="0.25">
      <c r="A93" s="19" t="s">
        <v>482</v>
      </c>
      <c r="B93" s="19">
        <v>9</v>
      </c>
    </row>
    <row r="94" spans="1:2" x14ac:dyDescent="0.25">
      <c r="A94" s="19" t="s">
        <v>114</v>
      </c>
      <c r="B94" s="19">
        <v>8</v>
      </c>
    </row>
    <row r="95" spans="1:2" x14ac:dyDescent="0.25">
      <c r="A95" s="19" t="s">
        <v>207</v>
      </c>
      <c r="B95" s="19">
        <v>7</v>
      </c>
    </row>
    <row r="96" spans="1:2" x14ac:dyDescent="0.25">
      <c r="A96" s="19" t="s">
        <v>453</v>
      </c>
      <c r="B96" s="19">
        <v>6</v>
      </c>
    </row>
    <row r="97" spans="1:2" x14ac:dyDescent="0.25">
      <c r="A97" s="19" t="s">
        <v>467</v>
      </c>
      <c r="B97" s="19">
        <v>6</v>
      </c>
    </row>
    <row r="98" spans="1:2" x14ac:dyDescent="0.25">
      <c r="A98" s="19" t="s">
        <v>485</v>
      </c>
      <c r="B98" s="19">
        <v>6</v>
      </c>
    </row>
    <row r="99" spans="1:2" x14ac:dyDescent="0.25">
      <c r="A99" s="19" t="s">
        <v>132</v>
      </c>
      <c r="B99" s="19">
        <v>5</v>
      </c>
    </row>
    <row r="100" spans="1:2" x14ac:dyDescent="0.25">
      <c r="A100" s="19" t="s">
        <v>381</v>
      </c>
      <c r="B100" s="19">
        <v>4</v>
      </c>
    </row>
    <row r="101" spans="1:2" x14ac:dyDescent="0.25">
      <c r="A101" s="19" t="s">
        <v>264</v>
      </c>
      <c r="B101" s="19">
        <v>4</v>
      </c>
    </row>
    <row r="102" spans="1:2" x14ac:dyDescent="0.25">
      <c r="A102" s="19" t="s">
        <v>86</v>
      </c>
      <c r="B102" s="19">
        <v>4</v>
      </c>
    </row>
    <row r="103" spans="1:2" x14ac:dyDescent="0.25">
      <c r="A103" s="19" t="s">
        <v>78</v>
      </c>
      <c r="B103" s="19">
        <v>3</v>
      </c>
    </row>
    <row r="104" spans="1:2" x14ac:dyDescent="0.25">
      <c r="A104" s="19" t="s">
        <v>224</v>
      </c>
      <c r="B104" s="19">
        <v>3</v>
      </c>
    </row>
    <row r="105" spans="1:2" x14ac:dyDescent="0.25">
      <c r="A105" s="19" t="s">
        <v>404</v>
      </c>
      <c r="B105" s="19">
        <v>2</v>
      </c>
    </row>
    <row r="106" spans="1:2" x14ac:dyDescent="0.25">
      <c r="A106" s="19" t="s">
        <v>456</v>
      </c>
      <c r="B106" s="19">
        <v>2</v>
      </c>
    </row>
    <row r="107" spans="1:2" x14ac:dyDescent="0.25">
      <c r="A107" s="19" t="s">
        <v>434</v>
      </c>
      <c r="B107" s="19">
        <v>2</v>
      </c>
    </row>
    <row r="108" spans="1:2" x14ac:dyDescent="0.25">
      <c r="A108" s="19" t="s">
        <v>71</v>
      </c>
      <c r="B108" s="19">
        <v>2</v>
      </c>
    </row>
    <row r="109" spans="1:2" x14ac:dyDescent="0.25">
      <c r="A109" s="19" t="s">
        <v>330</v>
      </c>
      <c r="B109" s="19">
        <v>2</v>
      </c>
    </row>
    <row r="110" spans="1:2" x14ac:dyDescent="0.25">
      <c r="A110" s="19" t="s">
        <v>289</v>
      </c>
      <c r="B110" s="19">
        <v>2</v>
      </c>
    </row>
    <row r="111" spans="1:2" x14ac:dyDescent="0.25">
      <c r="A111" s="19" t="s">
        <v>96</v>
      </c>
      <c r="B111" s="19">
        <v>2</v>
      </c>
    </row>
    <row r="112" spans="1:2" x14ac:dyDescent="0.25">
      <c r="A112" s="19" t="s">
        <v>368</v>
      </c>
      <c r="B112" s="19">
        <v>2</v>
      </c>
    </row>
    <row r="113" spans="1:2" x14ac:dyDescent="0.25">
      <c r="A113" s="19" t="s">
        <v>450</v>
      </c>
      <c r="B113" s="19">
        <v>2</v>
      </c>
    </row>
    <row r="114" spans="1:2" x14ac:dyDescent="0.25">
      <c r="A114" s="19" t="s">
        <v>298</v>
      </c>
      <c r="B114" s="19">
        <v>2</v>
      </c>
    </row>
    <row r="115" spans="1:2" x14ac:dyDescent="0.25">
      <c r="A115" s="19" t="s">
        <v>384</v>
      </c>
      <c r="B115" s="19">
        <v>2</v>
      </c>
    </row>
    <row r="116" spans="1:2" x14ac:dyDescent="0.25">
      <c r="A116" s="19" t="s">
        <v>480</v>
      </c>
      <c r="B116" s="19">
        <v>2</v>
      </c>
    </row>
    <row r="117" spans="1:2" x14ac:dyDescent="0.25">
      <c r="A117" s="19" t="s">
        <v>204</v>
      </c>
      <c r="B117" s="19">
        <v>1</v>
      </c>
    </row>
    <row r="118" spans="1:2" x14ac:dyDescent="0.25">
      <c r="A118" s="19" t="s">
        <v>495</v>
      </c>
      <c r="B118" s="19">
        <v>1</v>
      </c>
    </row>
    <row r="119" spans="1:2" x14ac:dyDescent="0.25">
      <c r="A119" s="19" t="s">
        <v>233</v>
      </c>
      <c r="B119" s="19">
        <v>1</v>
      </c>
    </row>
    <row r="120" spans="1:2" x14ac:dyDescent="0.25">
      <c r="A120" s="19" t="s">
        <v>136</v>
      </c>
      <c r="B120" s="19">
        <v>1</v>
      </c>
    </row>
    <row r="121" spans="1:2" x14ac:dyDescent="0.25">
      <c r="A121" s="19" t="s">
        <v>155</v>
      </c>
      <c r="B121" s="19">
        <v>1</v>
      </c>
    </row>
    <row r="122" spans="1:2" x14ac:dyDescent="0.25">
      <c r="A122" s="19" t="s">
        <v>444</v>
      </c>
      <c r="B122" s="19">
        <v>1</v>
      </c>
    </row>
    <row r="123" spans="1:2" x14ac:dyDescent="0.25">
      <c r="A123" s="19" t="s">
        <v>493</v>
      </c>
      <c r="B123" s="19">
        <v>1</v>
      </c>
    </row>
    <row r="124" spans="1:2" x14ac:dyDescent="0.25">
      <c r="A124" s="19" t="s">
        <v>170</v>
      </c>
      <c r="B124" s="19">
        <v>1</v>
      </c>
    </row>
    <row r="125" spans="1:2" x14ac:dyDescent="0.25">
      <c r="A125" s="19" t="s">
        <v>337</v>
      </c>
      <c r="B125" s="19">
        <v>1</v>
      </c>
    </row>
    <row r="126" spans="1:2" x14ac:dyDescent="0.25">
      <c r="A126" s="19" t="s">
        <v>401</v>
      </c>
      <c r="B126" s="19">
        <v>1</v>
      </c>
    </row>
    <row r="127" spans="1:2" x14ac:dyDescent="0.25">
      <c r="A127" s="19" t="s">
        <v>494</v>
      </c>
      <c r="B127" s="19">
        <v>1</v>
      </c>
    </row>
    <row r="128" spans="1:2" x14ac:dyDescent="0.25">
      <c r="A128" s="22" t="s">
        <v>496</v>
      </c>
      <c r="B128" s="22">
        <v>818</v>
      </c>
    </row>
    <row r="129" spans="1:2" x14ac:dyDescent="0.25">
      <c r="A129" s="56"/>
      <c r="B129" s="56"/>
    </row>
    <row r="130" spans="1:2" ht="15.75" thickBot="1" x14ac:dyDescent="0.3">
      <c r="A130" s="56"/>
      <c r="B130" s="56"/>
    </row>
    <row r="131" spans="1:2" ht="15.95" customHeight="1" thickBot="1" x14ac:dyDescent="0.3">
      <c r="A131" s="430" t="s">
        <v>498</v>
      </c>
      <c r="B131" s="431"/>
    </row>
    <row r="132" spans="1:2" x14ac:dyDescent="0.25">
      <c r="A132" s="21" t="s">
        <v>491</v>
      </c>
      <c r="B132" s="20" t="s">
        <v>492</v>
      </c>
    </row>
    <row r="133" spans="1:2" x14ac:dyDescent="0.25">
      <c r="A133" s="19" t="s">
        <v>342</v>
      </c>
      <c r="B133" s="19">
        <v>121</v>
      </c>
    </row>
    <row r="134" spans="1:2" x14ac:dyDescent="0.25">
      <c r="A134" s="19" t="s">
        <v>340</v>
      </c>
      <c r="B134" s="19">
        <v>88</v>
      </c>
    </row>
    <row r="135" spans="1:2" x14ac:dyDescent="0.25">
      <c r="A135" s="19" t="s">
        <v>108</v>
      </c>
      <c r="B135" s="19">
        <v>36</v>
      </c>
    </row>
    <row r="136" spans="1:2" x14ac:dyDescent="0.25">
      <c r="A136" s="19" t="s">
        <v>119</v>
      </c>
      <c r="B136" s="19">
        <v>33</v>
      </c>
    </row>
    <row r="137" spans="1:2" x14ac:dyDescent="0.25">
      <c r="A137" s="19" t="s">
        <v>212</v>
      </c>
      <c r="B137" s="19">
        <v>18</v>
      </c>
    </row>
    <row r="138" spans="1:2" x14ac:dyDescent="0.25">
      <c r="A138" s="19" t="s">
        <v>201</v>
      </c>
      <c r="B138" s="19">
        <v>18</v>
      </c>
    </row>
    <row r="139" spans="1:2" x14ac:dyDescent="0.25">
      <c r="A139" s="19" t="s">
        <v>306</v>
      </c>
      <c r="B139" s="19">
        <v>17</v>
      </c>
    </row>
    <row r="140" spans="1:2" x14ac:dyDescent="0.25">
      <c r="A140" s="19" t="s">
        <v>221</v>
      </c>
      <c r="B140" s="19">
        <v>17</v>
      </c>
    </row>
    <row r="141" spans="1:2" x14ac:dyDescent="0.25">
      <c r="A141" s="19" t="s">
        <v>129</v>
      </c>
      <c r="B141" s="19">
        <v>16</v>
      </c>
    </row>
    <row r="142" spans="1:2" x14ac:dyDescent="0.25">
      <c r="A142" s="19" t="s">
        <v>179</v>
      </c>
      <c r="B142" s="19">
        <v>15</v>
      </c>
    </row>
    <row r="143" spans="1:2" x14ac:dyDescent="0.25">
      <c r="A143" s="19" t="s">
        <v>227</v>
      </c>
      <c r="B143" s="19">
        <v>12</v>
      </c>
    </row>
    <row r="144" spans="1:2" x14ac:dyDescent="0.25">
      <c r="A144" s="19" t="s">
        <v>447</v>
      </c>
      <c r="B144" s="19">
        <v>11</v>
      </c>
    </row>
    <row r="145" spans="1:2" x14ac:dyDescent="0.25">
      <c r="A145" s="19" t="s">
        <v>407</v>
      </c>
      <c r="B145" s="19">
        <v>11</v>
      </c>
    </row>
    <row r="146" spans="1:2" x14ac:dyDescent="0.25">
      <c r="A146" s="19" t="s">
        <v>353</v>
      </c>
      <c r="B146" s="19">
        <v>11</v>
      </c>
    </row>
    <row r="147" spans="1:2" x14ac:dyDescent="0.25">
      <c r="A147" s="19" t="s">
        <v>482</v>
      </c>
      <c r="B147" s="19">
        <v>11</v>
      </c>
    </row>
    <row r="148" spans="1:2" x14ac:dyDescent="0.25">
      <c r="A148" s="19" t="s">
        <v>271</v>
      </c>
      <c r="B148" s="19">
        <v>11</v>
      </c>
    </row>
    <row r="149" spans="1:2" x14ac:dyDescent="0.25">
      <c r="A149" s="19" t="s">
        <v>381</v>
      </c>
      <c r="B149" s="19">
        <v>9</v>
      </c>
    </row>
    <row r="150" spans="1:2" x14ac:dyDescent="0.25">
      <c r="A150" s="19" t="s">
        <v>237</v>
      </c>
      <c r="B150" s="19">
        <v>9</v>
      </c>
    </row>
    <row r="151" spans="1:2" x14ac:dyDescent="0.25">
      <c r="A151" s="19" t="s">
        <v>345</v>
      </c>
      <c r="B151" s="19">
        <v>9</v>
      </c>
    </row>
    <row r="152" spans="1:2" x14ac:dyDescent="0.25">
      <c r="A152" s="19" t="s">
        <v>189</v>
      </c>
      <c r="B152" s="19">
        <v>9</v>
      </c>
    </row>
    <row r="153" spans="1:2" x14ac:dyDescent="0.25">
      <c r="A153" s="19" t="s">
        <v>91</v>
      </c>
      <c r="B153" s="19">
        <v>7</v>
      </c>
    </row>
    <row r="154" spans="1:2" x14ac:dyDescent="0.25">
      <c r="A154" s="19" t="s">
        <v>124</v>
      </c>
      <c r="B154" s="19">
        <v>7</v>
      </c>
    </row>
    <row r="155" spans="1:2" x14ac:dyDescent="0.25">
      <c r="A155" s="19" t="s">
        <v>467</v>
      </c>
      <c r="B155" s="19">
        <v>7</v>
      </c>
    </row>
    <row r="156" spans="1:2" x14ac:dyDescent="0.25">
      <c r="A156" s="19" t="s">
        <v>368</v>
      </c>
      <c r="B156" s="19">
        <v>4</v>
      </c>
    </row>
    <row r="157" spans="1:2" x14ac:dyDescent="0.25">
      <c r="A157" s="19" t="s">
        <v>384</v>
      </c>
      <c r="B157" s="19">
        <v>4</v>
      </c>
    </row>
    <row r="158" spans="1:2" x14ac:dyDescent="0.25">
      <c r="A158" s="19" t="s">
        <v>224</v>
      </c>
      <c r="B158" s="19">
        <v>3</v>
      </c>
    </row>
    <row r="159" spans="1:2" x14ac:dyDescent="0.25">
      <c r="A159" s="19" t="s">
        <v>155</v>
      </c>
      <c r="B159" s="19">
        <v>3</v>
      </c>
    </row>
    <row r="160" spans="1:2" x14ac:dyDescent="0.25">
      <c r="A160" s="19" t="s">
        <v>255</v>
      </c>
      <c r="B160" s="19">
        <v>3</v>
      </c>
    </row>
    <row r="161" spans="1:2" x14ac:dyDescent="0.25">
      <c r="A161" s="19" t="s">
        <v>86</v>
      </c>
      <c r="B161" s="19">
        <v>3</v>
      </c>
    </row>
    <row r="162" spans="1:2" x14ac:dyDescent="0.25">
      <c r="A162" s="19" t="s">
        <v>330</v>
      </c>
      <c r="B162" s="19">
        <v>3</v>
      </c>
    </row>
    <row r="163" spans="1:2" x14ac:dyDescent="0.25">
      <c r="A163" s="19" t="s">
        <v>96</v>
      </c>
      <c r="B163" s="19">
        <v>3</v>
      </c>
    </row>
    <row r="164" spans="1:2" x14ac:dyDescent="0.25">
      <c r="A164" s="19" t="s">
        <v>71</v>
      </c>
      <c r="B164" s="19">
        <v>2</v>
      </c>
    </row>
    <row r="165" spans="1:2" x14ac:dyDescent="0.25">
      <c r="A165" s="19" t="s">
        <v>132</v>
      </c>
      <c r="B165" s="19">
        <v>2</v>
      </c>
    </row>
    <row r="166" spans="1:2" x14ac:dyDescent="0.25">
      <c r="A166" s="19" t="s">
        <v>495</v>
      </c>
      <c r="B166" s="19">
        <v>2</v>
      </c>
    </row>
    <row r="167" spans="1:2" x14ac:dyDescent="0.25">
      <c r="A167" s="19" t="s">
        <v>264</v>
      </c>
      <c r="B167" s="19">
        <v>2</v>
      </c>
    </row>
    <row r="168" spans="1:2" x14ac:dyDescent="0.25">
      <c r="A168" s="19" t="s">
        <v>434</v>
      </c>
      <c r="B168" s="19">
        <v>1</v>
      </c>
    </row>
    <row r="169" spans="1:2" x14ac:dyDescent="0.25">
      <c r="A169" s="19" t="s">
        <v>499</v>
      </c>
      <c r="B169" s="19">
        <v>1</v>
      </c>
    </row>
    <row r="170" spans="1:2" x14ac:dyDescent="0.25">
      <c r="A170" s="19" t="s">
        <v>204</v>
      </c>
      <c r="B170" s="19">
        <v>1</v>
      </c>
    </row>
    <row r="171" spans="1:2" x14ac:dyDescent="0.25">
      <c r="A171" s="19" t="s">
        <v>191</v>
      </c>
      <c r="B171" s="19">
        <v>1</v>
      </c>
    </row>
    <row r="172" spans="1:2" x14ac:dyDescent="0.25">
      <c r="A172" s="19" t="s">
        <v>233</v>
      </c>
      <c r="B172" s="19">
        <v>1</v>
      </c>
    </row>
    <row r="173" spans="1:2" x14ac:dyDescent="0.25">
      <c r="A173" s="19" t="s">
        <v>494</v>
      </c>
      <c r="B173" s="19">
        <v>1</v>
      </c>
    </row>
    <row r="174" spans="1:2" x14ac:dyDescent="0.25">
      <c r="A174" s="19" t="s">
        <v>444</v>
      </c>
      <c r="B174" s="19">
        <v>1</v>
      </c>
    </row>
    <row r="175" spans="1:2" x14ac:dyDescent="0.25">
      <c r="A175" s="19" t="s">
        <v>401</v>
      </c>
      <c r="B175" s="19">
        <v>1</v>
      </c>
    </row>
    <row r="176" spans="1:2" x14ac:dyDescent="0.25">
      <c r="A176" s="19" t="s">
        <v>456</v>
      </c>
      <c r="B176" s="19">
        <v>1</v>
      </c>
    </row>
    <row r="177" spans="1:2" x14ac:dyDescent="0.25">
      <c r="A177" s="19" t="s">
        <v>404</v>
      </c>
      <c r="B177" s="19">
        <v>1</v>
      </c>
    </row>
    <row r="178" spans="1:2" x14ac:dyDescent="0.25">
      <c r="A178" s="19" t="s">
        <v>298</v>
      </c>
      <c r="B178" s="19">
        <v>1</v>
      </c>
    </row>
    <row r="179" spans="1:2" x14ac:dyDescent="0.25">
      <c r="A179" s="19" t="s">
        <v>151</v>
      </c>
      <c r="B179" s="19">
        <v>1</v>
      </c>
    </row>
    <row r="180" spans="1:2" x14ac:dyDescent="0.25">
      <c r="A180" s="19" t="s">
        <v>170</v>
      </c>
      <c r="B180" s="19">
        <v>1</v>
      </c>
    </row>
    <row r="181" spans="1:2" x14ac:dyDescent="0.25">
      <c r="A181" s="19" t="s">
        <v>410</v>
      </c>
      <c r="B181" s="19">
        <v>1</v>
      </c>
    </row>
    <row r="182" spans="1:2" x14ac:dyDescent="0.25">
      <c r="A182" s="22" t="s">
        <v>496</v>
      </c>
      <c r="B182" s="22">
        <v>551</v>
      </c>
    </row>
    <row r="183" spans="1:2" x14ac:dyDescent="0.25">
      <c r="A183" s="56"/>
      <c r="B183" s="56"/>
    </row>
    <row r="184" spans="1:2" ht="15.75" thickBot="1" x14ac:dyDescent="0.3"/>
    <row r="185" spans="1:2" ht="15.6" customHeight="1" x14ac:dyDescent="0.25">
      <c r="A185" s="430" t="s">
        <v>500</v>
      </c>
      <c r="B185" s="431"/>
    </row>
    <row r="186" spans="1:2" x14ac:dyDescent="0.25">
      <c r="A186" s="21" t="s">
        <v>491</v>
      </c>
      <c r="B186" s="20" t="s">
        <v>492</v>
      </c>
    </row>
    <row r="187" spans="1:2" x14ac:dyDescent="0.25">
      <c r="A187" s="19" t="s">
        <v>342</v>
      </c>
      <c r="B187" s="19">
        <v>134</v>
      </c>
    </row>
    <row r="188" spans="1:2" x14ac:dyDescent="0.25">
      <c r="A188" s="19" t="s">
        <v>340</v>
      </c>
      <c r="B188" s="19">
        <v>83</v>
      </c>
    </row>
    <row r="189" spans="1:2" x14ac:dyDescent="0.25">
      <c r="A189" s="19" t="s">
        <v>119</v>
      </c>
      <c r="B189" s="19">
        <v>40</v>
      </c>
    </row>
    <row r="190" spans="1:2" x14ac:dyDescent="0.25">
      <c r="A190" s="19" t="s">
        <v>108</v>
      </c>
      <c r="B190" s="19">
        <v>32</v>
      </c>
    </row>
    <row r="191" spans="1:2" x14ac:dyDescent="0.25">
      <c r="A191" s="19" t="s">
        <v>129</v>
      </c>
      <c r="B191" s="19">
        <v>29</v>
      </c>
    </row>
    <row r="192" spans="1:2" x14ac:dyDescent="0.25">
      <c r="A192" s="19" t="s">
        <v>212</v>
      </c>
      <c r="B192" s="19">
        <v>21</v>
      </c>
    </row>
    <row r="193" spans="1:2" x14ac:dyDescent="0.25">
      <c r="A193" s="19" t="s">
        <v>306</v>
      </c>
      <c r="B193" s="19">
        <v>15</v>
      </c>
    </row>
    <row r="194" spans="1:2" x14ac:dyDescent="0.25">
      <c r="A194" s="19" t="s">
        <v>407</v>
      </c>
      <c r="B194" s="19">
        <v>14</v>
      </c>
    </row>
    <row r="195" spans="1:2" x14ac:dyDescent="0.25">
      <c r="A195" s="19" t="s">
        <v>271</v>
      </c>
      <c r="B195" s="19">
        <v>14</v>
      </c>
    </row>
    <row r="196" spans="1:2" x14ac:dyDescent="0.25">
      <c r="A196" s="19" t="s">
        <v>179</v>
      </c>
      <c r="B196" s="19">
        <v>13</v>
      </c>
    </row>
    <row r="197" spans="1:2" x14ac:dyDescent="0.25">
      <c r="A197" s="19" t="s">
        <v>501</v>
      </c>
      <c r="B197" s="19">
        <v>12</v>
      </c>
    </row>
    <row r="198" spans="1:2" x14ac:dyDescent="0.25">
      <c r="A198" s="19" t="s">
        <v>201</v>
      </c>
      <c r="B198" s="19">
        <v>12</v>
      </c>
    </row>
    <row r="199" spans="1:2" x14ac:dyDescent="0.25">
      <c r="A199" s="19" t="s">
        <v>227</v>
      </c>
      <c r="B199" s="19">
        <v>11</v>
      </c>
    </row>
    <row r="200" spans="1:2" x14ac:dyDescent="0.25">
      <c r="A200" s="19" t="s">
        <v>345</v>
      </c>
      <c r="B200" s="19">
        <v>10</v>
      </c>
    </row>
    <row r="201" spans="1:2" x14ac:dyDescent="0.25">
      <c r="A201" s="19" t="s">
        <v>381</v>
      </c>
      <c r="B201" s="19">
        <v>9</v>
      </c>
    </row>
    <row r="202" spans="1:2" x14ac:dyDescent="0.25">
      <c r="A202" s="19" t="s">
        <v>447</v>
      </c>
      <c r="B202" s="19">
        <v>9</v>
      </c>
    </row>
    <row r="203" spans="1:2" x14ac:dyDescent="0.25">
      <c r="A203" s="19" t="s">
        <v>453</v>
      </c>
      <c r="B203" s="19">
        <v>9</v>
      </c>
    </row>
    <row r="204" spans="1:2" x14ac:dyDescent="0.25">
      <c r="A204" s="19" t="s">
        <v>237</v>
      </c>
      <c r="B204" s="19">
        <v>9</v>
      </c>
    </row>
    <row r="205" spans="1:2" x14ac:dyDescent="0.25">
      <c r="A205" s="19" t="s">
        <v>91</v>
      </c>
      <c r="B205" s="19">
        <v>8</v>
      </c>
    </row>
    <row r="206" spans="1:2" x14ac:dyDescent="0.25">
      <c r="A206" s="19" t="s">
        <v>124</v>
      </c>
      <c r="B206" s="19">
        <v>8</v>
      </c>
    </row>
    <row r="207" spans="1:2" x14ac:dyDescent="0.25">
      <c r="A207" s="19" t="s">
        <v>146</v>
      </c>
      <c r="B207" s="19">
        <v>7</v>
      </c>
    </row>
    <row r="208" spans="1:2" x14ac:dyDescent="0.25">
      <c r="A208" s="19" t="s">
        <v>189</v>
      </c>
      <c r="B208" s="19">
        <v>7</v>
      </c>
    </row>
    <row r="209" spans="1:2" x14ac:dyDescent="0.25">
      <c r="A209" s="19" t="s">
        <v>482</v>
      </c>
      <c r="B209" s="19">
        <v>7</v>
      </c>
    </row>
    <row r="210" spans="1:2" x14ac:dyDescent="0.25">
      <c r="A210" s="19" t="s">
        <v>404</v>
      </c>
      <c r="B210" s="19">
        <v>6</v>
      </c>
    </row>
    <row r="211" spans="1:2" x14ac:dyDescent="0.25">
      <c r="A211" s="19" t="s">
        <v>221</v>
      </c>
      <c r="B211" s="19">
        <v>6</v>
      </c>
    </row>
    <row r="212" spans="1:2" x14ac:dyDescent="0.25">
      <c r="A212" s="19" t="s">
        <v>224</v>
      </c>
      <c r="B212" s="19">
        <v>5</v>
      </c>
    </row>
    <row r="213" spans="1:2" x14ac:dyDescent="0.25">
      <c r="A213" s="19" t="s">
        <v>368</v>
      </c>
      <c r="B213" s="19">
        <v>5</v>
      </c>
    </row>
    <row r="214" spans="1:2" x14ac:dyDescent="0.25">
      <c r="A214" s="19" t="s">
        <v>467</v>
      </c>
      <c r="B214" s="19">
        <v>3</v>
      </c>
    </row>
    <row r="215" spans="1:2" x14ac:dyDescent="0.25">
      <c r="A215" s="19" t="s">
        <v>255</v>
      </c>
      <c r="B215" s="19">
        <v>3</v>
      </c>
    </row>
    <row r="216" spans="1:2" x14ac:dyDescent="0.25">
      <c r="A216" s="19" t="s">
        <v>96</v>
      </c>
      <c r="B216" s="19">
        <v>3</v>
      </c>
    </row>
    <row r="217" spans="1:2" x14ac:dyDescent="0.25">
      <c r="A217" s="19" t="s">
        <v>86</v>
      </c>
      <c r="B217" s="19">
        <v>3</v>
      </c>
    </row>
    <row r="218" spans="1:2" x14ac:dyDescent="0.25">
      <c r="A218" s="19" t="s">
        <v>384</v>
      </c>
      <c r="B218" s="19">
        <v>3</v>
      </c>
    </row>
    <row r="219" spans="1:2" x14ac:dyDescent="0.25">
      <c r="A219" s="19" t="s">
        <v>502</v>
      </c>
      <c r="B219" s="19">
        <v>3</v>
      </c>
    </row>
    <row r="220" spans="1:2" x14ac:dyDescent="0.25">
      <c r="A220" s="19" t="s">
        <v>71</v>
      </c>
      <c r="B220" s="19">
        <v>2</v>
      </c>
    </row>
    <row r="221" spans="1:2" x14ac:dyDescent="0.25">
      <c r="A221" s="19" t="s">
        <v>223</v>
      </c>
      <c r="B221" s="19">
        <v>2</v>
      </c>
    </row>
    <row r="222" spans="1:2" x14ac:dyDescent="0.25">
      <c r="A222" s="19" t="s">
        <v>132</v>
      </c>
      <c r="B222" s="19">
        <v>2</v>
      </c>
    </row>
    <row r="223" spans="1:2" x14ac:dyDescent="0.25">
      <c r="A223" s="19" t="s">
        <v>434</v>
      </c>
      <c r="B223" s="19">
        <v>2</v>
      </c>
    </row>
    <row r="224" spans="1:2" x14ac:dyDescent="0.25">
      <c r="A224" s="19" t="s">
        <v>495</v>
      </c>
      <c r="B224" s="19">
        <v>2</v>
      </c>
    </row>
    <row r="225" spans="1:2" x14ac:dyDescent="0.25">
      <c r="A225" s="19" t="s">
        <v>264</v>
      </c>
      <c r="B225" s="19">
        <v>2</v>
      </c>
    </row>
    <row r="226" spans="1:2" x14ac:dyDescent="0.25">
      <c r="A226" s="19" t="s">
        <v>456</v>
      </c>
      <c r="B226" s="19">
        <v>1</v>
      </c>
    </row>
    <row r="227" spans="1:2" x14ac:dyDescent="0.25">
      <c r="A227" s="19" t="s">
        <v>151</v>
      </c>
      <c r="B227" s="19">
        <v>1</v>
      </c>
    </row>
    <row r="228" spans="1:2" x14ac:dyDescent="0.25">
      <c r="A228" s="19" t="s">
        <v>494</v>
      </c>
      <c r="B228" s="19">
        <v>1</v>
      </c>
    </row>
    <row r="229" spans="1:2" x14ac:dyDescent="0.25">
      <c r="A229" s="19" t="s">
        <v>155</v>
      </c>
      <c r="B229" s="19">
        <v>1</v>
      </c>
    </row>
    <row r="230" spans="1:2" x14ac:dyDescent="0.25">
      <c r="A230" s="19" t="s">
        <v>330</v>
      </c>
      <c r="B230" s="19">
        <v>1</v>
      </c>
    </row>
    <row r="231" spans="1:2" x14ac:dyDescent="0.25">
      <c r="A231" s="19" t="s">
        <v>410</v>
      </c>
      <c r="B231" s="19">
        <v>1</v>
      </c>
    </row>
    <row r="232" spans="1:2" x14ac:dyDescent="0.25">
      <c r="A232" s="19" t="s">
        <v>499</v>
      </c>
      <c r="B232" s="19">
        <v>1</v>
      </c>
    </row>
    <row r="233" spans="1:2" x14ac:dyDescent="0.25">
      <c r="A233" s="19" t="s">
        <v>309</v>
      </c>
      <c r="B233" s="19">
        <v>1</v>
      </c>
    </row>
    <row r="234" spans="1:2" x14ac:dyDescent="0.25">
      <c r="A234" s="19" t="s">
        <v>170</v>
      </c>
      <c r="B234" s="19">
        <v>1</v>
      </c>
    </row>
    <row r="235" spans="1:2" x14ac:dyDescent="0.25">
      <c r="A235" s="19" t="s">
        <v>444</v>
      </c>
      <c r="B235" s="19">
        <v>1</v>
      </c>
    </row>
    <row r="236" spans="1:2" x14ac:dyDescent="0.25">
      <c r="A236" s="19" t="s">
        <v>191</v>
      </c>
      <c r="B236" s="19">
        <v>1</v>
      </c>
    </row>
    <row r="237" spans="1:2" x14ac:dyDescent="0.25">
      <c r="A237" s="22" t="s">
        <v>496</v>
      </c>
      <c r="B237" s="22">
        <v>576</v>
      </c>
    </row>
    <row r="238" spans="1:2" x14ac:dyDescent="0.25">
      <c r="A238" s="56"/>
      <c r="B238" s="56"/>
    </row>
    <row r="240" spans="1:2" ht="16.5" customHeight="1" thickBot="1" x14ac:dyDescent="0.3">
      <c r="A240" s="430" t="s">
        <v>503</v>
      </c>
      <c r="B240" s="431"/>
    </row>
    <row r="241" spans="1:2" x14ac:dyDescent="0.25">
      <c r="A241" s="21" t="s">
        <v>491</v>
      </c>
      <c r="B241" s="20" t="s">
        <v>492</v>
      </c>
    </row>
    <row r="242" spans="1:2" x14ac:dyDescent="0.25">
      <c r="A242" s="19" t="s">
        <v>342</v>
      </c>
      <c r="B242" s="19">
        <v>140</v>
      </c>
    </row>
    <row r="243" spans="1:2" x14ac:dyDescent="0.25">
      <c r="A243" s="19" t="s">
        <v>340</v>
      </c>
      <c r="B243" s="19">
        <v>100</v>
      </c>
    </row>
    <row r="244" spans="1:2" x14ac:dyDescent="0.25">
      <c r="A244" s="19" t="s">
        <v>119</v>
      </c>
      <c r="B244" s="19">
        <v>47</v>
      </c>
    </row>
    <row r="245" spans="1:2" x14ac:dyDescent="0.25">
      <c r="A245" s="19" t="s">
        <v>108</v>
      </c>
      <c r="B245" s="19">
        <v>35</v>
      </c>
    </row>
    <row r="246" spans="1:2" x14ac:dyDescent="0.25">
      <c r="A246" s="19" t="s">
        <v>129</v>
      </c>
      <c r="B246" s="19">
        <v>28</v>
      </c>
    </row>
    <row r="247" spans="1:2" x14ac:dyDescent="0.25">
      <c r="A247" s="19" t="s">
        <v>404</v>
      </c>
      <c r="B247" s="19">
        <v>26</v>
      </c>
    </row>
    <row r="248" spans="1:2" x14ac:dyDescent="0.25">
      <c r="A248" s="19" t="s">
        <v>271</v>
      </c>
      <c r="B248" s="19">
        <v>18</v>
      </c>
    </row>
    <row r="249" spans="1:2" x14ac:dyDescent="0.25">
      <c r="A249" s="19" t="s">
        <v>447</v>
      </c>
      <c r="B249" s="19">
        <v>17</v>
      </c>
    </row>
    <row r="250" spans="1:2" x14ac:dyDescent="0.25">
      <c r="A250" s="19" t="s">
        <v>237</v>
      </c>
      <c r="B250" s="19">
        <v>14</v>
      </c>
    </row>
    <row r="251" spans="1:2" x14ac:dyDescent="0.25">
      <c r="A251" s="19" t="s">
        <v>201</v>
      </c>
      <c r="B251" s="19">
        <v>13</v>
      </c>
    </row>
    <row r="252" spans="1:2" x14ac:dyDescent="0.25">
      <c r="A252" s="19" t="s">
        <v>212</v>
      </c>
      <c r="B252" s="19">
        <v>13</v>
      </c>
    </row>
    <row r="253" spans="1:2" x14ac:dyDescent="0.25">
      <c r="A253" s="19" t="s">
        <v>501</v>
      </c>
      <c r="B253" s="19">
        <v>12</v>
      </c>
    </row>
    <row r="254" spans="1:2" x14ac:dyDescent="0.25">
      <c r="A254" s="19" t="s">
        <v>407</v>
      </c>
      <c r="B254" s="19">
        <v>11</v>
      </c>
    </row>
    <row r="255" spans="1:2" x14ac:dyDescent="0.25">
      <c r="A255" s="19" t="s">
        <v>227</v>
      </c>
      <c r="B255" s="19">
        <v>11</v>
      </c>
    </row>
    <row r="256" spans="1:2" x14ac:dyDescent="0.25">
      <c r="A256" s="19" t="s">
        <v>306</v>
      </c>
      <c r="B256" s="19">
        <v>11</v>
      </c>
    </row>
    <row r="257" spans="1:2" x14ac:dyDescent="0.25">
      <c r="A257" s="19" t="s">
        <v>189</v>
      </c>
      <c r="B257" s="19">
        <v>9</v>
      </c>
    </row>
    <row r="258" spans="1:2" x14ac:dyDescent="0.25">
      <c r="A258" s="19" t="s">
        <v>453</v>
      </c>
      <c r="B258" s="19">
        <v>9</v>
      </c>
    </row>
    <row r="259" spans="1:2" x14ac:dyDescent="0.25">
      <c r="A259" s="19" t="s">
        <v>124</v>
      </c>
      <c r="B259" s="19">
        <v>9</v>
      </c>
    </row>
    <row r="260" spans="1:2" x14ac:dyDescent="0.25">
      <c r="A260" s="19" t="s">
        <v>179</v>
      </c>
      <c r="B260" s="19">
        <v>8</v>
      </c>
    </row>
    <row r="261" spans="1:2" x14ac:dyDescent="0.25">
      <c r="A261" s="19" t="s">
        <v>482</v>
      </c>
      <c r="B261" s="19">
        <v>8</v>
      </c>
    </row>
    <row r="262" spans="1:2" x14ac:dyDescent="0.25">
      <c r="A262" s="19" t="s">
        <v>221</v>
      </c>
      <c r="B262" s="19">
        <v>7</v>
      </c>
    </row>
    <row r="263" spans="1:2" x14ac:dyDescent="0.25">
      <c r="A263" s="19" t="s">
        <v>91</v>
      </c>
      <c r="B263" s="19">
        <v>6</v>
      </c>
    </row>
    <row r="264" spans="1:2" x14ac:dyDescent="0.25">
      <c r="A264" s="19" t="s">
        <v>345</v>
      </c>
      <c r="B264" s="19">
        <v>5</v>
      </c>
    </row>
    <row r="265" spans="1:2" x14ac:dyDescent="0.25">
      <c r="A265" s="19" t="s">
        <v>224</v>
      </c>
      <c r="B265" s="19">
        <v>5</v>
      </c>
    </row>
    <row r="266" spans="1:2" x14ac:dyDescent="0.25">
      <c r="A266" s="19" t="s">
        <v>381</v>
      </c>
      <c r="B266" s="19">
        <v>5</v>
      </c>
    </row>
    <row r="267" spans="1:2" x14ac:dyDescent="0.25">
      <c r="A267" s="19" t="s">
        <v>368</v>
      </c>
      <c r="B267" s="19">
        <v>5</v>
      </c>
    </row>
    <row r="268" spans="1:2" x14ac:dyDescent="0.25">
      <c r="A268" s="19" t="s">
        <v>255</v>
      </c>
      <c r="B268" s="19">
        <v>4</v>
      </c>
    </row>
    <row r="269" spans="1:2" x14ac:dyDescent="0.25">
      <c r="A269" s="19" t="s">
        <v>86</v>
      </c>
      <c r="B269" s="19">
        <v>4</v>
      </c>
    </row>
    <row r="270" spans="1:2" x14ac:dyDescent="0.25">
      <c r="A270" s="19" t="s">
        <v>384</v>
      </c>
      <c r="B270" s="19">
        <v>3</v>
      </c>
    </row>
    <row r="271" spans="1:2" x14ac:dyDescent="0.25">
      <c r="A271" s="19" t="s">
        <v>467</v>
      </c>
      <c r="B271" s="19">
        <v>3</v>
      </c>
    </row>
    <row r="272" spans="1:2" x14ac:dyDescent="0.25">
      <c r="A272" s="19" t="s">
        <v>146</v>
      </c>
      <c r="B272" s="19">
        <v>3</v>
      </c>
    </row>
    <row r="273" spans="1:2" x14ac:dyDescent="0.25">
      <c r="A273" s="19" t="s">
        <v>96</v>
      </c>
      <c r="B273" s="19">
        <v>3</v>
      </c>
    </row>
    <row r="274" spans="1:2" x14ac:dyDescent="0.25">
      <c r="A274" s="19" t="s">
        <v>71</v>
      </c>
      <c r="B274" s="19">
        <v>2</v>
      </c>
    </row>
    <row r="275" spans="1:2" x14ac:dyDescent="0.25">
      <c r="A275" s="19" t="s">
        <v>155</v>
      </c>
      <c r="B275" s="19">
        <v>2</v>
      </c>
    </row>
    <row r="276" spans="1:2" x14ac:dyDescent="0.25">
      <c r="A276" s="19" t="s">
        <v>499</v>
      </c>
      <c r="B276" s="19">
        <v>2</v>
      </c>
    </row>
    <row r="277" spans="1:2" x14ac:dyDescent="0.25">
      <c r="A277" s="19" t="s">
        <v>223</v>
      </c>
      <c r="B277" s="19">
        <v>2</v>
      </c>
    </row>
    <row r="278" spans="1:2" x14ac:dyDescent="0.25">
      <c r="A278" s="19" t="s">
        <v>495</v>
      </c>
      <c r="B278" s="19">
        <v>2</v>
      </c>
    </row>
    <row r="279" spans="1:2" x14ac:dyDescent="0.25">
      <c r="A279" s="19" t="s">
        <v>264</v>
      </c>
      <c r="B279" s="19">
        <v>2</v>
      </c>
    </row>
    <row r="280" spans="1:2" x14ac:dyDescent="0.25">
      <c r="A280" s="19" t="s">
        <v>132</v>
      </c>
      <c r="B280" s="19">
        <v>2</v>
      </c>
    </row>
    <row r="281" spans="1:2" x14ac:dyDescent="0.25">
      <c r="A281" s="19" t="s">
        <v>412</v>
      </c>
      <c r="B281" s="19">
        <v>1</v>
      </c>
    </row>
    <row r="282" spans="1:2" x14ac:dyDescent="0.25">
      <c r="A282" s="19" t="s">
        <v>309</v>
      </c>
      <c r="B282" s="19">
        <v>1</v>
      </c>
    </row>
    <row r="283" spans="1:2" x14ac:dyDescent="0.25">
      <c r="A283" s="19" t="s">
        <v>151</v>
      </c>
      <c r="B283" s="19">
        <v>1</v>
      </c>
    </row>
    <row r="284" spans="1:2" x14ac:dyDescent="0.25">
      <c r="A284" s="19" t="s">
        <v>410</v>
      </c>
      <c r="B284" s="19">
        <v>1</v>
      </c>
    </row>
    <row r="285" spans="1:2" x14ac:dyDescent="0.25">
      <c r="A285" s="19" t="s">
        <v>330</v>
      </c>
      <c r="B285" s="19">
        <v>1</v>
      </c>
    </row>
    <row r="286" spans="1:2" x14ac:dyDescent="0.25">
      <c r="A286" s="19" t="s">
        <v>434</v>
      </c>
      <c r="B286" s="19">
        <v>1</v>
      </c>
    </row>
    <row r="287" spans="1:2" x14ac:dyDescent="0.25">
      <c r="A287" s="19" t="s">
        <v>390</v>
      </c>
      <c r="B287" s="19">
        <v>1</v>
      </c>
    </row>
    <row r="288" spans="1:2" x14ac:dyDescent="0.25">
      <c r="A288" s="19" t="s">
        <v>444</v>
      </c>
      <c r="B288" s="19">
        <v>1</v>
      </c>
    </row>
    <row r="289" spans="1:2" x14ac:dyDescent="0.25">
      <c r="A289" s="19" t="s">
        <v>191</v>
      </c>
      <c r="B289" s="19">
        <v>1</v>
      </c>
    </row>
    <row r="290" spans="1:2" x14ac:dyDescent="0.25">
      <c r="A290" s="19" t="s">
        <v>289</v>
      </c>
      <c r="B290" s="19">
        <v>1</v>
      </c>
    </row>
    <row r="291" spans="1:2" x14ac:dyDescent="0.25">
      <c r="A291" s="19" t="s">
        <v>229</v>
      </c>
      <c r="B291" s="19">
        <v>1</v>
      </c>
    </row>
    <row r="292" spans="1:2" x14ac:dyDescent="0.25">
      <c r="A292" s="19" t="s">
        <v>494</v>
      </c>
      <c r="B292" s="19">
        <v>1</v>
      </c>
    </row>
    <row r="293" spans="1:2" x14ac:dyDescent="0.25">
      <c r="A293" s="19" t="s">
        <v>456</v>
      </c>
      <c r="B293" s="19">
        <v>1</v>
      </c>
    </row>
    <row r="294" spans="1:2" x14ac:dyDescent="0.25">
      <c r="A294" s="19" t="s">
        <v>502</v>
      </c>
      <c r="B294" s="19">
        <v>1</v>
      </c>
    </row>
    <row r="295" spans="1:2" x14ac:dyDescent="0.25">
      <c r="A295" s="22" t="s">
        <v>496</v>
      </c>
      <c r="B295" s="22">
        <v>620</v>
      </c>
    </row>
    <row r="297" spans="1:2" ht="15.75" thickBot="1" x14ac:dyDescent="0.3"/>
    <row r="298" spans="1:2" ht="15.6" customHeight="1" thickBot="1" x14ac:dyDescent="0.3">
      <c r="A298" s="430" t="s">
        <v>504</v>
      </c>
      <c r="B298" s="431"/>
    </row>
    <row r="299" spans="1:2" x14ac:dyDescent="0.25">
      <c r="A299" s="21" t="s">
        <v>491</v>
      </c>
      <c r="B299" s="20" t="s">
        <v>492</v>
      </c>
    </row>
    <row r="300" spans="1:2" x14ac:dyDescent="0.25">
      <c r="A300" s="19" t="s">
        <v>342</v>
      </c>
      <c r="B300" s="19">
        <v>152</v>
      </c>
    </row>
    <row r="301" spans="1:2" x14ac:dyDescent="0.25">
      <c r="A301" s="19" t="s">
        <v>340</v>
      </c>
      <c r="B301" s="19">
        <v>82</v>
      </c>
    </row>
    <row r="302" spans="1:2" x14ac:dyDescent="0.25">
      <c r="A302" s="19" t="s">
        <v>108</v>
      </c>
      <c r="B302" s="19">
        <v>35</v>
      </c>
    </row>
    <row r="303" spans="1:2" x14ac:dyDescent="0.25">
      <c r="A303" s="19" t="s">
        <v>129</v>
      </c>
      <c r="B303" s="19">
        <v>29</v>
      </c>
    </row>
    <row r="304" spans="1:2" x14ac:dyDescent="0.25">
      <c r="A304" s="19" t="s">
        <v>404</v>
      </c>
      <c r="B304" s="19">
        <v>27</v>
      </c>
    </row>
    <row r="305" spans="1:2" x14ac:dyDescent="0.25">
      <c r="A305" s="19" t="s">
        <v>119</v>
      </c>
      <c r="B305" s="19">
        <v>22</v>
      </c>
    </row>
    <row r="306" spans="1:2" x14ac:dyDescent="0.25">
      <c r="A306" s="19" t="s">
        <v>306</v>
      </c>
      <c r="B306" s="19">
        <v>20</v>
      </c>
    </row>
    <row r="307" spans="1:2" x14ac:dyDescent="0.25">
      <c r="A307" s="19" t="s">
        <v>201</v>
      </c>
      <c r="B307" s="19">
        <v>15</v>
      </c>
    </row>
    <row r="308" spans="1:2" x14ac:dyDescent="0.25">
      <c r="A308" s="19" t="s">
        <v>447</v>
      </c>
      <c r="B308" s="19">
        <v>14</v>
      </c>
    </row>
    <row r="309" spans="1:2" x14ac:dyDescent="0.25">
      <c r="A309" s="19" t="s">
        <v>221</v>
      </c>
      <c r="B309" s="19">
        <v>12</v>
      </c>
    </row>
    <row r="310" spans="1:2" x14ac:dyDescent="0.25">
      <c r="A310" s="19" t="s">
        <v>505</v>
      </c>
      <c r="B310" s="19">
        <v>12</v>
      </c>
    </row>
    <row r="311" spans="1:2" x14ac:dyDescent="0.25">
      <c r="A311" s="19" t="s">
        <v>212</v>
      </c>
      <c r="B311" s="19">
        <v>12</v>
      </c>
    </row>
    <row r="312" spans="1:2" x14ac:dyDescent="0.25">
      <c r="A312" s="19" t="s">
        <v>271</v>
      </c>
      <c r="B312" s="19">
        <v>12</v>
      </c>
    </row>
    <row r="313" spans="1:2" x14ac:dyDescent="0.25">
      <c r="A313" s="19" t="s">
        <v>345</v>
      </c>
      <c r="B313" s="19">
        <v>11</v>
      </c>
    </row>
    <row r="314" spans="1:2" x14ac:dyDescent="0.25">
      <c r="A314" s="19" t="s">
        <v>227</v>
      </c>
      <c r="B314" s="19">
        <v>11</v>
      </c>
    </row>
    <row r="315" spans="1:2" x14ac:dyDescent="0.25">
      <c r="A315" s="19" t="s">
        <v>407</v>
      </c>
      <c r="B315" s="19">
        <v>10</v>
      </c>
    </row>
    <row r="316" spans="1:2" x14ac:dyDescent="0.25">
      <c r="A316" s="19" t="s">
        <v>237</v>
      </c>
      <c r="B316" s="19">
        <v>10</v>
      </c>
    </row>
    <row r="317" spans="1:2" x14ac:dyDescent="0.25">
      <c r="A317" s="19" t="s">
        <v>482</v>
      </c>
      <c r="B317" s="19">
        <v>9</v>
      </c>
    </row>
    <row r="318" spans="1:2" x14ac:dyDescent="0.25">
      <c r="A318" s="19" t="s">
        <v>86</v>
      </c>
      <c r="B318" s="19">
        <v>7</v>
      </c>
    </row>
    <row r="319" spans="1:2" x14ac:dyDescent="0.25">
      <c r="A319" s="19" t="s">
        <v>179</v>
      </c>
      <c r="B319" s="19">
        <v>7</v>
      </c>
    </row>
    <row r="320" spans="1:2" x14ac:dyDescent="0.25">
      <c r="A320" s="19" t="s">
        <v>255</v>
      </c>
      <c r="B320" s="19">
        <v>6</v>
      </c>
    </row>
    <row r="321" spans="1:2" x14ac:dyDescent="0.25">
      <c r="A321" s="19" t="s">
        <v>91</v>
      </c>
      <c r="B321" s="19">
        <v>6</v>
      </c>
    </row>
    <row r="322" spans="1:2" x14ac:dyDescent="0.25">
      <c r="A322" s="19" t="s">
        <v>189</v>
      </c>
      <c r="B322" s="19">
        <v>5</v>
      </c>
    </row>
    <row r="323" spans="1:2" x14ac:dyDescent="0.25">
      <c r="A323" s="19" t="s">
        <v>224</v>
      </c>
      <c r="B323" s="19">
        <v>5</v>
      </c>
    </row>
    <row r="324" spans="1:2" x14ac:dyDescent="0.25">
      <c r="A324" s="19" t="s">
        <v>368</v>
      </c>
      <c r="B324" s="19">
        <v>5</v>
      </c>
    </row>
    <row r="325" spans="1:2" x14ac:dyDescent="0.25">
      <c r="A325" s="19" t="s">
        <v>96</v>
      </c>
      <c r="B325" s="19">
        <v>4</v>
      </c>
    </row>
    <row r="326" spans="1:2" x14ac:dyDescent="0.25">
      <c r="A326" s="19" t="s">
        <v>289</v>
      </c>
      <c r="B326" s="19">
        <v>4</v>
      </c>
    </row>
    <row r="327" spans="1:2" x14ac:dyDescent="0.25">
      <c r="A327" s="19" t="s">
        <v>467</v>
      </c>
      <c r="B327" s="19">
        <v>3</v>
      </c>
    </row>
    <row r="328" spans="1:2" x14ac:dyDescent="0.25">
      <c r="A328" s="19" t="s">
        <v>264</v>
      </c>
      <c r="B328" s="19">
        <v>3</v>
      </c>
    </row>
    <row r="329" spans="1:2" x14ac:dyDescent="0.25">
      <c r="A329" s="19" t="s">
        <v>456</v>
      </c>
      <c r="B329" s="19">
        <v>3</v>
      </c>
    </row>
    <row r="330" spans="1:2" x14ac:dyDescent="0.25">
      <c r="A330" s="19" t="s">
        <v>124</v>
      </c>
      <c r="B330" s="19">
        <v>3</v>
      </c>
    </row>
    <row r="331" spans="1:2" x14ac:dyDescent="0.25">
      <c r="A331" s="19" t="s">
        <v>223</v>
      </c>
      <c r="B331" s="19">
        <v>3</v>
      </c>
    </row>
    <row r="332" spans="1:2" x14ac:dyDescent="0.25">
      <c r="A332" s="19" t="s">
        <v>384</v>
      </c>
      <c r="B332" s="19">
        <v>3</v>
      </c>
    </row>
    <row r="333" spans="1:2" x14ac:dyDescent="0.25">
      <c r="A333" s="19" t="s">
        <v>499</v>
      </c>
      <c r="B333" s="19">
        <v>2</v>
      </c>
    </row>
    <row r="334" spans="1:2" x14ac:dyDescent="0.25">
      <c r="A334" s="19" t="s">
        <v>434</v>
      </c>
      <c r="B334" s="19">
        <v>2</v>
      </c>
    </row>
    <row r="335" spans="1:2" x14ac:dyDescent="0.25">
      <c r="A335" s="19" t="s">
        <v>132</v>
      </c>
      <c r="B335" s="19">
        <v>2</v>
      </c>
    </row>
    <row r="336" spans="1:2" x14ac:dyDescent="0.25">
      <c r="A336" s="19" t="s">
        <v>502</v>
      </c>
      <c r="B336" s="19">
        <v>2</v>
      </c>
    </row>
    <row r="337" spans="1:2" x14ac:dyDescent="0.25">
      <c r="A337" s="19" t="s">
        <v>453</v>
      </c>
      <c r="B337" s="19">
        <v>2</v>
      </c>
    </row>
    <row r="338" spans="1:2" x14ac:dyDescent="0.25">
      <c r="A338" s="19" t="s">
        <v>495</v>
      </c>
      <c r="B338" s="19">
        <v>2</v>
      </c>
    </row>
    <row r="339" spans="1:2" x14ac:dyDescent="0.25">
      <c r="A339" s="19" t="s">
        <v>71</v>
      </c>
      <c r="B339" s="19">
        <v>2</v>
      </c>
    </row>
    <row r="340" spans="1:2" x14ac:dyDescent="0.25">
      <c r="A340" s="19" t="s">
        <v>330</v>
      </c>
      <c r="B340" s="19">
        <v>2</v>
      </c>
    </row>
    <row r="341" spans="1:2" x14ac:dyDescent="0.25">
      <c r="A341" s="19" t="s">
        <v>146</v>
      </c>
      <c r="B341" s="19">
        <v>1</v>
      </c>
    </row>
    <row r="342" spans="1:2" x14ac:dyDescent="0.25">
      <c r="A342" s="19" t="s">
        <v>390</v>
      </c>
      <c r="B342" s="19">
        <v>1</v>
      </c>
    </row>
    <row r="343" spans="1:2" x14ac:dyDescent="0.25">
      <c r="A343" s="19" t="s">
        <v>78</v>
      </c>
      <c r="B343" s="19">
        <v>1</v>
      </c>
    </row>
    <row r="344" spans="1:2" x14ac:dyDescent="0.25">
      <c r="A344" s="19" t="s">
        <v>381</v>
      </c>
      <c r="B344" s="19">
        <v>1</v>
      </c>
    </row>
    <row r="345" spans="1:2" x14ac:dyDescent="0.25">
      <c r="A345" s="19" t="s">
        <v>494</v>
      </c>
      <c r="B345" s="19">
        <v>1</v>
      </c>
    </row>
    <row r="346" spans="1:2" x14ac:dyDescent="0.25">
      <c r="A346" s="19" t="s">
        <v>298</v>
      </c>
      <c r="B346" s="19">
        <v>1</v>
      </c>
    </row>
    <row r="347" spans="1:2" x14ac:dyDescent="0.25">
      <c r="A347" s="19" t="s">
        <v>155</v>
      </c>
      <c r="B347" s="19">
        <v>1</v>
      </c>
    </row>
    <row r="348" spans="1:2" x14ac:dyDescent="0.25">
      <c r="A348" s="19" t="s">
        <v>444</v>
      </c>
      <c r="B348" s="19">
        <v>1</v>
      </c>
    </row>
    <row r="349" spans="1:2" x14ac:dyDescent="0.25">
      <c r="A349" s="19" t="s">
        <v>191</v>
      </c>
      <c r="B349" s="19">
        <v>1</v>
      </c>
    </row>
    <row r="350" spans="1:2" x14ac:dyDescent="0.25">
      <c r="A350" s="19" t="s">
        <v>151</v>
      </c>
      <c r="B350" s="19">
        <v>1</v>
      </c>
    </row>
    <row r="351" spans="1:2" x14ac:dyDescent="0.25">
      <c r="A351" s="19" t="s">
        <v>410</v>
      </c>
      <c r="B351" s="19">
        <v>1</v>
      </c>
    </row>
    <row r="352" spans="1:2" x14ac:dyDescent="0.25">
      <c r="A352" s="22" t="s">
        <v>496</v>
      </c>
      <c r="B352" s="22">
        <v>589</v>
      </c>
    </row>
    <row r="354" spans="1:2" ht="15.75" thickBot="1" x14ac:dyDescent="0.3"/>
    <row r="355" spans="1:2" ht="15.75" thickBot="1" x14ac:dyDescent="0.3">
      <c r="A355" s="433" t="s">
        <v>506</v>
      </c>
      <c r="B355" s="434"/>
    </row>
    <row r="356" spans="1:2" x14ac:dyDescent="0.25">
      <c r="A356" s="21" t="s">
        <v>491</v>
      </c>
      <c r="B356" s="20" t="s">
        <v>492</v>
      </c>
    </row>
    <row r="357" spans="1:2" x14ac:dyDescent="0.25">
      <c r="A357" s="19" t="s">
        <v>342</v>
      </c>
      <c r="B357" s="19">
        <v>132</v>
      </c>
    </row>
    <row r="358" spans="1:2" x14ac:dyDescent="0.25">
      <c r="A358" s="19" t="s">
        <v>507</v>
      </c>
      <c r="B358" s="19">
        <v>60</v>
      </c>
    </row>
    <row r="359" spans="1:2" x14ac:dyDescent="0.25">
      <c r="A359" s="19" t="s">
        <v>108</v>
      </c>
      <c r="B359" s="19">
        <v>33</v>
      </c>
    </row>
    <row r="360" spans="1:2" x14ac:dyDescent="0.25">
      <c r="A360" s="19" t="s">
        <v>129</v>
      </c>
      <c r="B360" s="19">
        <v>26</v>
      </c>
    </row>
    <row r="361" spans="1:2" x14ac:dyDescent="0.25">
      <c r="A361" s="19" t="s">
        <v>306</v>
      </c>
      <c r="B361" s="19">
        <v>24</v>
      </c>
    </row>
    <row r="362" spans="1:2" x14ac:dyDescent="0.25">
      <c r="A362" s="19" t="s">
        <v>119</v>
      </c>
      <c r="B362" s="19">
        <v>22</v>
      </c>
    </row>
    <row r="363" spans="1:2" x14ac:dyDescent="0.25">
      <c r="A363" s="19" t="s">
        <v>482</v>
      </c>
      <c r="B363" s="19">
        <v>18</v>
      </c>
    </row>
    <row r="364" spans="1:2" x14ac:dyDescent="0.25">
      <c r="A364" s="19" t="s">
        <v>212</v>
      </c>
      <c r="B364" s="19">
        <v>18</v>
      </c>
    </row>
    <row r="365" spans="1:2" x14ac:dyDescent="0.25">
      <c r="A365" s="19" t="s">
        <v>404</v>
      </c>
      <c r="B365" s="19">
        <v>13</v>
      </c>
    </row>
    <row r="366" spans="1:2" x14ac:dyDescent="0.25">
      <c r="A366" s="19" t="s">
        <v>508</v>
      </c>
      <c r="B366" s="19">
        <v>13</v>
      </c>
    </row>
    <row r="367" spans="1:2" x14ac:dyDescent="0.25">
      <c r="A367" s="19" t="s">
        <v>271</v>
      </c>
      <c r="B367" s="19">
        <v>12</v>
      </c>
    </row>
    <row r="368" spans="1:2" x14ac:dyDescent="0.25">
      <c r="A368" s="19" t="s">
        <v>201</v>
      </c>
      <c r="B368" s="19">
        <v>12</v>
      </c>
    </row>
    <row r="369" spans="1:2" x14ac:dyDescent="0.25">
      <c r="A369" s="19" t="s">
        <v>227</v>
      </c>
      <c r="B369" s="19">
        <v>12</v>
      </c>
    </row>
    <row r="370" spans="1:2" x14ac:dyDescent="0.25">
      <c r="A370" s="19" t="s">
        <v>345</v>
      </c>
      <c r="B370" s="19">
        <v>11</v>
      </c>
    </row>
    <row r="371" spans="1:2" x14ac:dyDescent="0.25">
      <c r="A371" s="19" t="s">
        <v>505</v>
      </c>
      <c r="B371" s="19">
        <v>10</v>
      </c>
    </row>
    <row r="372" spans="1:2" x14ac:dyDescent="0.25">
      <c r="A372" s="19" t="s">
        <v>86</v>
      </c>
      <c r="B372" s="19">
        <v>10</v>
      </c>
    </row>
    <row r="373" spans="1:2" x14ac:dyDescent="0.25">
      <c r="A373" s="19" t="s">
        <v>221</v>
      </c>
      <c r="B373" s="19">
        <v>9</v>
      </c>
    </row>
    <row r="374" spans="1:2" x14ac:dyDescent="0.25">
      <c r="A374" s="19" t="s">
        <v>447</v>
      </c>
      <c r="B374" s="19">
        <v>9</v>
      </c>
    </row>
    <row r="375" spans="1:2" x14ac:dyDescent="0.25">
      <c r="A375" s="19" t="s">
        <v>237</v>
      </c>
      <c r="B375" s="19">
        <v>8</v>
      </c>
    </row>
    <row r="376" spans="1:2" x14ac:dyDescent="0.25">
      <c r="A376" s="19" t="s">
        <v>189</v>
      </c>
      <c r="B376" s="19">
        <v>8</v>
      </c>
    </row>
    <row r="377" spans="1:2" x14ac:dyDescent="0.25">
      <c r="A377" s="19" t="s">
        <v>179</v>
      </c>
      <c r="B377" s="19">
        <v>7</v>
      </c>
    </row>
    <row r="378" spans="1:2" x14ac:dyDescent="0.25">
      <c r="A378" s="19" t="s">
        <v>91</v>
      </c>
      <c r="B378" s="19">
        <v>6</v>
      </c>
    </row>
    <row r="379" spans="1:2" x14ac:dyDescent="0.25">
      <c r="A379" s="19" t="s">
        <v>224</v>
      </c>
      <c r="B379" s="19">
        <v>6</v>
      </c>
    </row>
    <row r="380" spans="1:2" x14ac:dyDescent="0.25">
      <c r="A380" s="19" t="s">
        <v>368</v>
      </c>
      <c r="B380" s="19">
        <v>5</v>
      </c>
    </row>
    <row r="381" spans="1:2" x14ac:dyDescent="0.25">
      <c r="A381" s="19" t="s">
        <v>255</v>
      </c>
      <c r="B381" s="19">
        <v>5</v>
      </c>
    </row>
    <row r="382" spans="1:2" x14ac:dyDescent="0.25">
      <c r="A382" s="19" t="s">
        <v>96</v>
      </c>
      <c r="B382" s="19">
        <v>4</v>
      </c>
    </row>
    <row r="383" spans="1:2" x14ac:dyDescent="0.25">
      <c r="A383" s="19" t="s">
        <v>124</v>
      </c>
      <c r="B383" s="19">
        <v>4</v>
      </c>
    </row>
    <row r="384" spans="1:2" x14ac:dyDescent="0.25">
      <c r="A384" s="19" t="s">
        <v>509</v>
      </c>
      <c r="B384" s="19">
        <v>4</v>
      </c>
    </row>
    <row r="385" spans="1:2" x14ac:dyDescent="0.25">
      <c r="A385" s="19" t="s">
        <v>467</v>
      </c>
      <c r="B385" s="19">
        <v>3</v>
      </c>
    </row>
    <row r="386" spans="1:2" x14ac:dyDescent="0.25">
      <c r="A386" s="19" t="s">
        <v>264</v>
      </c>
      <c r="B386" s="19">
        <v>3</v>
      </c>
    </row>
    <row r="387" spans="1:2" x14ac:dyDescent="0.25">
      <c r="A387" s="19" t="s">
        <v>223</v>
      </c>
      <c r="B387" s="19">
        <v>3</v>
      </c>
    </row>
    <row r="388" spans="1:2" x14ac:dyDescent="0.25">
      <c r="A388" s="19" t="s">
        <v>384</v>
      </c>
      <c r="B388" s="19">
        <v>3</v>
      </c>
    </row>
    <row r="389" spans="1:2" x14ac:dyDescent="0.25">
      <c r="A389" s="19" t="s">
        <v>499</v>
      </c>
      <c r="B389" s="19">
        <v>2</v>
      </c>
    </row>
    <row r="390" spans="1:2" x14ac:dyDescent="0.25">
      <c r="A390" s="19" t="s">
        <v>114</v>
      </c>
      <c r="B390" s="19">
        <v>2</v>
      </c>
    </row>
    <row r="391" spans="1:2" x14ac:dyDescent="0.25">
      <c r="A391" s="19" t="s">
        <v>434</v>
      </c>
      <c r="B391" s="19">
        <v>2</v>
      </c>
    </row>
    <row r="392" spans="1:2" x14ac:dyDescent="0.25">
      <c r="A392" s="19" t="s">
        <v>71</v>
      </c>
      <c r="B392" s="19">
        <v>2</v>
      </c>
    </row>
    <row r="393" spans="1:2" x14ac:dyDescent="0.25">
      <c r="A393" s="19" t="s">
        <v>204</v>
      </c>
      <c r="B393" s="19">
        <v>2</v>
      </c>
    </row>
    <row r="394" spans="1:2" x14ac:dyDescent="0.25">
      <c r="A394" s="19" t="s">
        <v>510</v>
      </c>
      <c r="B394" s="19">
        <v>2</v>
      </c>
    </row>
    <row r="395" spans="1:2" x14ac:dyDescent="0.25">
      <c r="A395" s="19" t="s">
        <v>495</v>
      </c>
      <c r="B395" s="19">
        <v>2</v>
      </c>
    </row>
    <row r="396" spans="1:2" x14ac:dyDescent="0.25">
      <c r="A396" s="19" t="s">
        <v>511</v>
      </c>
      <c r="B396" s="19">
        <v>2</v>
      </c>
    </row>
    <row r="397" spans="1:2" x14ac:dyDescent="0.25">
      <c r="A397" s="19" t="s">
        <v>512</v>
      </c>
      <c r="B397" s="19">
        <v>1</v>
      </c>
    </row>
    <row r="398" spans="1:2" x14ac:dyDescent="0.25">
      <c r="A398" s="19" t="s">
        <v>309</v>
      </c>
      <c r="B398" s="19">
        <v>1</v>
      </c>
    </row>
    <row r="399" spans="1:2" x14ac:dyDescent="0.25">
      <c r="A399" s="19" t="s">
        <v>502</v>
      </c>
      <c r="B399" s="19">
        <v>1</v>
      </c>
    </row>
    <row r="400" spans="1:2" x14ac:dyDescent="0.25">
      <c r="A400" s="19" t="s">
        <v>151</v>
      </c>
      <c r="B400" s="19">
        <v>1</v>
      </c>
    </row>
    <row r="401" spans="1:2" x14ac:dyDescent="0.25">
      <c r="A401" s="19" t="s">
        <v>513</v>
      </c>
      <c r="B401" s="19">
        <v>1</v>
      </c>
    </row>
    <row r="402" spans="1:2" x14ac:dyDescent="0.25">
      <c r="A402" s="19" t="s">
        <v>146</v>
      </c>
      <c r="B402" s="19">
        <v>1</v>
      </c>
    </row>
    <row r="403" spans="1:2" x14ac:dyDescent="0.25">
      <c r="A403" s="19" t="s">
        <v>514</v>
      </c>
      <c r="B403" s="19">
        <v>1</v>
      </c>
    </row>
    <row r="404" spans="1:2" x14ac:dyDescent="0.25">
      <c r="A404" s="19" t="s">
        <v>132</v>
      </c>
      <c r="B404" s="19">
        <v>1</v>
      </c>
    </row>
    <row r="405" spans="1:2" x14ac:dyDescent="0.25">
      <c r="A405" s="19" t="s">
        <v>330</v>
      </c>
      <c r="B405" s="19">
        <v>1</v>
      </c>
    </row>
    <row r="406" spans="1:2" x14ac:dyDescent="0.25">
      <c r="A406" s="19" t="s">
        <v>444</v>
      </c>
      <c r="B406" s="19">
        <v>1</v>
      </c>
    </row>
    <row r="407" spans="1:2" x14ac:dyDescent="0.25">
      <c r="A407" s="19" t="s">
        <v>78</v>
      </c>
      <c r="B407" s="19">
        <v>1</v>
      </c>
    </row>
    <row r="408" spans="1:2" x14ac:dyDescent="0.25">
      <c r="A408" s="19" t="s">
        <v>453</v>
      </c>
      <c r="B408" s="19">
        <v>1</v>
      </c>
    </row>
    <row r="409" spans="1:2" x14ac:dyDescent="0.25">
      <c r="A409" s="19" t="s">
        <v>381</v>
      </c>
      <c r="B409" s="19">
        <v>1</v>
      </c>
    </row>
    <row r="410" spans="1:2" x14ac:dyDescent="0.25">
      <c r="A410" s="19" t="s">
        <v>494</v>
      </c>
      <c r="B410" s="19">
        <v>1</v>
      </c>
    </row>
    <row r="411" spans="1:2" x14ac:dyDescent="0.25">
      <c r="A411" s="26" t="s">
        <v>496</v>
      </c>
      <c r="B411" s="25">
        <v>543</v>
      </c>
    </row>
    <row r="413" spans="1:2" ht="15.75" thickBot="1" x14ac:dyDescent="0.3"/>
    <row r="414" spans="1:2" ht="15.75" thickBot="1" x14ac:dyDescent="0.3">
      <c r="A414" s="433" t="s">
        <v>515</v>
      </c>
      <c r="B414" s="434"/>
    </row>
    <row r="415" spans="1:2" x14ac:dyDescent="0.25">
      <c r="A415" s="21" t="s">
        <v>491</v>
      </c>
      <c r="B415" s="20" t="s">
        <v>492</v>
      </c>
    </row>
    <row r="416" spans="1:2" x14ac:dyDescent="0.25">
      <c r="A416" s="15" t="s">
        <v>342</v>
      </c>
      <c r="B416" s="19">
        <v>148</v>
      </c>
    </row>
    <row r="417" spans="1:2" x14ac:dyDescent="0.25">
      <c r="A417" s="15" t="s">
        <v>507</v>
      </c>
      <c r="B417" s="19">
        <v>50</v>
      </c>
    </row>
    <row r="418" spans="1:2" x14ac:dyDescent="0.25">
      <c r="A418" s="15" t="s">
        <v>516</v>
      </c>
      <c r="B418" s="19">
        <v>40</v>
      </c>
    </row>
    <row r="419" spans="1:2" x14ac:dyDescent="0.25">
      <c r="A419" s="15" t="s">
        <v>119</v>
      </c>
      <c r="B419" s="19">
        <v>35</v>
      </c>
    </row>
    <row r="420" spans="1:2" x14ac:dyDescent="0.25">
      <c r="A420" s="15" t="s">
        <v>129</v>
      </c>
      <c r="B420" s="19">
        <v>26</v>
      </c>
    </row>
    <row r="421" spans="1:2" x14ac:dyDescent="0.25">
      <c r="A421" s="15" t="s">
        <v>227</v>
      </c>
      <c r="B421" s="19">
        <v>25</v>
      </c>
    </row>
    <row r="422" spans="1:2" x14ac:dyDescent="0.25">
      <c r="A422" s="15" t="s">
        <v>224</v>
      </c>
      <c r="B422" s="19">
        <v>21</v>
      </c>
    </row>
    <row r="423" spans="1:2" x14ac:dyDescent="0.25">
      <c r="A423" s="15" t="s">
        <v>212</v>
      </c>
      <c r="B423" s="19">
        <v>19</v>
      </c>
    </row>
    <row r="424" spans="1:2" x14ac:dyDescent="0.25">
      <c r="A424" s="15" t="s">
        <v>306</v>
      </c>
      <c r="B424" s="19">
        <v>19</v>
      </c>
    </row>
    <row r="425" spans="1:2" x14ac:dyDescent="0.25">
      <c r="A425" s="15" t="s">
        <v>404</v>
      </c>
      <c r="B425" s="19">
        <v>14</v>
      </c>
    </row>
    <row r="426" spans="1:2" x14ac:dyDescent="0.25">
      <c r="A426" s="15" t="s">
        <v>505</v>
      </c>
      <c r="B426" s="19">
        <v>14</v>
      </c>
    </row>
    <row r="427" spans="1:2" x14ac:dyDescent="0.25">
      <c r="A427" s="15" t="s">
        <v>271</v>
      </c>
      <c r="B427" s="19">
        <v>13</v>
      </c>
    </row>
    <row r="428" spans="1:2" x14ac:dyDescent="0.25">
      <c r="A428" s="15" t="s">
        <v>447</v>
      </c>
      <c r="B428" s="19">
        <v>12</v>
      </c>
    </row>
    <row r="429" spans="1:2" x14ac:dyDescent="0.25">
      <c r="A429" s="15" t="s">
        <v>482</v>
      </c>
      <c r="B429" s="19">
        <v>11</v>
      </c>
    </row>
    <row r="430" spans="1:2" x14ac:dyDescent="0.25">
      <c r="A430" s="15" t="s">
        <v>86</v>
      </c>
      <c r="B430" s="19">
        <v>11</v>
      </c>
    </row>
    <row r="431" spans="1:2" x14ac:dyDescent="0.25">
      <c r="A431" s="15" t="s">
        <v>517</v>
      </c>
      <c r="B431" s="19">
        <v>10</v>
      </c>
    </row>
    <row r="432" spans="1:2" x14ac:dyDescent="0.25">
      <c r="A432" s="15" t="s">
        <v>407</v>
      </c>
      <c r="B432" s="19">
        <v>10</v>
      </c>
    </row>
    <row r="433" spans="1:2" x14ac:dyDescent="0.25">
      <c r="A433" s="15" t="s">
        <v>237</v>
      </c>
      <c r="B433" s="19">
        <v>10</v>
      </c>
    </row>
    <row r="434" spans="1:2" x14ac:dyDescent="0.25">
      <c r="A434" s="15" t="s">
        <v>345</v>
      </c>
      <c r="B434" s="19">
        <v>9</v>
      </c>
    </row>
    <row r="435" spans="1:2" x14ac:dyDescent="0.25">
      <c r="A435" s="15" t="s">
        <v>255</v>
      </c>
      <c r="B435" s="19">
        <v>7</v>
      </c>
    </row>
    <row r="436" spans="1:2" x14ac:dyDescent="0.25">
      <c r="A436" s="15" t="s">
        <v>518</v>
      </c>
      <c r="B436" s="19">
        <v>7</v>
      </c>
    </row>
    <row r="437" spans="1:2" x14ac:dyDescent="0.25">
      <c r="A437" s="15" t="s">
        <v>91</v>
      </c>
      <c r="B437" s="19">
        <v>7</v>
      </c>
    </row>
    <row r="438" spans="1:2" x14ac:dyDescent="0.25">
      <c r="A438" s="15" t="s">
        <v>189</v>
      </c>
      <c r="B438" s="19">
        <v>6</v>
      </c>
    </row>
    <row r="439" spans="1:2" x14ac:dyDescent="0.25">
      <c r="A439" s="15" t="s">
        <v>179</v>
      </c>
      <c r="B439" s="19">
        <v>6</v>
      </c>
    </row>
    <row r="440" spans="1:2" x14ac:dyDescent="0.25">
      <c r="A440" s="15" t="s">
        <v>368</v>
      </c>
      <c r="B440" s="19">
        <v>6</v>
      </c>
    </row>
    <row r="441" spans="1:2" x14ac:dyDescent="0.25">
      <c r="A441" s="15" t="s">
        <v>453</v>
      </c>
      <c r="B441" s="19">
        <v>5</v>
      </c>
    </row>
    <row r="442" spans="1:2" x14ac:dyDescent="0.25">
      <c r="A442" s="15" t="s">
        <v>509</v>
      </c>
      <c r="B442" s="19">
        <v>4</v>
      </c>
    </row>
    <row r="443" spans="1:2" x14ac:dyDescent="0.25">
      <c r="A443" s="15" t="s">
        <v>124</v>
      </c>
      <c r="B443" s="19">
        <v>4</v>
      </c>
    </row>
    <row r="444" spans="1:2" x14ac:dyDescent="0.25">
      <c r="A444" s="15" t="s">
        <v>502</v>
      </c>
      <c r="B444" s="19">
        <v>3</v>
      </c>
    </row>
    <row r="445" spans="1:2" x14ac:dyDescent="0.25">
      <c r="A445" s="15" t="s">
        <v>384</v>
      </c>
      <c r="B445" s="19">
        <v>3</v>
      </c>
    </row>
    <row r="446" spans="1:2" x14ac:dyDescent="0.25">
      <c r="A446" s="15" t="s">
        <v>96</v>
      </c>
      <c r="B446" s="19">
        <v>3</v>
      </c>
    </row>
    <row r="447" spans="1:2" x14ac:dyDescent="0.25">
      <c r="A447" s="15" t="s">
        <v>467</v>
      </c>
      <c r="B447" s="19">
        <v>3</v>
      </c>
    </row>
    <row r="448" spans="1:2" x14ac:dyDescent="0.25">
      <c r="A448" s="15" t="s">
        <v>519</v>
      </c>
      <c r="B448" s="19">
        <v>3</v>
      </c>
    </row>
    <row r="449" spans="1:2" x14ac:dyDescent="0.25">
      <c r="A449" s="15" t="s">
        <v>444</v>
      </c>
      <c r="B449" s="19">
        <v>3</v>
      </c>
    </row>
    <row r="450" spans="1:2" x14ac:dyDescent="0.25">
      <c r="A450" s="15" t="s">
        <v>264</v>
      </c>
      <c r="B450" s="19">
        <v>3</v>
      </c>
    </row>
    <row r="451" spans="1:2" x14ac:dyDescent="0.25">
      <c r="A451" s="15" t="s">
        <v>151</v>
      </c>
      <c r="B451" s="19">
        <v>2</v>
      </c>
    </row>
    <row r="452" spans="1:2" x14ac:dyDescent="0.25">
      <c r="A452" s="15" t="s">
        <v>495</v>
      </c>
      <c r="B452" s="19">
        <v>2</v>
      </c>
    </row>
    <row r="453" spans="1:2" x14ac:dyDescent="0.25">
      <c r="A453" s="15" t="s">
        <v>499</v>
      </c>
      <c r="B453" s="19">
        <v>2</v>
      </c>
    </row>
    <row r="454" spans="1:2" x14ac:dyDescent="0.25">
      <c r="A454" s="15" t="s">
        <v>511</v>
      </c>
      <c r="B454" s="19">
        <v>2</v>
      </c>
    </row>
    <row r="455" spans="1:2" x14ac:dyDescent="0.25">
      <c r="A455" s="15" t="s">
        <v>434</v>
      </c>
      <c r="B455" s="19">
        <v>2</v>
      </c>
    </row>
    <row r="456" spans="1:2" x14ac:dyDescent="0.25">
      <c r="A456" s="15" t="s">
        <v>71</v>
      </c>
      <c r="B456" s="19">
        <v>2</v>
      </c>
    </row>
    <row r="457" spans="1:2" x14ac:dyDescent="0.25">
      <c r="A457" s="15" t="s">
        <v>298</v>
      </c>
      <c r="B457" s="19">
        <v>1</v>
      </c>
    </row>
    <row r="458" spans="1:2" x14ac:dyDescent="0.25">
      <c r="A458" s="15" t="s">
        <v>381</v>
      </c>
      <c r="B458" s="19">
        <v>1</v>
      </c>
    </row>
    <row r="459" spans="1:2" x14ac:dyDescent="0.25">
      <c r="A459" s="15" t="s">
        <v>510</v>
      </c>
      <c r="B459" s="19">
        <v>1</v>
      </c>
    </row>
    <row r="460" spans="1:2" x14ac:dyDescent="0.25">
      <c r="A460" s="15" t="s">
        <v>394</v>
      </c>
      <c r="B460" s="19">
        <v>1</v>
      </c>
    </row>
    <row r="461" spans="1:2" x14ac:dyDescent="0.25">
      <c r="A461" s="15" t="s">
        <v>146</v>
      </c>
      <c r="B461" s="19">
        <v>1</v>
      </c>
    </row>
    <row r="462" spans="1:2" x14ac:dyDescent="0.25">
      <c r="A462" s="15" t="s">
        <v>330</v>
      </c>
      <c r="B462" s="19">
        <v>1</v>
      </c>
    </row>
    <row r="463" spans="1:2" x14ac:dyDescent="0.25">
      <c r="A463" s="15" t="s">
        <v>78</v>
      </c>
      <c r="B463" s="19">
        <v>1</v>
      </c>
    </row>
    <row r="464" spans="1:2" x14ac:dyDescent="0.25">
      <c r="A464" s="15" t="s">
        <v>494</v>
      </c>
      <c r="B464" s="19">
        <v>1</v>
      </c>
    </row>
    <row r="465" spans="1:24" x14ac:dyDescent="0.25">
      <c r="A465" s="15" t="s">
        <v>513</v>
      </c>
      <c r="B465" s="19">
        <v>1</v>
      </c>
    </row>
    <row r="466" spans="1:24" x14ac:dyDescent="0.25">
      <c r="A466" s="15" t="s">
        <v>223</v>
      </c>
      <c r="B466" s="19">
        <v>1</v>
      </c>
    </row>
    <row r="467" spans="1:24" x14ac:dyDescent="0.25">
      <c r="A467" s="15" t="s">
        <v>132</v>
      </c>
      <c r="B467" s="19">
        <v>1</v>
      </c>
    </row>
    <row r="468" spans="1:24" x14ac:dyDescent="0.25">
      <c r="A468" s="15" t="s">
        <v>114</v>
      </c>
      <c r="B468" s="19">
        <v>1</v>
      </c>
    </row>
    <row r="469" spans="1:24" x14ac:dyDescent="0.25">
      <c r="A469" s="15" t="s">
        <v>204</v>
      </c>
      <c r="B469" s="19">
        <v>1</v>
      </c>
    </row>
    <row r="470" spans="1:24" x14ac:dyDescent="0.25">
      <c r="A470" s="15" t="s">
        <v>514</v>
      </c>
      <c r="B470" s="19">
        <v>1</v>
      </c>
    </row>
    <row r="471" spans="1:24" x14ac:dyDescent="0.25">
      <c r="A471" s="26" t="s">
        <v>496</v>
      </c>
      <c r="B471" s="25">
        <v>596</v>
      </c>
    </row>
    <row r="472" spans="1:24" s="7" customFormat="1" x14ac:dyDescent="0.25">
      <c r="A472"/>
      <c r="B472"/>
      <c r="C472"/>
      <c r="D472"/>
      <c r="E472"/>
      <c r="F472"/>
      <c r="G472"/>
      <c r="H472"/>
      <c r="I472"/>
      <c r="J472"/>
      <c r="K472"/>
      <c r="L472"/>
      <c r="M472"/>
      <c r="N472"/>
      <c r="O472"/>
      <c r="P472"/>
      <c r="Q472"/>
      <c r="R472"/>
      <c r="S472"/>
      <c r="T472"/>
      <c r="U472"/>
      <c r="V472"/>
      <c r="W472"/>
      <c r="X472"/>
    </row>
    <row r="473" spans="1:24" s="7" customFormat="1" ht="15.75" thickBot="1" x14ac:dyDescent="0.3">
      <c r="A473"/>
      <c r="B473"/>
      <c r="C473"/>
      <c r="D473"/>
      <c r="E473"/>
      <c r="F473"/>
      <c r="G473"/>
      <c r="H473"/>
      <c r="I473"/>
      <c r="J473"/>
      <c r="K473"/>
      <c r="L473"/>
      <c r="M473"/>
      <c r="N473"/>
      <c r="O473"/>
      <c r="P473"/>
      <c r="Q473"/>
      <c r="R473"/>
      <c r="S473"/>
      <c r="T473"/>
      <c r="U473"/>
      <c r="V473"/>
      <c r="W473"/>
      <c r="X473"/>
    </row>
    <row r="474" spans="1:24" ht="15.75" thickBot="1" x14ac:dyDescent="0.3">
      <c r="A474" s="433" t="s">
        <v>520</v>
      </c>
      <c r="B474" s="434"/>
    </row>
    <row r="475" spans="1:24" x14ac:dyDescent="0.25">
      <c r="A475" s="24" t="s">
        <v>491</v>
      </c>
      <c r="B475" s="23" t="s">
        <v>492</v>
      </c>
    </row>
    <row r="476" spans="1:24" x14ac:dyDescent="0.25">
      <c r="A476" s="19" t="s">
        <v>342</v>
      </c>
      <c r="B476" s="19">
        <v>139</v>
      </c>
    </row>
    <row r="477" spans="1:24" x14ac:dyDescent="0.25">
      <c r="A477" s="19" t="s">
        <v>507</v>
      </c>
      <c r="B477" s="19">
        <v>56</v>
      </c>
    </row>
    <row r="478" spans="1:24" x14ac:dyDescent="0.25">
      <c r="A478" s="19" t="s">
        <v>224</v>
      </c>
      <c r="B478" s="19">
        <v>31</v>
      </c>
      <c r="C478" s="17"/>
    </row>
    <row r="479" spans="1:24" x14ac:dyDescent="0.25">
      <c r="A479" s="19" t="s">
        <v>516</v>
      </c>
      <c r="B479" s="19">
        <v>27</v>
      </c>
    </row>
    <row r="480" spans="1:24" x14ac:dyDescent="0.25">
      <c r="A480" s="19" t="s">
        <v>129</v>
      </c>
      <c r="B480" s="19">
        <v>26</v>
      </c>
    </row>
    <row r="481" spans="1:2" x14ac:dyDescent="0.25">
      <c r="A481" s="19" t="s">
        <v>306</v>
      </c>
      <c r="B481" s="19">
        <v>22</v>
      </c>
    </row>
    <row r="482" spans="1:2" x14ac:dyDescent="0.25">
      <c r="A482" s="19" t="s">
        <v>119</v>
      </c>
      <c r="B482" s="19">
        <v>19</v>
      </c>
    </row>
    <row r="483" spans="1:2" x14ac:dyDescent="0.25">
      <c r="A483" s="19" t="s">
        <v>453</v>
      </c>
      <c r="B483" s="19">
        <v>17</v>
      </c>
    </row>
    <row r="484" spans="1:2" x14ac:dyDescent="0.25">
      <c r="A484" s="19" t="s">
        <v>505</v>
      </c>
      <c r="B484" s="19">
        <v>15</v>
      </c>
    </row>
    <row r="485" spans="1:2" x14ac:dyDescent="0.25">
      <c r="A485" s="19" t="s">
        <v>227</v>
      </c>
      <c r="B485" s="19">
        <v>15</v>
      </c>
    </row>
    <row r="486" spans="1:2" x14ac:dyDescent="0.25">
      <c r="A486" s="19" t="s">
        <v>255</v>
      </c>
      <c r="B486" s="19">
        <v>14</v>
      </c>
    </row>
    <row r="487" spans="1:2" x14ac:dyDescent="0.25">
      <c r="A487" s="19" t="s">
        <v>404</v>
      </c>
      <c r="B487" s="19">
        <v>14</v>
      </c>
    </row>
    <row r="488" spans="1:2" x14ac:dyDescent="0.25">
      <c r="A488" s="19" t="s">
        <v>271</v>
      </c>
      <c r="B488" s="19">
        <v>12</v>
      </c>
    </row>
    <row r="489" spans="1:2" x14ac:dyDescent="0.25">
      <c r="A489" s="19" t="s">
        <v>91</v>
      </c>
      <c r="B489" s="19">
        <v>11</v>
      </c>
    </row>
    <row r="490" spans="1:2" x14ac:dyDescent="0.25">
      <c r="A490" s="19" t="s">
        <v>517</v>
      </c>
      <c r="B490" s="19">
        <v>11</v>
      </c>
    </row>
    <row r="491" spans="1:2" x14ac:dyDescent="0.25">
      <c r="A491" s="19" t="s">
        <v>212</v>
      </c>
      <c r="B491" s="19">
        <v>11</v>
      </c>
    </row>
    <row r="492" spans="1:2" x14ac:dyDescent="0.25">
      <c r="A492" s="19" t="s">
        <v>482</v>
      </c>
      <c r="B492" s="19">
        <v>10</v>
      </c>
    </row>
    <row r="493" spans="1:2" x14ac:dyDescent="0.25">
      <c r="A493" s="19" t="s">
        <v>86</v>
      </c>
      <c r="B493" s="19">
        <v>10</v>
      </c>
    </row>
    <row r="494" spans="1:2" x14ac:dyDescent="0.25">
      <c r="A494" s="19" t="s">
        <v>447</v>
      </c>
      <c r="B494" s="19">
        <v>10</v>
      </c>
    </row>
    <row r="495" spans="1:2" x14ac:dyDescent="0.25">
      <c r="A495" s="19" t="s">
        <v>237</v>
      </c>
      <c r="B495" s="19">
        <v>9</v>
      </c>
    </row>
    <row r="496" spans="1:2" x14ac:dyDescent="0.25">
      <c r="A496" s="19" t="s">
        <v>518</v>
      </c>
      <c r="B496" s="19">
        <v>8</v>
      </c>
    </row>
    <row r="497" spans="1:2" x14ac:dyDescent="0.25">
      <c r="A497" s="19" t="s">
        <v>189</v>
      </c>
      <c r="B497" s="19">
        <v>8</v>
      </c>
    </row>
    <row r="498" spans="1:2" x14ac:dyDescent="0.25">
      <c r="A498" s="19" t="s">
        <v>345</v>
      </c>
      <c r="B498" s="19">
        <v>8</v>
      </c>
    </row>
    <row r="499" spans="1:2" x14ac:dyDescent="0.25">
      <c r="A499" s="19" t="s">
        <v>124</v>
      </c>
      <c r="B499" s="19">
        <v>8</v>
      </c>
    </row>
    <row r="500" spans="1:2" x14ac:dyDescent="0.25">
      <c r="A500" s="19" t="s">
        <v>407</v>
      </c>
      <c r="B500" s="19">
        <v>7</v>
      </c>
    </row>
    <row r="501" spans="1:2" x14ac:dyDescent="0.25">
      <c r="A501" s="19" t="s">
        <v>368</v>
      </c>
      <c r="B501" s="19">
        <v>6</v>
      </c>
    </row>
    <row r="502" spans="1:2" x14ac:dyDescent="0.25">
      <c r="A502" s="19" t="s">
        <v>502</v>
      </c>
      <c r="B502" s="19">
        <v>5</v>
      </c>
    </row>
    <row r="503" spans="1:2" x14ac:dyDescent="0.25">
      <c r="A503" s="19" t="s">
        <v>146</v>
      </c>
      <c r="B503" s="19">
        <v>4</v>
      </c>
    </row>
    <row r="504" spans="1:2" x14ac:dyDescent="0.25">
      <c r="A504" s="19" t="s">
        <v>444</v>
      </c>
      <c r="B504" s="19">
        <v>4</v>
      </c>
    </row>
    <row r="505" spans="1:2" x14ac:dyDescent="0.25">
      <c r="A505" s="19" t="s">
        <v>519</v>
      </c>
      <c r="B505" s="19">
        <v>3</v>
      </c>
    </row>
    <row r="506" spans="1:2" x14ac:dyDescent="0.25">
      <c r="A506" s="19" t="s">
        <v>96</v>
      </c>
      <c r="B506" s="19">
        <v>3</v>
      </c>
    </row>
    <row r="507" spans="1:2" x14ac:dyDescent="0.25">
      <c r="A507" s="19" t="s">
        <v>467</v>
      </c>
      <c r="B507" s="19">
        <v>3</v>
      </c>
    </row>
    <row r="508" spans="1:2" x14ac:dyDescent="0.25">
      <c r="A508" s="19" t="s">
        <v>384</v>
      </c>
      <c r="B508" s="19">
        <v>3</v>
      </c>
    </row>
    <row r="509" spans="1:2" x14ac:dyDescent="0.25">
      <c r="A509" s="19" t="s">
        <v>510</v>
      </c>
      <c r="B509" s="19">
        <v>3</v>
      </c>
    </row>
    <row r="510" spans="1:2" x14ac:dyDescent="0.25">
      <c r="A510" s="19" t="s">
        <v>264</v>
      </c>
      <c r="B510" s="19">
        <v>3</v>
      </c>
    </row>
    <row r="511" spans="1:2" x14ac:dyDescent="0.25">
      <c r="A511" s="19" t="s">
        <v>509</v>
      </c>
      <c r="B511" s="19">
        <v>2</v>
      </c>
    </row>
    <row r="512" spans="1:2" x14ac:dyDescent="0.25">
      <c r="A512" s="19" t="s">
        <v>412</v>
      </c>
      <c r="B512" s="19">
        <v>2</v>
      </c>
    </row>
    <row r="513" spans="1:6" x14ac:dyDescent="0.25">
      <c r="A513" s="19" t="s">
        <v>298</v>
      </c>
      <c r="B513" s="19">
        <v>2</v>
      </c>
    </row>
    <row r="514" spans="1:6" x14ac:dyDescent="0.25">
      <c r="A514" s="19" t="s">
        <v>179</v>
      </c>
      <c r="B514" s="19">
        <v>2</v>
      </c>
    </row>
    <row r="515" spans="1:6" x14ac:dyDescent="0.25">
      <c r="A515" s="19" t="s">
        <v>71</v>
      </c>
      <c r="B515" s="19">
        <v>2</v>
      </c>
    </row>
    <row r="516" spans="1:6" x14ac:dyDescent="0.25">
      <c r="A516" s="19" t="s">
        <v>381</v>
      </c>
      <c r="B516" s="19">
        <v>1</v>
      </c>
    </row>
    <row r="517" spans="1:6" x14ac:dyDescent="0.25">
      <c r="A517" s="19" t="s">
        <v>511</v>
      </c>
      <c r="B517" s="19">
        <v>1</v>
      </c>
    </row>
    <row r="518" spans="1:6" x14ac:dyDescent="0.25">
      <c r="A518" s="19" t="s">
        <v>275</v>
      </c>
      <c r="B518" s="19">
        <v>1</v>
      </c>
    </row>
    <row r="519" spans="1:6" x14ac:dyDescent="0.25">
      <c r="A519" s="19" t="s">
        <v>521</v>
      </c>
      <c r="B519" s="19">
        <v>1</v>
      </c>
    </row>
    <row r="520" spans="1:6" x14ac:dyDescent="0.25">
      <c r="A520" s="19" t="s">
        <v>114</v>
      </c>
      <c r="B520" s="19">
        <v>1</v>
      </c>
    </row>
    <row r="521" spans="1:6" x14ac:dyDescent="0.25">
      <c r="A521" s="19" t="s">
        <v>394</v>
      </c>
      <c r="B521" s="19">
        <v>1</v>
      </c>
    </row>
    <row r="522" spans="1:6" x14ac:dyDescent="0.25">
      <c r="A522" s="19" t="s">
        <v>132</v>
      </c>
      <c r="B522" s="19">
        <v>1</v>
      </c>
      <c r="F522" t="s">
        <v>522</v>
      </c>
    </row>
    <row r="523" spans="1:6" x14ac:dyDescent="0.25">
      <c r="A523" s="19" t="s">
        <v>523</v>
      </c>
      <c r="B523" s="19">
        <v>1</v>
      </c>
    </row>
    <row r="524" spans="1:6" x14ac:dyDescent="0.25">
      <c r="A524" s="19" t="s">
        <v>78</v>
      </c>
      <c r="B524" s="19">
        <v>1</v>
      </c>
    </row>
    <row r="525" spans="1:6" x14ac:dyDescent="0.25">
      <c r="A525" s="19" t="s">
        <v>330</v>
      </c>
      <c r="B525" s="19">
        <v>1</v>
      </c>
    </row>
    <row r="526" spans="1:6" x14ac:dyDescent="0.25">
      <c r="A526" s="19" t="s">
        <v>464</v>
      </c>
      <c r="B526" s="19">
        <v>1</v>
      </c>
    </row>
    <row r="527" spans="1:6" x14ac:dyDescent="0.25">
      <c r="A527" s="19" t="s">
        <v>151</v>
      </c>
      <c r="B527" s="19">
        <v>1</v>
      </c>
    </row>
    <row r="528" spans="1:6" x14ac:dyDescent="0.25">
      <c r="A528" s="19" t="s">
        <v>309</v>
      </c>
      <c r="B528" s="19">
        <v>1</v>
      </c>
    </row>
    <row r="529" spans="1:3" x14ac:dyDescent="0.25">
      <c r="A529" s="19" t="s">
        <v>513</v>
      </c>
      <c r="B529" s="19">
        <v>1</v>
      </c>
    </row>
    <row r="530" spans="1:3" x14ac:dyDescent="0.25">
      <c r="A530" s="19" t="s">
        <v>434</v>
      </c>
      <c r="B530" s="19">
        <v>1</v>
      </c>
    </row>
    <row r="531" spans="1:3" x14ac:dyDescent="0.25">
      <c r="A531" s="19" t="s">
        <v>514</v>
      </c>
      <c r="B531" s="19">
        <v>1</v>
      </c>
    </row>
    <row r="532" spans="1:3" x14ac:dyDescent="0.25">
      <c r="A532" s="22" t="s">
        <v>496</v>
      </c>
      <c r="B532" s="22">
        <v>581</v>
      </c>
    </row>
    <row r="534" spans="1:3" ht="15.75" thickBot="1" x14ac:dyDescent="0.3"/>
    <row r="535" spans="1:3" ht="15.75" thickBot="1" x14ac:dyDescent="0.3">
      <c r="A535" s="430" t="s">
        <v>524</v>
      </c>
      <c r="B535" s="431"/>
    </row>
    <row r="536" spans="1:3" x14ac:dyDescent="0.25">
      <c r="A536" s="21" t="s">
        <v>491</v>
      </c>
      <c r="B536" s="20" t="s">
        <v>492</v>
      </c>
    </row>
    <row r="537" spans="1:3" x14ac:dyDescent="0.25">
      <c r="A537" s="19" t="s">
        <v>342</v>
      </c>
      <c r="B537" s="19">
        <v>125</v>
      </c>
    </row>
    <row r="538" spans="1:3" x14ac:dyDescent="0.25">
      <c r="A538" s="19" t="s">
        <v>340</v>
      </c>
      <c r="B538" s="19">
        <v>51</v>
      </c>
    </row>
    <row r="539" spans="1:3" x14ac:dyDescent="0.25">
      <c r="A539" s="19" t="s">
        <v>516</v>
      </c>
      <c r="B539" s="19">
        <v>32</v>
      </c>
      <c r="C539" s="17"/>
    </row>
    <row r="540" spans="1:3" x14ac:dyDescent="0.25">
      <c r="A540" s="19" t="s">
        <v>306</v>
      </c>
      <c r="B540" s="19">
        <v>22</v>
      </c>
    </row>
    <row r="541" spans="1:3" x14ac:dyDescent="0.25">
      <c r="A541" s="19" t="s">
        <v>129</v>
      </c>
      <c r="B541" s="19">
        <v>18</v>
      </c>
    </row>
    <row r="542" spans="1:3" x14ac:dyDescent="0.25">
      <c r="A542" s="19" t="s">
        <v>227</v>
      </c>
      <c r="B542" s="19">
        <v>15</v>
      </c>
    </row>
    <row r="543" spans="1:3" x14ac:dyDescent="0.25">
      <c r="A543" s="19" t="s">
        <v>505</v>
      </c>
      <c r="B543" s="19">
        <v>15</v>
      </c>
    </row>
    <row r="544" spans="1:3" x14ac:dyDescent="0.25">
      <c r="A544" s="19" t="s">
        <v>224</v>
      </c>
      <c r="B544" s="19">
        <v>15</v>
      </c>
    </row>
    <row r="545" spans="1:2" x14ac:dyDescent="0.25">
      <c r="A545" s="19" t="s">
        <v>447</v>
      </c>
      <c r="B545" s="19">
        <v>14</v>
      </c>
    </row>
    <row r="546" spans="1:2" x14ac:dyDescent="0.25">
      <c r="A546" s="19" t="s">
        <v>119</v>
      </c>
      <c r="B546" s="19">
        <v>14</v>
      </c>
    </row>
    <row r="547" spans="1:2" x14ac:dyDescent="0.25">
      <c r="A547" s="19" t="s">
        <v>237</v>
      </c>
      <c r="B547" s="19">
        <v>14</v>
      </c>
    </row>
    <row r="548" spans="1:2" x14ac:dyDescent="0.25">
      <c r="A548" s="19" t="s">
        <v>124</v>
      </c>
      <c r="B548" s="19">
        <v>12</v>
      </c>
    </row>
    <row r="549" spans="1:2" x14ac:dyDescent="0.25">
      <c r="A549" s="19" t="s">
        <v>517</v>
      </c>
      <c r="B549" s="19">
        <v>12</v>
      </c>
    </row>
    <row r="550" spans="1:2" x14ac:dyDescent="0.25">
      <c r="A550" s="19" t="s">
        <v>482</v>
      </c>
      <c r="B550" s="19">
        <v>11</v>
      </c>
    </row>
    <row r="551" spans="1:2" x14ac:dyDescent="0.25">
      <c r="A551" s="19" t="s">
        <v>525</v>
      </c>
      <c r="B551" s="19">
        <v>10</v>
      </c>
    </row>
    <row r="552" spans="1:2" x14ac:dyDescent="0.25">
      <c r="A552" s="19" t="s">
        <v>212</v>
      </c>
      <c r="B552" s="19">
        <v>10</v>
      </c>
    </row>
    <row r="553" spans="1:2" x14ac:dyDescent="0.25">
      <c r="A553" s="19" t="s">
        <v>189</v>
      </c>
      <c r="B553" s="19">
        <v>9</v>
      </c>
    </row>
    <row r="554" spans="1:2" x14ac:dyDescent="0.25">
      <c r="A554" s="19" t="s">
        <v>345</v>
      </c>
      <c r="B554" s="19">
        <v>9</v>
      </c>
    </row>
    <row r="555" spans="1:2" x14ac:dyDescent="0.25">
      <c r="A555" s="19" t="s">
        <v>407</v>
      </c>
      <c r="B555" s="19">
        <v>8</v>
      </c>
    </row>
    <row r="556" spans="1:2" x14ac:dyDescent="0.25">
      <c r="A556" s="19" t="s">
        <v>526</v>
      </c>
      <c r="B556" s="19">
        <v>8</v>
      </c>
    </row>
    <row r="557" spans="1:2" x14ac:dyDescent="0.25">
      <c r="A557" s="19" t="s">
        <v>453</v>
      </c>
      <c r="B557" s="19">
        <v>8</v>
      </c>
    </row>
    <row r="558" spans="1:2" x14ac:dyDescent="0.25">
      <c r="A558" s="19" t="s">
        <v>271</v>
      </c>
      <c r="B558" s="19">
        <v>8</v>
      </c>
    </row>
    <row r="559" spans="1:2" x14ac:dyDescent="0.25">
      <c r="A559" s="19" t="s">
        <v>146</v>
      </c>
      <c r="B559" s="19">
        <v>8</v>
      </c>
    </row>
    <row r="560" spans="1:2" x14ac:dyDescent="0.25">
      <c r="A560" s="19" t="s">
        <v>518</v>
      </c>
      <c r="B560" s="19">
        <v>7</v>
      </c>
    </row>
    <row r="561" spans="1:2" x14ac:dyDescent="0.25">
      <c r="A561" s="19" t="s">
        <v>255</v>
      </c>
      <c r="B561" s="19">
        <v>7</v>
      </c>
    </row>
    <row r="562" spans="1:2" x14ac:dyDescent="0.25">
      <c r="A562" s="19" t="s">
        <v>527</v>
      </c>
      <c r="B562" s="19">
        <v>6</v>
      </c>
    </row>
    <row r="563" spans="1:2" x14ac:dyDescent="0.25">
      <c r="A563" s="19" t="s">
        <v>368</v>
      </c>
      <c r="B563" s="19">
        <v>5</v>
      </c>
    </row>
    <row r="564" spans="1:2" x14ac:dyDescent="0.25">
      <c r="A564" s="19" t="s">
        <v>289</v>
      </c>
      <c r="B564" s="19">
        <v>5</v>
      </c>
    </row>
    <row r="565" spans="1:2" x14ac:dyDescent="0.25">
      <c r="A565" s="19" t="s">
        <v>528</v>
      </c>
      <c r="B565" s="19">
        <v>4</v>
      </c>
    </row>
    <row r="566" spans="1:2" x14ac:dyDescent="0.25">
      <c r="A566" s="19" t="s">
        <v>223</v>
      </c>
      <c r="B566" s="19">
        <v>4</v>
      </c>
    </row>
    <row r="567" spans="1:2" x14ac:dyDescent="0.25">
      <c r="A567" s="19" t="s">
        <v>229</v>
      </c>
      <c r="B567" s="19">
        <v>4</v>
      </c>
    </row>
    <row r="568" spans="1:2" x14ac:dyDescent="0.25">
      <c r="A568" s="19" t="s">
        <v>412</v>
      </c>
      <c r="B568" s="19">
        <v>3</v>
      </c>
    </row>
    <row r="569" spans="1:2" x14ac:dyDescent="0.25">
      <c r="A569" s="19" t="s">
        <v>371</v>
      </c>
      <c r="B569" s="19">
        <v>3</v>
      </c>
    </row>
    <row r="570" spans="1:2" x14ac:dyDescent="0.25">
      <c r="A570" s="19" t="s">
        <v>384</v>
      </c>
      <c r="B570" s="19">
        <v>3</v>
      </c>
    </row>
    <row r="571" spans="1:2" x14ac:dyDescent="0.25">
      <c r="A571" s="19" t="s">
        <v>179</v>
      </c>
      <c r="B571" s="19">
        <v>2</v>
      </c>
    </row>
    <row r="572" spans="1:2" x14ac:dyDescent="0.25">
      <c r="A572" s="19" t="s">
        <v>71</v>
      </c>
      <c r="B572" s="19">
        <v>2</v>
      </c>
    </row>
    <row r="573" spans="1:2" x14ac:dyDescent="0.25">
      <c r="A573" s="19" t="s">
        <v>155</v>
      </c>
      <c r="B573" s="19">
        <v>2</v>
      </c>
    </row>
    <row r="574" spans="1:2" x14ac:dyDescent="0.25">
      <c r="A574" s="19" t="s">
        <v>394</v>
      </c>
      <c r="B574" s="19">
        <v>2</v>
      </c>
    </row>
    <row r="575" spans="1:2" x14ac:dyDescent="0.25">
      <c r="A575" s="19" t="s">
        <v>502</v>
      </c>
      <c r="B575" s="19">
        <v>2</v>
      </c>
    </row>
    <row r="576" spans="1:2" x14ac:dyDescent="0.25">
      <c r="A576" s="19" t="s">
        <v>96</v>
      </c>
      <c r="B576" s="19">
        <v>2</v>
      </c>
    </row>
    <row r="577" spans="1:6" x14ac:dyDescent="0.25">
      <c r="A577" s="19" t="s">
        <v>390</v>
      </c>
      <c r="B577" s="19">
        <v>2</v>
      </c>
    </row>
    <row r="578" spans="1:6" x14ac:dyDescent="0.25">
      <c r="A578" s="19" t="s">
        <v>264</v>
      </c>
      <c r="B578" s="19">
        <v>2</v>
      </c>
    </row>
    <row r="579" spans="1:6" x14ac:dyDescent="0.25">
      <c r="A579" s="19" t="s">
        <v>330</v>
      </c>
      <c r="B579" s="19">
        <v>1</v>
      </c>
    </row>
    <row r="580" spans="1:6" x14ac:dyDescent="0.25">
      <c r="A580" s="19" t="s">
        <v>91</v>
      </c>
      <c r="B580" s="19">
        <v>1</v>
      </c>
    </row>
    <row r="581" spans="1:6" x14ac:dyDescent="0.25">
      <c r="A581" s="19" t="s">
        <v>464</v>
      </c>
      <c r="B581" s="19">
        <v>1</v>
      </c>
    </row>
    <row r="582" spans="1:6" x14ac:dyDescent="0.25">
      <c r="A582" s="19" t="s">
        <v>191</v>
      </c>
      <c r="B582" s="19">
        <v>1</v>
      </c>
    </row>
    <row r="583" spans="1:6" x14ac:dyDescent="0.25">
      <c r="A583" s="19" t="s">
        <v>467</v>
      </c>
      <c r="B583" s="19">
        <v>1</v>
      </c>
      <c r="F583" t="s">
        <v>522</v>
      </c>
    </row>
    <row r="584" spans="1:6" x14ac:dyDescent="0.25">
      <c r="A584" s="19" t="s">
        <v>410</v>
      </c>
      <c r="B584" s="19">
        <v>1</v>
      </c>
    </row>
    <row r="585" spans="1:6" x14ac:dyDescent="0.25">
      <c r="A585" s="19" t="s">
        <v>434</v>
      </c>
      <c r="B585" s="19">
        <v>1</v>
      </c>
    </row>
    <row r="586" spans="1:6" x14ac:dyDescent="0.25">
      <c r="A586" s="19" t="s">
        <v>298</v>
      </c>
      <c r="B586" s="19">
        <v>1</v>
      </c>
    </row>
    <row r="587" spans="1:6" ht="15.75" thickBot="1" x14ac:dyDescent="0.3">
      <c r="A587" s="18" t="s">
        <v>496</v>
      </c>
      <c r="B587" s="18">
        <v>523</v>
      </c>
    </row>
  </sheetData>
  <mergeCells count="11">
    <mergeCell ref="A535:B535"/>
    <mergeCell ref="A1:B2"/>
    <mergeCell ref="A298:B298"/>
    <mergeCell ref="A474:B474"/>
    <mergeCell ref="A414:B414"/>
    <mergeCell ref="A355:B355"/>
    <mergeCell ref="A3:B3"/>
    <mergeCell ref="A240:B240"/>
    <mergeCell ref="A185:B185"/>
    <mergeCell ref="A131:B131"/>
    <mergeCell ref="A68:B68"/>
  </mergeCell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5F8A8D-A7A1-45D5-88F9-3CA690DCCFE3}">
  <sheetPr codeName="Sheet6"/>
  <dimension ref="A1:BD282"/>
  <sheetViews>
    <sheetView zoomScale="85" zoomScaleNormal="85" workbookViewId="0">
      <selection activeCell="F8" sqref="F8"/>
    </sheetView>
  </sheetViews>
  <sheetFormatPr defaultRowHeight="15.75" x14ac:dyDescent="0.25"/>
  <cols>
    <col min="1" max="1" width="23.42578125" customWidth="1"/>
    <col min="2" max="2" width="16.85546875" customWidth="1"/>
    <col min="3" max="3" width="37.140625" bestFit="1" customWidth="1"/>
    <col min="4" max="4" width="34.85546875" customWidth="1"/>
    <col min="5" max="9" width="19.5703125" customWidth="1"/>
    <col min="10" max="10" width="15" customWidth="1"/>
    <col min="13" max="13" width="8.7109375" style="3"/>
  </cols>
  <sheetData>
    <row r="1" spans="1:56" ht="26.25" customHeight="1" thickBot="1" x14ac:dyDescent="0.3">
      <c r="A1" s="435" t="s">
        <v>529</v>
      </c>
      <c r="B1" s="436"/>
      <c r="C1" s="436"/>
      <c r="D1" s="436"/>
      <c r="E1" s="42"/>
      <c r="F1" s="42"/>
      <c r="G1" s="42"/>
      <c r="H1" s="41"/>
      <c r="I1" s="3"/>
      <c r="J1" s="3"/>
      <c r="K1" s="3"/>
      <c r="L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row>
    <row r="2" spans="1:56" ht="110.1" customHeight="1" thickBot="1" x14ac:dyDescent="0.3">
      <c r="A2" s="438" t="s">
        <v>530</v>
      </c>
      <c r="B2" s="439"/>
      <c r="C2" s="439"/>
      <c r="D2" s="439"/>
      <c r="E2" s="439"/>
      <c r="F2" s="439"/>
      <c r="G2" s="439"/>
      <c r="H2" s="440"/>
      <c r="I2" s="3"/>
      <c r="J2" s="3"/>
      <c r="K2" s="3"/>
      <c r="L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row>
    <row r="3" spans="1:56" x14ac:dyDescent="0.25">
      <c r="I3" s="3"/>
      <c r="J3" s="3"/>
      <c r="K3" s="3"/>
      <c r="L3" s="3"/>
      <c r="N3" s="3"/>
      <c r="O3" s="3"/>
      <c r="P3" s="3"/>
      <c r="Q3" s="3"/>
      <c r="R3" s="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row>
    <row r="4" spans="1:56" ht="16.5" thickBot="1" x14ac:dyDescent="0.3">
      <c r="A4" s="40"/>
      <c r="I4" s="3"/>
      <c r="J4" s="3"/>
      <c r="K4" s="3"/>
      <c r="L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row>
    <row r="5" spans="1:56" ht="29.25" customHeight="1" thickBot="1" x14ac:dyDescent="0.3">
      <c r="A5" s="435" t="s">
        <v>531</v>
      </c>
      <c r="B5" s="436"/>
      <c r="C5" s="436"/>
      <c r="D5" s="437"/>
      <c r="I5" s="3"/>
      <c r="J5" s="3"/>
      <c r="K5" s="3"/>
      <c r="L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row>
    <row r="6" spans="1:56" ht="48" customHeight="1" thickBot="1" x14ac:dyDescent="0.3">
      <c r="A6" s="37" t="s">
        <v>532</v>
      </c>
      <c r="B6" s="36" t="s">
        <v>533</v>
      </c>
      <c r="C6" s="36" t="s">
        <v>534</v>
      </c>
      <c r="D6" s="36" t="s">
        <v>535</v>
      </c>
      <c r="I6" s="3"/>
      <c r="J6" s="3"/>
      <c r="K6" s="3"/>
      <c r="L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row>
    <row r="7" spans="1:56" ht="16.5" thickBot="1" x14ac:dyDescent="0.3">
      <c r="A7" s="34" t="s">
        <v>536</v>
      </c>
      <c r="B7" s="33">
        <v>41</v>
      </c>
      <c r="C7" s="33">
        <v>14.46</v>
      </c>
      <c r="D7" s="33">
        <v>19.63</v>
      </c>
      <c r="I7" s="3"/>
      <c r="J7" s="3"/>
      <c r="K7" s="3"/>
      <c r="L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row>
    <row r="8" spans="1:56" ht="16.5" thickBot="1" x14ac:dyDescent="0.3">
      <c r="A8" s="34" t="s">
        <v>537</v>
      </c>
      <c r="B8" s="33">
        <v>10</v>
      </c>
      <c r="C8" s="33">
        <v>26.3</v>
      </c>
      <c r="D8" s="33">
        <v>29.5</v>
      </c>
      <c r="I8" s="3"/>
      <c r="J8" s="3"/>
      <c r="K8" s="3"/>
      <c r="L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row>
    <row r="9" spans="1:56" ht="16.5" thickBot="1" x14ac:dyDescent="0.3">
      <c r="A9" s="34" t="s">
        <v>538</v>
      </c>
      <c r="B9" s="33">
        <v>231</v>
      </c>
      <c r="C9" s="33">
        <v>10.48</v>
      </c>
      <c r="D9" s="33">
        <v>12.6</v>
      </c>
      <c r="I9" s="3"/>
      <c r="J9" s="3"/>
      <c r="K9" s="3"/>
      <c r="L9" s="3"/>
      <c r="N9" s="3"/>
      <c r="O9" s="3"/>
      <c r="P9" s="3"/>
      <c r="Q9" s="3"/>
      <c r="R9" s="3"/>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row>
    <row r="10" spans="1:56" ht="45" customHeight="1" thickBot="1" x14ac:dyDescent="0.3">
      <c r="A10" s="35" t="s">
        <v>539</v>
      </c>
      <c r="B10" s="33">
        <v>12</v>
      </c>
      <c r="C10" s="33">
        <v>20.83</v>
      </c>
      <c r="D10" s="33">
        <v>25.5</v>
      </c>
      <c r="I10" s="3"/>
      <c r="J10" s="3"/>
      <c r="K10" s="3"/>
      <c r="L10" s="3"/>
      <c r="N10" s="3"/>
      <c r="O10" s="3"/>
      <c r="P10" s="3"/>
      <c r="Q10" s="3"/>
      <c r="R10" s="3"/>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row>
    <row r="11" spans="1:56" ht="16.5" thickBot="1" x14ac:dyDescent="0.3">
      <c r="A11" s="34" t="s">
        <v>540</v>
      </c>
      <c r="B11" s="33">
        <v>2</v>
      </c>
      <c r="C11" s="33">
        <v>11</v>
      </c>
      <c r="D11" s="33">
        <v>19.5</v>
      </c>
      <c r="I11" s="3"/>
      <c r="J11" s="3"/>
      <c r="K11" s="3"/>
      <c r="L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row>
    <row r="12" spans="1:56" ht="16.5" thickBot="1" x14ac:dyDescent="0.3">
      <c r="A12" s="31" t="s">
        <v>496</v>
      </c>
      <c r="B12" s="30">
        <v>296</v>
      </c>
      <c r="C12" s="30">
        <v>11.99</v>
      </c>
      <c r="D12" s="30">
        <v>14.72</v>
      </c>
      <c r="I12" s="3"/>
      <c r="J12" s="3"/>
      <c r="K12" s="3"/>
      <c r="L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row>
    <row r="13" spans="1:56" x14ac:dyDescent="0.25">
      <c r="I13" s="3"/>
      <c r="J13" s="3"/>
      <c r="K13" s="3"/>
      <c r="L13" s="3"/>
      <c r="N13" s="3"/>
      <c r="O13" s="3"/>
      <c r="P13" s="3"/>
      <c r="Q13" s="3"/>
      <c r="R13" s="3"/>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row>
    <row r="14" spans="1:56" x14ac:dyDescent="0.25">
      <c r="A14" s="441" t="s">
        <v>541</v>
      </c>
      <c r="B14" s="441"/>
      <c r="C14" s="441"/>
      <c r="D14" s="441"/>
      <c r="E14" s="441"/>
      <c r="F14" s="441"/>
      <c r="G14" s="441"/>
      <c r="H14" s="441"/>
      <c r="I14" s="3"/>
      <c r="J14" s="3"/>
      <c r="K14" s="3"/>
      <c r="L14" s="3"/>
      <c r="N14" s="3"/>
      <c r="O14" s="3"/>
      <c r="P14" s="3"/>
      <c r="Q14" s="3"/>
      <c r="R14" s="3"/>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row>
    <row r="15" spans="1:56" ht="16.5" thickBot="1" x14ac:dyDescent="0.3">
      <c r="A15" s="91"/>
      <c r="B15" s="91"/>
      <c r="C15" s="91"/>
      <c r="D15" s="91"/>
      <c r="E15" s="91"/>
      <c r="F15" s="91"/>
      <c r="G15" s="91"/>
      <c r="H15" s="91"/>
      <c r="I15" s="3"/>
      <c r="J15" s="3"/>
      <c r="K15" s="3"/>
      <c r="L15" s="3"/>
      <c r="N15" s="3"/>
      <c r="O15" s="3"/>
      <c r="P15" s="3"/>
      <c r="Q15" s="3"/>
      <c r="R15" s="3"/>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row>
    <row r="16" spans="1:56" ht="28.5" customHeight="1" thickBot="1" x14ac:dyDescent="0.3">
      <c r="A16" s="435" t="s">
        <v>542</v>
      </c>
      <c r="B16" s="436"/>
      <c r="C16" s="436"/>
      <c r="D16" s="437"/>
      <c r="I16" s="3"/>
      <c r="J16" s="3"/>
      <c r="K16" s="3"/>
      <c r="L16" s="3"/>
      <c r="N16" s="3"/>
      <c r="O16" s="3"/>
      <c r="P16" s="3"/>
      <c r="Q16" s="3"/>
      <c r="R16" s="3"/>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row>
    <row r="17" spans="1:56" ht="45.75" customHeight="1" thickBot="1" x14ac:dyDescent="0.3">
      <c r="A17" s="37" t="s">
        <v>532</v>
      </c>
      <c r="B17" s="36" t="s">
        <v>533</v>
      </c>
      <c r="C17" s="36" t="s">
        <v>534</v>
      </c>
      <c r="D17" s="36" t="s">
        <v>535</v>
      </c>
      <c r="E17" s="39"/>
      <c r="F17" s="38"/>
      <c r="G17" s="38"/>
      <c r="H17" s="38"/>
      <c r="I17" s="3"/>
      <c r="J17" s="3"/>
      <c r="K17" s="3"/>
      <c r="L17" s="3"/>
      <c r="N17" s="3"/>
      <c r="O17" s="3"/>
      <c r="P17" s="3"/>
      <c r="Q17" s="3"/>
      <c r="R17" s="3"/>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row>
    <row r="18" spans="1:56" ht="16.5" thickBot="1" x14ac:dyDescent="0.3">
      <c r="A18" s="34" t="s">
        <v>536</v>
      </c>
      <c r="B18" s="33">
        <v>52</v>
      </c>
      <c r="C18" s="32">
        <v>9.884615385</v>
      </c>
      <c r="D18" s="32">
        <v>11.42222222</v>
      </c>
      <c r="E18" s="89"/>
      <c r="F18" s="90"/>
      <c r="G18" s="90"/>
      <c r="H18" s="90"/>
      <c r="I18" s="3"/>
      <c r="J18" s="3"/>
      <c r="K18" s="3"/>
      <c r="L18" s="3"/>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row>
    <row r="19" spans="1:56" ht="16.5" thickBot="1" x14ac:dyDescent="0.3">
      <c r="A19" s="34" t="s">
        <v>537</v>
      </c>
      <c r="B19" s="33">
        <v>5</v>
      </c>
      <c r="C19" s="32">
        <v>15.2</v>
      </c>
      <c r="D19" s="32">
        <v>15.2</v>
      </c>
      <c r="I19" s="3"/>
      <c r="J19" s="3"/>
      <c r="K19" s="3"/>
      <c r="L19" s="3"/>
      <c r="N19" s="3"/>
      <c r="O19" s="3"/>
      <c r="P19" s="3"/>
      <c r="Q19" s="3"/>
      <c r="R19" s="3"/>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row>
    <row r="20" spans="1:56" ht="16.5" thickBot="1" x14ac:dyDescent="0.3">
      <c r="A20" s="34" t="s">
        <v>538</v>
      </c>
      <c r="B20" s="33">
        <v>111</v>
      </c>
      <c r="C20" s="32">
        <v>7.4864864860000004</v>
      </c>
      <c r="D20" s="32">
        <v>7.6944444440000002</v>
      </c>
      <c r="E20" s="39"/>
      <c r="F20" s="38"/>
      <c r="G20" s="38"/>
      <c r="H20" s="38"/>
      <c r="I20" s="3"/>
      <c r="J20" s="3"/>
      <c r="K20" s="3"/>
      <c r="L20" s="3"/>
      <c r="N20" s="3"/>
      <c r="O20" s="3"/>
      <c r="P20" s="3"/>
      <c r="Q20" s="3"/>
      <c r="R20" s="3"/>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row>
    <row r="21" spans="1:56" ht="52.35" customHeight="1" thickBot="1" x14ac:dyDescent="0.3">
      <c r="A21" s="35" t="s">
        <v>539</v>
      </c>
      <c r="B21" s="33">
        <v>19</v>
      </c>
      <c r="C21" s="32">
        <v>7.0526315789999998</v>
      </c>
      <c r="D21" s="32">
        <v>7.4444444440000002</v>
      </c>
      <c r="E21" s="88"/>
      <c r="F21" s="88"/>
      <c r="G21" s="88"/>
      <c r="H21" s="88"/>
      <c r="I21" s="3"/>
      <c r="J21" s="3"/>
      <c r="K21" s="3"/>
      <c r="L21" s="3"/>
      <c r="N21" s="3"/>
      <c r="O21" s="3"/>
      <c r="P21" s="3"/>
      <c r="Q21" s="3"/>
      <c r="R21" s="3"/>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row>
    <row r="22" spans="1:56" ht="16.5" thickBot="1" x14ac:dyDescent="0.3">
      <c r="A22" s="34" t="s">
        <v>540</v>
      </c>
      <c r="B22" s="33">
        <v>39</v>
      </c>
      <c r="C22" s="32">
        <v>17.410256409999999</v>
      </c>
      <c r="D22" s="32">
        <v>19.399999999999999</v>
      </c>
      <c r="E22" s="8"/>
      <c r="I22" s="3"/>
      <c r="J22" s="3"/>
      <c r="K22" s="3"/>
      <c r="L22" s="3"/>
      <c r="N22" s="3"/>
      <c r="O22" s="3"/>
      <c r="P22" s="3"/>
      <c r="Q22" s="3"/>
      <c r="R22" s="3"/>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row>
    <row r="23" spans="1:56" ht="16.5" thickBot="1" x14ac:dyDescent="0.3">
      <c r="A23" s="31" t="s">
        <v>496</v>
      </c>
      <c r="B23" s="30">
        <v>226</v>
      </c>
      <c r="C23" s="29">
        <v>11.406797971999998</v>
      </c>
      <c r="D23" s="29">
        <v>12.232222221599999</v>
      </c>
      <c r="I23" s="3"/>
      <c r="J23" s="3"/>
      <c r="K23" s="3"/>
      <c r="L23" s="3"/>
      <c r="N23" s="3"/>
      <c r="O23" s="3"/>
      <c r="P23" s="3"/>
      <c r="Q23" s="3"/>
      <c r="R23" s="3"/>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row>
    <row r="24" spans="1:56" x14ac:dyDescent="0.25">
      <c r="I24" s="3"/>
      <c r="J24" s="3"/>
      <c r="K24" s="3"/>
      <c r="L24" s="3"/>
      <c r="N24" s="3"/>
      <c r="O24" s="3"/>
      <c r="P24" s="3"/>
      <c r="Q24" s="3"/>
      <c r="R24" s="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row>
    <row r="25" spans="1:56" x14ac:dyDescent="0.25">
      <c r="A25" s="441" t="s">
        <v>543</v>
      </c>
      <c r="B25" s="441"/>
      <c r="C25" s="441"/>
      <c r="D25" s="441"/>
      <c r="E25" s="441"/>
      <c r="F25" s="441"/>
      <c r="G25" s="441"/>
      <c r="H25" s="441"/>
      <c r="I25" s="3"/>
      <c r="J25" s="3"/>
      <c r="K25" s="3"/>
      <c r="L25" s="3"/>
      <c r="N25" s="3"/>
      <c r="O25" s="3"/>
      <c r="P25" s="3"/>
      <c r="Q25" s="3"/>
      <c r="R25" s="3"/>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row>
    <row r="26" spans="1:56" x14ac:dyDescent="0.25">
      <c r="A26" s="91" t="s">
        <v>544</v>
      </c>
      <c r="B26" s="91"/>
      <c r="C26" s="91"/>
      <c r="D26" s="91"/>
      <c r="E26" s="91"/>
      <c r="F26" s="91"/>
      <c r="G26" s="91"/>
      <c r="H26" s="91"/>
      <c r="I26" s="3"/>
      <c r="J26" s="3"/>
      <c r="K26" s="3"/>
      <c r="L26" s="3"/>
      <c r="N26" s="3"/>
      <c r="O26" s="3"/>
      <c r="P26" s="3"/>
      <c r="Q26" s="3"/>
      <c r="R26" s="3"/>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row>
    <row r="27" spans="1:56" ht="16.5" thickBot="1" x14ac:dyDescent="0.3">
      <c r="A27" s="91"/>
      <c r="B27" s="91"/>
      <c r="C27" s="91"/>
      <c r="D27" s="91"/>
      <c r="E27" s="91"/>
      <c r="F27" s="91"/>
      <c r="G27" s="91"/>
      <c r="H27" s="91"/>
      <c r="I27" s="3"/>
      <c r="J27" s="3"/>
      <c r="K27" s="3"/>
      <c r="L27" s="3"/>
      <c r="N27" s="3"/>
      <c r="O27" s="3"/>
      <c r="P27" s="3"/>
      <c r="Q27" s="3"/>
      <c r="R27" s="3"/>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row>
    <row r="28" spans="1:56" ht="26.25" customHeight="1" thickBot="1" x14ac:dyDescent="0.3">
      <c r="A28" s="435" t="s">
        <v>545</v>
      </c>
      <c r="B28" s="436"/>
      <c r="C28" s="436"/>
      <c r="D28" s="437"/>
      <c r="E28" s="91"/>
      <c r="F28" s="91"/>
      <c r="G28" s="91"/>
      <c r="H28" s="91"/>
      <c r="I28" s="3"/>
      <c r="J28" s="3"/>
      <c r="K28" s="3"/>
      <c r="L28" s="3"/>
      <c r="N28" s="3"/>
      <c r="O28" s="3"/>
      <c r="P28" s="3"/>
      <c r="Q28" s="3"/>
      <c r="R28" s="3"/>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row>
    <row r="29" spans="1:56" ht="48" customHeight="1" thickBot="1" x14ac:dyDescent="0.3">
      <c r="A29" s="37" t="s">
        <v>532</v>
      </c>
      <c r="B29" s="36" t="s">
        <v>533</v>
      </c>
      <c r="C29" s="36" t="s">
        <v>534</v>
      </c>
      <c r="D29" s="36" t="s">
        <v>535</v>
      </c>
      <c r="E29" s="91"/>
      <c r="F29" s="91"/>
      <c r="G29" s="91"/>
      <c r="H29" s="91"/>
      <c r="I29" s="3"/>
      <c r="J29" s="3"/>
      <c r="K29" s="3"/>
      <c r="L29" s="3"/>
      <c r="N29" s="3"/>
      <c r="O29" s="3"/>
      <c r="P29" s="3"/>
      <c r="Q29" s="3"/>
      <c r="R29" s="3"/>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row>
    <row r="30" spans="1:56" ht="16.5" thickBot="1" x14ac:dyDescent="0.3">
      <c r="A30" s="34" t="s">
        <v>536</v>
      </c>
      <c r="B30" s="33">
        <v>59</v>
      </c>
      <c r="C30" s="32">
        <v>11.78</v>
      </c>
      <c r="D30" s="32">
        <v>35</v>
      </c>
      <c r="E30" s="91"/>
      <c r="F30" s="91"/>
      <c r="G30" s="91"/>
      <c r="H30" s="91"/>
      <c r="I30" s="3"/>
      <c r="J30" s="3"/>
      <c r="K30" s="3"/>
      <c r="L30" s="3"/>
      <c r="N30" s="3"/>
      <c r="O30" s="3"/>
      <c r="P30" s="3"/>
      <c r="Q30" s="3"/>
      <c r="R30" s="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row>
    <row r="31" spans="1:56" ht="16.5" thickBot="1" x14ac:dyDescent="0.3">
      <c r="A31" s="34" t="s">
        <v>537</v>
      </c>
      <c r="B31" s="33">
        <v>13</v>
      </c>
      <c r="C31" s="32">
        <v>17.079999999999998</v>
      </c>
      <c r="D31" s="32">
        <v>64.540000000000006</v>
      </c>
      <c r="E31" s="91"/>
      <c r="F31" s="91"/>
      <c r="G31" s="91"/>
      <c r="H31" s="91"/>
      <c r="I31" s="3"/>
      <c r="J31" s="3"/>
      <c r="K31" s="3"/>
      <c r="L31" s="3"/>
      <c r="N31" s="3"/>
      <c r="O31" s="3"/>
      <c r="P31" s="3"/>
      <c r="Q31" s="3"/>
      <c r="R31" s="3"/>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row>
    <row r="32" spans="1:56" ht="16.5" thickBot="1" x14ac:dyDescent="0.3">
      <c r="A32" s="34" t="s">
        <v>538</v>
      </c>
      <c r="B32" s="33">
        <v>146</v>
      </c>
      <c r="C32" s="32">
        <v>10.210000000000001</v>
      </c>
      <c r="D32" s="32">
        <v>18.420000000000002</v>
      </c>
      <c r="E32" s="91"/>
      <c r="F32" s="91"/>
      <c r="G32" s="91"/>
      <c r="H32" s="91"/>
      <c r="I32" s="3"/>
      <c r="J32" s="3"/>
      <c r="K32" s="3"/>
      <c r="L32" s="3"/>
      <c r="N32" s="3"/>
      <c r="O32" s="3"/>
      <c r="P32" s="3"/>
      <c r="Q32" s="3"/>
      <c r="R32" s="3"/>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row>
    <row r="33" spans="1:56" ht="44.85" customHeight="1" thickBot="1" x14ac:dyDescent="0.3">
      <c r="A33" s="35" t="s">
        <v>539</v>
      </c>
      <c r="B33" s="33">
        <v>32</v>
      </c>
      <c r="C33" s="32">
        <v>4.91</v>
      </c>
      <c r="D33" s="32">
        <v>9.9700000000000006</v>
      </c>
      <c r="E33" s="91"/>
      <c r="F33" s="91"/>
      <c r="G33" s="91"/>
      <c r="H33" s="91"/>
      <c r="I33" s="3"/>
      <c r="J33" s="3"/>
      <c r="K33" s="3"/>
      <c r="L33" s="3"/>
      <c r="N33" s="3"/>
      <c r="O33" s="3"/>
      <c r="P33" s="3"/>
      <c r="Q33" s="3"/>
      <c r="R33" s="3"/>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row>
    <row r="34" spans="1:56" ht="16.5" thickBot="1" x14ac:dyDescent="0.3">
      <c r="A34" s="34" t="s">
        <v>540</v>
      </c>
      <c r="B34" s="33">
        <v>61</v>
      </c>
      <c r="C34" s="32">
        <v>50.8</v>
      </c>
      <c r="D34" s="32">
        <v>87.23</v>
      </c>
      <c r="E34" s="91"/>
      <c r="F34" s="91"/>
      <c r="G34" s="91"/>
      <c r="H34" s="91"/>
      <c r="I34" s="3"/>
      <c r="J34" s="3"/>
      <c r="K34" s="3"/>
      <c r="L34" s="3"/>
      <c r="N34" s="3"/>
      <c r="O34" s="3"/>
      <c r="P34" s="3"/>
      <c r="Q34" s="3"/>
      <c r="R34" s="3"/>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row>
    <row r="35" spans="1:56" ht="16.5" thickBot="1" x14ac:dyDescent="0.3">
      <c r="A35" s="31" t="s">
        <v>496</v>
      </c>
      <c r="B35" s="30">
        <v>311</v>
      </c>
      <c r="C35" s="29">
        <v>18.21</v>
      </c>
      <c r="D35" s="29">
        <v>36.119999999999997</v>
      </c>
      <c r="E35" s="91"/>
      <c r="F35" s="91"/>
      <c r="G35" s="91"/>
      <c r="H35" s="91"/>
      <c r="I35" s="3"/>
      <c r="J35" s="3"/>
      <c r="K35" s="3"/>
      <c r="L35" s="3"/>
      <c r="N35" s="3"/>
      <c r="O35" s="3"/>
      <c r="P35" s="3"/>
      <c r="Q35" s="3"/>
      <c r="R35" s="3"/>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row>
    <row r="36" spans="1:56" x14ac:dyDescent="0.25">
      <c r="I36" s="3"/>
      <c r="J36" s="3"/>
      <c r="K36" s="3"/>
      <c r="L36" s="3"/>
      <c r="N36" s="3"/>
      <c r="O36" s="3"/>
      <c r="P36" s="3"/>
      <c r="Q36" s="3"/>
      <c r="R36" s="3"/>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row>
    <row r="37" spans="1:56" x14ac:dyDescent="0.25">
      <c r="A37" s="28" t="s">
        <v>546</v>
      </c>
      <c r="B37" s="28"/>
      <c r="C37" s="28"/>
      <c r="D37" s="28"/>
      <c r="E37" s="28"/>
      <c r="I37" s="3"/>
      <c r="J37" s="3"/>
      <c r="K37" s="3"/>
      <c r="L37" s="3"/>
      <c r="N37" s="3"/>
      <c r="O37" s="3"/>
      <c r="P37" s="3"/>
      <c r="Q37" s="3"/>
      <c r="R37" s="3"/>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row>
    <row r="38" spans="1:56" x14ac:dyDescent="0.25">
      <c r="A38" s="28"/>
      <c r="B38" s="28"/>
      <c r="C38" s="28"/>
      <c r="D38" s="28"/>
      <c r="E38" s="28"/>
      <c r="I38" s="3"/>
      <c r="J38" s="3"/>
      <c r="K38" s="3"/>
      <c r="L38" s="3"/>
      <c r="N38" s="3"/>
      <c r="O38" s="3"/>
      <c r="P38" s="3"/>
      <c r="Q38" s="3"/>
      <c r="R38" s="3"/>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row>
    <row r="39" spans="1:56" ht="16.5" thickBot="1" x14ac:dyDescent="0.3">
      <c r="A39" s="28"/>
      <c r="B39" s="28"/>
      <c r="C39" s="28"/>
      <c r="D39" s="28"/>
      <c r="E39" s="28"/>
      <c r="I39" s="3"/>
      <c r="J39" s="3"/>
      <c r="K39" s="3"/>
      <c r="L39" s="3"/>
      <c r="N39" s="3"/>
      <c r="O39" s="3"/>
      <c r="P39" s="3"/>
      <c r="Q39" s="3"/>
      <c r="R39" s="3"/>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row>
    <row r="40" spans="1:56" ht="16.5" thickBot="1" x14ac:dyDescent="0.3">
      <c r="A40" s="435" t="s">
        <v>547</v>
      </c>
      <c r="B40" s="436"/>
      <c r="C40" s="436"/>
      <c r="D40" s="437"/>
      <c r="E40" s="28"/>
      <c r="I40" s="3"/>
      <c r="J40" s="3"/>
      <c r="K40" s="3"/>
      <c r="L40" s="3"/>
      <c r="N40" s="3"/>
      <c r="O40" s="3"/>
      <c r="P40" s="3"/>
      <c r="Q40" s="3"/>
      <c r="R40" s="3"/>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row>
    <row r="41" spans="1:56" ht="45" customHeight="1" thickBot="1" x14ac:dyDescent="0.3">
      <c r="A41" s="37" t="s">
        <v>532</v>
      </c>
      <c r="B41" s="36" t="s">
        <v>533</v>
      </c>
      <c r="C41" s="36" t="s">
        <v>534</v>
      </c>
      <c r="D41" s="36" t="s">
        <v>535</v>
      </c>
      <c r="E41" s="28"/>
      <c r="I41" s="3"/>
      <c r="J41" s="3"/>
      <c r="K41" s="3"/>
      <c r="L41" s="3"/>
      <c r="N41" s="3"/>
      <c r="O41" s="3"/>
      <c r="P41" s="3"/>
      <c r="Q41" s="3"/>
      <c r="R41" s="3"/>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row>
    <row r="42" spans="1:56" ht="16.5" thickBot="1" x14ac:dyDescent="0.3">
      <c r="A42" s="34" t="s">
        <v>536</v>
      </c>
      <c r="B42" s="33">
        <v>96</v>
      </c>
      <c r="C42" s="32">
        <v>14.614583333333334</v>
      </c>
      <c r="D42" s="32">
        <v>32.385416666666664</v>
      </c>
      <c r="E42" s="28"/>
      <c r="I42" s="3"/>
      <c r="J42" s="3"/>
      <c r="K42" s="3"/>
      <c r="L42" s="3"/>
      <c r="N42" s="3"/>
      <c r="O42" s="3"/>
      <c r="P42" s="3"/>
      <c r="Q42" s="3"/>
      <c r="R42" s="3"/>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row>
    <row r="43" spans="1:56" ht="16.5" thickBot="1" x14ac:dyDescent="0.3">
      <c r="A43" s="34" t="s">
        <v>537</v>
      </c>
      <c r="B43" s="33">
        <v>5</v>
      </c>
      <c r="C43" s="32">
        <v>29</v>
      </c>
      <c r="D43" s="32">
        <v>57.6</v>
      </c>
      <c r="E43" s="28"/>
      <c r="I43" s="3"/>
      <c r="J43" s="3"/>
      <c r="K43" s="3"/>
      <c r="L43" s="3"/>
      <c r="N43" s="3"/>
      <c r="O43" s="3"/>
      <c r="P43" s="3"/>
      <c r="Q43" s="3"/>
      <c r="R43" s="3"/>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row>
    <row r="44" spans="1:56" ht="16.5" thickBot="1" x14ac:dyDescent="0.3">
      <c r="A44" s="34" t="s">
        <v>538</v>
      </c>
      <c r="B44" s="33">
        <v>200</v>
      </c>
      <c r="C44" s="32">
        <v>12.205</v>
      </c>
      <c r="D44" s="32">
        <v>17.045000000000002</v>
      </c>
      <c r="E44" s="28"/>
      <c r="I44" s="3"/>
      <c r="J44" s="3"/>
      <c r="K44" s="3"/>
      <c r="L44" s="3"/>
      <c r="N44" s="3"/>
      <c r="O44" s="3"/>
      <c r="P44" s="3"/>
      <c r="Q44" s="3"/>
      <c r="R44" s="3"/>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row>
    <row r="45" spans="1:56" ht="30.75" thickBot="1" x14ac:dyDescent="0.3">
      <c r="A45" s="35" t="s">
        <v>539</v>
      </c>
      <c r="B45" s="33">
        <v>19</v>
      </c>
      <c r="C45" s="32">
        <v>4.1052631578947372</v>
      </c>
      <c r="D45" s="32">
        <v>26</v>
      </c>
      <c r="E45" s="28"/>
      <c r="I45" s="3"/>
      <c r="J45" s="3"/>
      <c r="K45" s="3"/>
      <c r="L45" s="3"/>
      <c r="N45" s="3"/>
      <c r="O45" s="3"/>
      <c r="P45" s="3"/>
      <c r="Q45" s="3"/>
      <c r="R45" s="3"/>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row>
    <row r="46" spans="1:56" ht="16.5" thickBot="1" x14ac:dyDescent="0.3">
      <c r="A46" s="34" t="s">
        <v>540</v>
      </c>
      <c r="B46" s="33">
        <v>57</v>
      </c>
      <c r="C46" s="32">
        <v>43.210526315789473</v>
      </c>
      <c r="D46" s="32">
        <v>73.578947368421055</v>
      </c>
      <c r="E46" s="28"/>
      <c r="I46" s="3"/>
      <c r="J46" s="3"/>
      <c r="K46" s="3"/>
      <c r="L46" s="3"/>
      <c r="N46" s="3"/>
      <c r="O46" s="3"/>
      <c r="P46" s="3"/>
      <c r="Q46" s="3"/>
      <c r="R46" s="3"/>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row>
    <row r="47" spans="1:56" ht="16.5" thickBot="1" x14ac:dyDescent="0.3">
      <c r="A47" s="31" t="s">
        <v>496</v>
      </c>
      <c r="B47" s="30">
        <v>377</v>
      </c>
      <c r="C47" s="29">
        <v>17.320954907161802</v>
      </c>
      <c r="D47" s="29">
        <v>30.488063660477454</v>
      </c>
      <c r="E47" s="28"/>
      <c r="I47" s="3"/>
      <c r="J47" s="3"/>
      <c r="K47" s="3"/>
      <c r="L47" s="3"/>
      <c r="N47" s="3"/>
      <c r="O47" s="3"/>
      <c r="P47" s="3"/>
      <c r="Q47" s="3"/>
      <c r="R47" s="3"/>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row>
    <row r="48" spans="1:56" x14ac:dyDescent="0.25">
      <c r="E48" s="28"/>
      <c r="I48" s="3"/>
      <c r="J48" s="3"/>
      <c r="K48" s="3"/>
      <c r="L48" s="3"/>
      <c r="N48" s="3"/>
      <c r="O48" s="3"/>
      <c r="P48" s="3"/>
      <c r="Q48" s="3"/>
      <c r="R48" s="3"/>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row>
    <row r="49" spans="1:56" x14ac:dyDescent="0.25">
      <c r="A49" s="28" t="s">
        <v>548</v>
      </c>
      <c r="B49" s="28"/>
      <c r="C49" s="28"/>
      <c r="D49" s="28"/>
      <c r="E49" s="28"/>
      <c r="I49" s="3"/>
      <c r="J49" s="3"/>
      <c r="K49" s="3"/>
      <c r="L49" s="3"/>
      <c r="N49" s="3"/>
      <c r="O49" s="3"/>
      <c r="P49" s="3"/>
      <c r="Q49" s="3"/>
      <c r="R49" s="3"/>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row>
    <row r="50" spans="1:56" x14ac:dyDescent="0.25">
      <c r="A50" s="28"/>
      <c r="B50" s="28"/>
      <c r="C50" s="28"/>
      <c r="D50" s="28"/>
      <c r="E50" s="28"/>
      <c r="I50" s="3"/>
      <c r="J50" s="3"/>
      <c r="K50" s="3"/>
      <c r="L50" s="3"/>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row>
    <row r="51" spans="1:56" ht="16.5" thickBot="1" x14ac:dyDescent="0.3">
      <c r="A51" s="28"/>
      <c r="B51" s="28"/>
      <c r="C51" s="28"/>
      <c r="D51" s="28"/>
      <c r="E51" s="28"/>
      <c r="I51" s="3"/>
      <c r="J51" s="3"/>
      <c r="K51" s="3"/>
      <c r="L51" s="3"/>
      <c r="N51" s="3"/>
      <c r="O51" s="3"/>
      <c r="P51" s="3"/>
      <c r="Q51" s="3"/>
      <c r="R51" s="3"/>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row>
    <row r="52" spans="1:56" ht="16.5" thickBot="1" x14ac:dyDescent="0.3">
      <c r="A52" s="435" t="s">
        <v>549</v>
      </c>
      <c r="B52" s="436"/>
      <c r="C52" s="436"/>
      <c r="D52" s="437"/>
      <c r="E52" s="28"/>
      <c r="I52" s="3"/>
      <c r="J52" s="3"/>
      <c r="K52" s="3"/>
      <c r="L52" s="3"/>
      <c r="N52" s="3"/>
      <c r="O52" s="3"/>
      <c r="P52" s="3"/>
      <c r="Q52" s="3"/>
      <c r="R52" s="3"/>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row>
    <row r="53" spans="1:56" ht="30.75" thickBot="1" x14ac:dyDescent="0.3">
      <c r="A53" s="37" t="s">
        <v>532</v>
      </c>
      <c r="B53" s="36" t="s">
        <v>533</v>
      </c>
      <c r="C53" s="36" t="s">
        <v>534</v>
      </c>
      <c r="D53" s="36" t="s">
        <v>535</v>
      </c>
      <c r="E53" s="28"/>
      <c r="I53" s="3"/>
      <c r="J53" s="3"/>
      <c r="K53" s="3"/>
      <c r="L53" s="3"/>
      <c r="N53" s="3"/>
      <c r="O53" s="3"/>
      <c r="P53" s="3"/>
      <c r="Q53" s="3"/>
      <c r="R53" s="3"/>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row>
    <row r="54" spans="1:56" ht="16.5" thickBot="1" x14ac:dyDescent="0.3">
      <c r="A54" s="34" t="s">
        <v>536</v>
      </c>
      <c r="B54" s="33">
        <v>110</v>
      </c>
      <c r="C54" s="33">
        <v>14</v>
      </c>
      <c r="D54" s="32">
        <v>34.390909090909091</v>
      </c>
      <c r="E54" s="28"/>
      <c r="I54" s="3"/>
      <c r="J54" s="3"/>
      <c r="K54" s="3"/>
      <c r="L54" s="3"/>
      <c r="N54" s="3"/>
      <c r="O54" s="3"/>
      <c r="P54" s="3"/>
      <c r="Q54" s="3"/>
      <c r="R54" s="3"/>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row>
    <row r="55" spans="1:56" ht="16.5" thickBot="1" x14ac:dyDescent="0.3">
      <c r="A55" s="34" t="s">
        <v>537</v>
      </c>
      <c r="B55" s="33">
        <v>13</v>
      </c>
      <c r="C55" s="32">
        <v>20.46153846153846</v>
      </c>
      <c r="D55" s="33">
        <v>31</v>
      </c>
      <c r="E55" s="28"/>
      <c r="I55" s="3"/>
      <c r="J55" s="3"/>
      <c r="K55" s="3"/>
      <c r="L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row>
    <row r="56" spans="1:56" ht="16.5" thickBot="1" x14ac:dyDescent="0.3">
      <c r="A56" s="34" t="s">
        <v>538</v>
      </c>
      <c r="B56" s="33">
        <v>178</v>
      </c>
      <c r="C56" s="32">
        <v>10.258426966292134</v>
      </c>
      <c r="D56" s="32">
        <v>18.713483146067414</v>
      </c>
      <c r="E56" s="28"/>
      <c r="I56" s="3"/>
      <c r="J56" s="3"/>
      <c r="K56" s="3"/>
      <c r="L56" s="3"/>
      <c r="N56" s="3"/>
      <c r="O56" s="3"/>
      <c r="P56" s="3"/>
      <c r="Q56" s="3"/>
      <c r="R56" s="3"/>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row>
    <row r="57" spans="1:56" ht="30.75" thickBot="1" x14ac:dyDescent="0.3">
      <c r="A57" s="35" t="s">
        <v>539</v>
      </c>
      <c r="B57" s="33">
        <v>17</v>
      </c>
      <c r="C57" s="32">
        <v>8.0588235294117645</v>
      </c>
      <c r="D57" s="32">
        <v>15.647058823529411</v>
      </c>
      <c r="E57" s="28"/>
      <c r="I57" s="3"/>
      <c r="J57" s="3"/>
      <c r="K57" s="3"/>
      <c r="L57" s="3"/>
      <c r="N57" s="3"/>
      <c r="O57" s="3"/>
      <c r="P57" s="3"/>
      <c r="Q57" s="3"/>
      <c r="R57" s="3"/>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row>
    <row r="58" spans="1:56" ht="16.5" thickBot="1" x14ac:dyDescent="0.3">
      <c r="A58" s="34" t="s">
        <v>540</v>
      </c>
      <c r="B58" s="33">
        <v>55</v>
      </c>
      <c r="C58" s="32">
        <v>62.18181818181818</v>
      </c>
      <c r="D58" s="32">
        <v>90.618181818181824</v>
      </c>
      <c r="E58" s="28"/>
      <c r="I58" s="3"/>
      <c r="J58" s="3"/>
      <c r="K58" s="3"/>
      <c r="L58" s="3"/>
      <c r="N58" s="3"/>
      <c r="O58" s="3"/>
      <c r="P58" s="3"/>
      <c r="Q58" s="3"/>
      <c r="R58" s="3"/>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row>
    <row r="59" spans="1:56" ht="16.5" thickBot="1" x14ac:dyDescent="0.3">
      <c r="A59" s="31" t="s">
        <v>496</v>
      </c>
      <c r="B59" s="30">
        <v>373</v>
      </c>
      <c r="C59" s="29">
        <v>19.273458445040216</v>
      </c>
      <c r="D59" s="29">
        <v>34.227882037533512</v>
      </c>
      <c r="E59" s="28"/>
      <c r="I59" s="3"/>
      <c r="J59" s="3"/>
      <c r="K59" s="3"/>
      <c r="L59" s="3"/>
      <c r="N59" s="3"/>
      <c r="O59" s="3"/>
      <c r="P59" s="3"/>
      <c r="Q59" s="3"/>
      <c r="R59" s="3"/>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row>
    <row r="60" spans="1:56" x14ac:dyDescent="0.25">
      <c r="E60" s="28"/>
      <c r="I60" s="3"/>
      <c r="J60" s="3"/>
      <c r="K60" s="3"/>
      <c r="L60" s="3"/>
      <c r="N60" s="3"/>
      <c r="O60" s="3"/>
      <c r="P60" s="3"/>
      <c r="Q60" s="3"/>
      <c r="R60" s="3"/>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row>
    <row r="61" spans="1:56" x14ac:dyDescent="0.25">
      <c r="A61" s="28" t="s">
        <v>550</v>
      </c>
      <c r="B61" s="28"/>
      <c r="C61" s="28"/>
      <c r="D61" s="28"/>
      <c r="E61" s="28"/>
      <c r="I61" s="3"/>
      <c r="J61" s="3"/>
      <c r="K61" s="3"/>
      <c r="L61" s="3"/>
      <c r="N61" s="3"/>
      <c r="O61" s="3"/>
      <c r="P61" s="3"/>
      <c r="Q61" s="3"/>
      <c r="R61" s="3"/>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row>
    <row r="62" spans="1:56" x14ac:dyDescent="0.25">
      <c r="A62" s="28"/>
      <c r="B62" s="28"/>
      <c r="C62" s="28"/>
      <c r="D62" s="28"/>
      <c r="E62" s="28"/>
      <c r="I62" s="3"/>
      <c r="J62" s="3"/>
      <c r="K62" s="3"/>
      <c r="L62" s="3"/>
      <c r="N62" s="3"/>
      <c r="O62" s="3"/>
      <c r="P62" s="3"/>
      <c r="Q62" s="3"/>
      <c r="R62" s="3"/>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row>
    <row r="63" spans="1:56" ht="16.5" thickBot="1" x14ac:dyDescent="0.3">
      <c r="A63" s="28"/>
      <c r="B63" s="28"/>
      <c r="C63" s="28"/>
      <c r="D63" s="28"/>
      <c r="E63" s="28"/>
      <c r="I63" s="3"/>
      <c r="J63" s="3"/>
      <c r="K63" s="3"/>
      <c r="L63" s="3"/>
      <c r="N63" s="3"/>
      <c r="O63" s="3"/>
      <c r="P63" s="3"/>
      <c r="Q63" s="3"/>
      <c r="R63" s="3"/>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row>
    <row r="64" spans="1:56" ht="16.5" thickBot="1" x14ac:dyDescent="0.3">
      <c r="A64" s="435" t="s">
        <v>551</v>
      </c>
      <c r="B64" s="436"/>
      <c r="C64" s="436"/>
      <c r="D64" s="437"/>
      <c r="E64" s="28"/>
      <c r="I64" s="3"/>
      <c r="J64" s="3"/>
      <c r="K64" s="3"/>
      <c r="L64" s="3"/>
      <c r="N64" s="3"/>
      <c r="O64" s="3"/>
      <c r="P64" s="3"/>
      <c r="Q64" s="3"/>
      <c r="R64" s="3"/>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row>
    <row r="65" spans="1:56" ht="30.75" thickBot="1" x14ac:dyDescent="0.3">
      <c r="A65" s="37" t="s">
        <v>532</v>
      </c>
      <c r="B65" s="36" t="s">
        <v>533</v>
      </c>
      <c r="C65" s="36" t="s">
        <v>534</v>
      </c>
      <c r="D65" s="36" t="s">
        <v>535</v>
      </c>
      <c r="E65" s="28"/>
      <c r="I65" s="3"/>
      <c r="J65" s="3"/>
      <c r="K65" s="3"/>
      <c r="L65" s="3"/>
      <c r="N65" s="3"/>
      <c r="O65" s="3"/>
      <c r="P65" s="3"/>
      <c r="Q65" s="3"/>
      <c r="R65" s="3"/>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row>
    <row r="66" spans="1:56" ht="16.5" thickBot="1" x14ac:dyDescent="0.3">
      <c r="A66" s="34" t="s">
        <v>536</v>
      </c>
      <c r="B66" s="33">
        <v>125</v>
      </c>
      <c r="C66" s="32">
        <v>14.151999999999999</v>
      </c>
      <c r="D66" s="32">
        <v>37.479999999999997</v>
      </c>
      <c r="E66" s="28"/>
      <c r="I66" s="3"/>
      <c r="J66" s="3"/>
      <c r="K66" s="3"/>
      <c r="L66" s="3"/>
      <c r="N66" s="3"/>
      <c r="O66" s="3"/>
      <c r="P66" s="3"/>
      <c r="Q66" s="3"/>
      <c r="R66" s="3"/>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row>
    <row r="67" spans="1:56" ht="16.5" thickBot="1" x14ac:dyDescent="0.3">
      <c r="A67" s="34" t="s">
        <v>537</v>
      </c>
      <c r="B67" s="33">
        <v>26</v>
      </c>
      <c r="C67" s="32">
        <v>15.76923076923077</v>
      </c>
      <c r="D67" s="32">
        <v>36.538461538461497</v>
      </c>
      <c r="E67" s="28"/>
      <c r="I67" s="3"/>
      <c r="J67" s="3"/>
      <c r="K67" s="3"/>
      <c r="L67" s="3"/>
      <c r="N67" s="3"/>
      <c r="O67" s="3"/>
      <c r="P67" s="3"/>
      <c r="Q67" s="3"/>
      <c r="R67" s="3"/>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row>
    <row r="68" spans="1:56" ht="16.5" thickBot="1" x14ac:dyDescent="0.3">
      <c r="A68" s="34" t="s">
        <v>538</v>
      </c>
      <c r="B68" s="33">
        <v>184</v>
      </c>
      <c r="C68" s="32">
        <v>11.804347826086957</v>
      </c>
      <c r="D68" s="32">
        <v>17.815217391304348</v>
      </c>
      <c r="E68" s="28"/>
      <c r="I68" s="3"/>
      <c r="J68" s="3"/>
      <c r="K68" s="3"/>
      <c r="L68" s="3"/>
      <c r="N68" s="3"/>
      <c r="O68" s="3"/>
      <c r="P68" s="3"/>
      <c r="Q68" s="3"/>
      <c r="R68" s="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row>
    <row r="69" spans="1:56" ht="30.75" thickBot="1" x14ac:dyDescent="0.3">
      <c r="A69" s="35" t="s">
        <v>539</v>
      </c>
      <c r="B69" s="33">
        <v>23</v>
      </c>
      <c r="C69" s="32">
        <v>14.478260869565217</v>
      </c>
      <c r="D69" s="32">
        <v>33.478260869565219</v>
      </c>
      <c r="E69" s="28"/>
      <c r="I69" s="3"/>
      <c r="J69" s="3"/>
      <c r="K69" s="3"/>
      <c r="L69" s="3"/>
      <c r="N69" s="3"/>
      <c r="O69" s="3"/>
      <c r="P69" s="3"/>
      <c r="Q69" s="3"/>
      <c r="R69" s="3"/>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row>
    <row r="70" spans="1:56" ht="16.5" thickBot="1" x14ac:dyDescent="0.3">
      <c r="A70" s="34" t="s">
        <v>540</v>
      </c>
      <c r="B70" s="33">
        <v>60</v>
      </c>
      <c r="C70" s="32">
        <v>68.38333333333334</v>
      </c>
      <c r="D70" s="32">
        <v>118.1</v>
      </c>
      <c r="E70" s="28"/>
      <c r="I70" s="3"/>
      <c r="J70" s="3"/>
      <c r="K70" s="3"/>
      <c r="L70" s="3"/>
      <c r="N70" s="3"/>
      <c r="O70" s="3"/>
      <c r="P70" s="3"/>
      <c r="Q70" s="3"/>
      <c r="R70" s="3"/>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row>
    <row r="71" spans="1:56" ht="16.5" thickBot="1" x14ac:dyDescent="0.3">
      <c r="A71" s="31" t="s">
        <v>496</v>
      </c>
      <c r="B71" s="30">
        <v>418</v>
      </c>
      <c r="C71" s="29">
        <v>21.02153110047847</v>
      </c>
      <c r="D71" s="29">
        <v>40.117224880382778</v>
      </c>
      <c r="E71" s="28"/>
      <c r="I71" s="3"/>
      <c r="J71" s="3"/>
      <c r="K71" s="3"/>
      <c r="L71" s="3"/>
      <c r="N71" s="3"/>
      <c r="O71" s="3"/>
      <c r="P71" s="3"/>
      <c r="Q71" s="3"/>
      <c r="R71" s="3"/>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row>
    <row r="72" spans="1:56" x14ac:dyDescent="0.25">
      <c r="A72" s="28"/>
      <c r="B72" s="28"/>
      <c r="C72" s="28"/>
      <c r="D72" s="28"/>
      <c r="E72" s="28"/>
      <c r="I72" s="3"/>
      <c r="J72" s="3"/>
      <c r="K72" s="3"/>
      <c r="L72" s="3"/>
      <c r="N72" s="3"/>
      <c r="O72" s="3"/>
      <c r="P72" s="3"/>
      <c r="Q72" s="3"/>
      <c r="R72" s="3"/>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3"/>
      <c r="BD72" s="3"/>
    </row>
    <row r="73" spans="1:56" x14ac:dyDescent="0.25">
      <c r="A73" s="28" t="s">
        <v>552</v>
      </c>
      <c r="B73" s="28"/>
      <c r="C73" s="28"/>
      <c r="D73" s="28"/>
      <c r="E73" s="28"/>
      <c r="I73" s="3"/>
      <c r="J73" s="3"/>
      <c r="K73" s="3"/>
      <c r="L73" s="3"/>
      <c r="N73" s="3"/>
      <c r="O73" s="3"/>
      <c r="P73" s="3"/>
      <c r="Q73" s="3"/>
      <c r="R73" s="3"/>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3"/>
      <c r="BD73" s="3"/>
    </row>
    <row r="74" spans="1:56" x14ac:dyDescent="0.25">
      <c r="A74" s="28"/>
      <c r="B74" s="28"/>
      <c r="C74" s="28"/>
      <c r="D74" s="28"/>
      <c r="E74" s="28"/>
      <c r="I74" s="3"/>
      <c r="J74" s="3"/>
      <c r="K74" s="3"/>
      <c r="L74" s="3"/>
      <c r="N74" s="3"/>
      <c r="O74" s="3"/>
      <c r="P74" s="3"/>
      <c r="Q74" s="3"/>
      <c r="R74" s="3"/>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c r="BC74" s="3"/>
      <c r="BD74" s="3"/>
    </row>
    <row r="75" spans="1:56" ht="16.5" thickBot="1" x14ac:dyDescent="0.3">
      <c r="A75" s="28"/>
      <c r="B75" s="28"/>
      <c r="C75" s="28"/>
      <c r="D75" s="28"/>
      <c r="E75" s="28"/>
      <c r="I75" s="3"/>
      <c r="J75" s="3"/>
      <c r="K75" s="3"/>
      <c r="L75" s="3"/>
      <c r="N75" s="3"/>
      <c r="O75" s="3"/>
      <c r="P75" s="3"/>
      <c r="Q75" s="3"/>
      <c r="R75" s="3"/>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c r="BC75" s="3"/>
      <c r="BD75" s="3"/>
    </row>
    <row r="76" spans="1:56" ht="16.5" thickBot="1" x14ac:dyDescent="0.3">
      <c r="A76" s="435" t="s">
        <v>553</v>
      </c>
      <c r="B76" s="436"/>
      <c r="C76" s="436"/>
      <c r="D76" s="437"/>
      <c r="E76" s="28"/>
      <c r="I76" s="3"/>
      <c r="J76" s="3"/>
      <c r="K76" s="3"/>
      <c r="L76" s="3"/>
      <c r="N76" s="3"/>
      <c r="O76" s="3"/>
      <c r="P76" s="3"/>
      <c r="Q76" s="3"/>
      <c r="R76" s="3"/>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c r="BC76" s="3"/>
      <c r="BD76" s="3"/>
    </row>
    <row r="77" spans="1:56" ht="30.75" thickBot="1" x14ac:dyDescent="0.3">
      <c r="A77" s="37" t="s">
        <v>532</v>
      </c>
      <c r="B77" s="36" t="s">
        <v>533</v>
      </c>
      <c r="C77" s="36" t="s">
        <v>534</v>
      </c>
      <c r="D77" s="36" t="s">
        <v>535</v>
      </c>
      <c r="E77" s="28"/>
      <c r="I77" s="3"/>
      <c r="J77" s="3"/>
      <c r="K77" s="3"/>
      <c r="L77" s="3"/>
      <c r="N77" s="3"/>
      <c r="O77" s="3"/>
      <c r="P77" s="3"/>
      <c r="Q77" s="3"/>
      <c r="R77" s="3"/>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c r="BC77" s="3"/>
      <c r="BD77" s="3"/>
    </row>
    <row r="78" spans="1:56" ht="16.5" thickBot="1" x14ac:dyDescent="0.3">
      <c r="A78" s="34" t="s">
        <v>536</v>
      </c>
      <c r="B78" s="33">
        <v>126</v>
      </c>
      <c r="C78" s="32">
        <v>13.365079365079366</v>
      </c>
      <c r="D78" s="32">
        <v>43.261904761904759</v>
      </c>
      <c r="E78" s="28"/>
      <c r="I78" s="3"/>
      <c r="J78" s="3"/>
      <c r="K78" s="3"/>
      <c r="L78" s="3"/>
      <c r="N78" s="3"/>
      <c r="O78" s="3"/>
      <c r="P78" s="3"/>
      <c r="Q78" s="3"/>
      <c r="R78" s="3"/>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c r="BA78" s="3"/>
      <c r="BB78" s="3"/>
      <c r="BC78" s="3"/>
      <c r="BD78" s="3"/>
    </row>
    <row r="79" spans="1:56" ht="16.5" thickBot="1" x14ac:dyDescent="0.3">
      <c r="A79" s="34" t="s">
        <v>537</v>
      </c>
      <c r="B79" s="33">
        <v>12</v>
      </c>
      <c r="C79" s="32">
        <v>15.916666666666666</v>
      </c>
      <c r="D79" s="32">
        <v>19.416666666666668</v>
      </c>
      <c r="E79" s="28"/>
      <c r="I79" s="3"/>
      <c r="J79" s="3"/>
      <c r="K79" s="3"/>
      <c r="L79" s="3"/>
      <c r="N79" s="3"/>
      <c r="O79" s="3"/>
      <c r="P79" s="3"/>
      <c r="Q79" s="3"/>
      <c r="R79" s="3"/>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c r="BC79" s="3"/>
      <c r="BD79" s="3"/>
    </row>
    <row r="80" spans="1:56" ht="16.5" thickBot="1" x14ac:dyDescent="0.3">
      <c r="A80" s="34" t="s">
        <v>538</v>
      </c>
      <c r="B80" s="33">
        <v>95</v>
      </c>
      <c r="C80" s="32">
        <v>14.684210526315789</v>
      </c>
      <c r="D80" s="32">
        <v>24.821052631578947</v>
      </c>
      <c r="E80" s="28"/>
      <c r="I80" s="3"/>
      <c r="J80" s="3"/>
      <c r="K80" s="3"/>
      <c r="L80" s="3"/>
      <c r="N80" s="3"/>
      <c r="O80" s="3"/>
      <c r="P80" s="3"/>
      <c r="Q80" s="3"/>
      <c r="R80" s="3"/>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c r="BC80" s="3"/>
      <c r="BD80" s="3"/>
    </row>
    <row r="81" spans="1:56" ht="30.75" thickBot="1" x14ac:dyDescent="0.3">
      <c r="A81" s="35" t="s">
        <v>539</v>
      </c>
      <c r="B81" s="33">
        <v>40</v>
      </c>
      <c r="C81" s="32">
        <v>7.85</v>
      </c>
      <c r="D81" s="32">
        <v>44.274999999999999</v>
      </c>
      <c r="E81" s="28"/>
      <c r="I81" s="3"/>
      <c r="J81" s="3"/>
      <c r="K81" s="3"/>
      <c r="L81" s="3"/>
      <c r="N81" s="3"/>
      <c r="O81" s="3"/>
      <c r="P81" s="3"/>
      <c r="Q81" s="3"/>
      <c r="R81" s="3"/>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c r="BC81" s="3"/>
      <c r="BD81" s="3"/>
    </row>
    <row r="82" spans="1:56" ht="16.5" thickBot="1" x14ac:dyDescent="0.3">
      <c r="A82" s="34" t="s">
        <v>540</v>
      </c>
      <c r="B82" s="33">
        <v>78</v>
      </c>
      <c r="C82" s="32">
        <v>53.756410256410255</v>
      </c>
      <c r="D82" s="32">
        <v>94.974358974358978</v>
      </c>
      <c r="E82" s="28"/>
      <c r="I82" s="3"/>
      <c r="J82" s="3"/>
      <c r="K82" s="3"/>
      <c r="L82" s="3"/>
      <c r="N82" s="3"/>
      <c r="O82" s="3"/>
      <c r="P82" s="3"/>
      <c r="Q82" s="3"/>
      <c r="R82" s="3"/>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c r="BC82" s="3"/>
      <c r="BD82" s="3"/>
    </row>
    <row r="83" spans="1:56" ht="16.5" thickBot="1" x14ac:dyDescent="0.3">
      <c r="A83" s="31" t="s">
        <v>496</v>
      </c>
      <c r="B83" s="30">
        <v>351</v>
      </c>
      <c r="C83" s="29">
        <v>22.156695156695157</v>
      </c>
      <c r="D83" s="29">
        <v>49.06267806267806</v>
      </c>
      <c r="E83" s="28"/>
      <c r="I83" s="3"/>
      <c r="J83" s="3"/>
      <c r="K83" s="3"/>
      <c r="L83" s="3"/>
      <c r="N83" s="3"/>
      <c r="O83" s="3"/>
      <c r="P83" s="3"/>
      <c r="Q83" s="3"/>
      <c r="R83" s="3"/>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c r="BA83" s="3"/>
      <c r="BB83" s="3"/>
      <c r="BC83" s="3"/>
      <c r="BD83" s="3"/>
    </row>
    <row r="84" spans="1:56" x14ac:dyDescent="0.25">
      <c r="A84" s="28"/>
      <c r="B84" s="28"/>
      <c r="C84" s="28"/>
      <c r="D84" s="28"/>
      <c r="E84" s="28"/>
      <c r="I84" s="3"/>
      <c r="J84" s="3"/>
      <c r="K84" s="3"/>
      <c r="L84" s="3"/>
      <c r="N84" s="3"/>
      <c r="O84" s="3"/>
      <c r="P84" s="3"/>
      <c r="Q84" s="3"/>
      <c r="R84" s="3"/>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c r="BC84" s="3"/>
      <c r="BD84" s="3"/>
    </row>
    <row r="85" spans="1:56" x14ac:dyDescent="0.25">
      <c r="A85" s="28" t="s">
        <v>554</v>
      </c>
      <c r="B85" s="28"/>
      <c r="C85" s="28"/>
      <c r="D85" s="28"/>
      <c r="E85" s="28"/>
      <c r="I85" s="3"/>
      <c r="J85" s="3"/>
      <c r="K85" s="3"/>
      <c r="L85" s="3"/>
      <c r="N85" s="3"/>
      <c r="O85" s="3"/>
      <c r="P85" s="3"/>
      <c r="Q85" s="3"/>
      <c r="R85" s="3"/>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c r="BC85" s="3"/>
      <c r="BD85" s="3"/>
    </row>
    <row r="86" spans="1:56" x14ac:dyDescent="0.25">
      <c r="A86" s="28"/>
      <c r="B86" s="28"/>
      <c r="C86" s="28"/>
      <c r="D86" s="28"/>
      <c r="E86" s="28"/>
      <c r="I86" s="3"/>
      <c r="J86" s="3"/>
      <c r="K86" s="3"/>
      <c r="L86" s="3"/>
      <c r="N86" s="3"/>
      <c r="O86" s="3"/>
      <c r="P86" s="3"/>
      <c r="Q86" s="3"/>
      <c r="R86" s="3"/>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c r="BC86" s="3"/>
      <c r="BD86" s="3"/>
    </row>
    <row r="87" spans="1:56" ht="16.5" thickBot="1" x14ac:dyDescent="0.3">
      <c r="A87" s="28"/>
      <c r="B87" s="28"/>
      <c r="C87" s="28"/>
      <c r="D87" s="28"/>
      <c r="E87" s="28"/>
      <c r="I87" s="3"/>
      <c r="J87" s="3"/>
      <c r="K87" s="3"/>
      <c r="L87" s="3"/>
      <c r="N87" s="3"/>
      <c r="O87" s="3"/>
      <c r="P87" s="3"/>
      <c r="Q87" s="3"/>
      <c r="R87" s="3"/>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3"/>
      <c r="BA87" s="3"/>
      <c r="BB87" s="3"/>
      <c r="BC87" s="3"/>
      <c r="BD87" s="3"/>
    </row>
    <row r="88" spans="1:56" ht="16.5" thickBot="1" x14ac:dyDescent="0.3">
      <c r="A88" s="435" t="s">
        <v>555</v>
      </c>
      <c r="B88" s="436"/>
      <c r="C88" s="436"/>
      <c r="D88" s="437"/>
      <c r="E88" s="28"/>
      <c r="I88" s="3"/>
      <c r="J88" s="3"/>
      <c r="K88" s="3"/>
      <c r="L88" s="3"/>
      <c r="N88" s="3"/>
      <c r="O88" s="3"/>
      <c r="P88" s="3"/>
      <c r="Q88" s="3"/>
      <c r="R88" s="3"/>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3"/>
      <c r="AY88" s="3"/>
      <c r="AZ88" s="3"/>
      <c r="BA88" s="3"/>
      <c r="BB88" s="3"/>
      <c r="BC88" s="3"/>
      <c r="BD88" s="3"/>
    </row>
    <row r="89" spans="1:56" ht="30.75" thickBot="1" x14ac:dyDescent="0.3">
      <c r="A89" s="37" t="s">
        <v>532</v>
      </c>
      <c r="B89" s="36" t="s">
        <v>533</v>
      </c>
      <c r="C89" s="36" t="s">
        <v>534</v>
      </c>
      <c r="D89" s="36" t="s">
        <v>535</v>
      </c>
      <c r="E89" s="28"/>
      <c r="I89" s="3"/>
      <c r="J89" s="3"/>
      <c r="K89" s="3"/>
      <c r="L89" s="3"/>
      <c r="N89" s="3"/>
      <c r="O89" s="3"/>
      <c r="P89" s="3"/>
      <c r="Q89" s="3"/>
      <c r="R89" s="3"/>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c r="BC89" s="3"/>
      <c r="BD89" s="3"/>
    </row>
    <row r="90" spans="1:56" ht="16.5" thickBot="1" x14ac:dyDescent="0.3">
      <c r="A90" s="34" t="s">
        <v>536</v>
      </c>
      <c r="B90" s="33">
        <v>131</v>
      </c>
      <c r="C90" s="32">
        <v>13.557251908396946</v>
      </c>
      <c r="D90" s="32">
        <v>39.541984732824424</v>
      </c>
      <c r="E90" s="28"/>
      <c r="I90" s="3"/>
      <c r="J90" s="3"/>
      <c r="K90" s="3"/>
      <c r="L90" s="3"/>
      <c r="N90" s="3"/>
      <c r="O90" s="3"/>
      <c r="P90" s="3"/>
      <c r="Q90" s="3"/>
      <c r="R90" s="3"/>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c r="BC90" s="3"/>
      <c r="BD90" s="3"/>
    </row>
    <row r="91" spans="1:56" ht="16.5" thickBot="1" x14ac:dyDescent="0.3">
      <c r="A91" s="34" t="s">
        <v>537</v>
      </c>
      <c r="B91" s="33">
        <v>9</v>
      </c>
      <c r="C91" s="32">
        <v>19.666666666666668</v>
      </c>
      <c r="D91" s="32">
        <v>45.555555555555557</v>
      </c>
      <c r="E91" s="28"/>
      <c r="I91" s="3"/>
      <c r="J91" s="3"/>
      <c r="K91" s="3"/>
      <c r="L91" s="3"/>
      <c r="N91" s="3"/>
      <c r="O91" s="3"/>
      <c r="P91" s="3"/>
      <c r="Q91" s="3"/>
      <c r="R91" s="3"/>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c r="BC91" s="3"/>
      <c r="BD91" s="3"/>
    </row>
    <row r="92" spans="1:56" ht="16.5" thickBot="1" x14ac:dyDescent="0.3">
      <c r="A92" s="34" t="s">
        <v>538</v>
      </c>
      <c r="B92" s="33">
        <v>231</v>
      </c>
      <c r="C92" s="32">
        <v>11.103896103896103</v>
      </c>
      <c r="D92" s="32">
        <v>19.826839826839826</v>
      </c>
      <c r="E92" s="28"/>
      <c r="I92" s="3"/>
      <c r="J92" s="3"/>
      <c r="K92" s="3"/>
      <c r="L92" s="3"/>
      <c r="N92" s="3"/>
      <c r="O92" s="3"/>
      <c r="P92" s="3"/>
      <c r="Q92" s="3"/>
      <c r="R92" s="3"/>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c r="BC92" s="3"/>
      <c r="BD92" s="3"/>
    </row>
    <row r="93" spans="1:56" ht="30.75" thickBot="1" x14ac:dyDescent="0.3">
      <c r="A93" s="35" t="s">
        <v>539</v>
      </c>
      <c r="B93" s="33">
        <v>46</v>
      </c>
      <c r="C93" s="32">
        <v>7.1956521739130439</v>
      </c>
      <c r="D93" s="32">
        <v>28.195652173913043</v>
      </c>
      <c r="E93" s="28"/>
      <c r="I93" s="3"/>
      <c r="J93" s="3"/>
      <c r="K93" s="3"/>
      <c r="L93" s="3"/>
      <c r="N93" s="3"/>
      <c r="O93" s="3"/>
      <c r="P93" s="3"/>
      <c r="Q93" s="3"/>
      <c r="R93" s="3"/>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3"/>
      <c r="AY93" s="3"/>
      <c r="AZ93" s="3"/>
      <c r="BA93" s="3"/>
      <c r="BB93" s="3"/>
      <c r="BC93" s="3"/>
      <c r="BD93" s="3"/>
    </row>
    <row r="94" spans="1:56" ht="16.5" thickBot="1" x14ac:dyDescent="0.3">
      <c r="A94" s="34" t="s">
        <v>540</v>
      </c>
      <c r="B94" s="33">
        <v>80</v>
      </c>
      <c r="C94" s="32">
        <v>65.037499999999994</v>
      </c>
      <c r="D94" s="32">
        <v>105.7625</v>
      </c>
      <c r="E94" s="28"/>
      <c r="I94" s="3"/>
      <c r="J94" s="3"/>
      <c r="K94" s="3"/>
      <c r="L94" s="3"/>
      <c r="N94" s="3"/>
      <c r="O94" s="3"/>
      <c r="P94" s="3"/>
      <c r="Q94" s="3"/>
      <c r="R94" s="3"/>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c r="BC94" s="3"/>
      <c r="BD94" s="3"/>
    </row>
    <row r="95" spans="1:56" ht="16.5" thickBot="1" x14ac:dyDescent="0.3">
      <c r="A95" s="31" t="s">
        <v>496</v>
      </c>
      <c r="B95" s="30">
        <v>497</v>
      </c>
      <c r="C95" s="29">
        <v>20.225352112676056</v>
      </c>
      <c r="D95" s="29">
        <v>40.096579476861166</v>
      </c>
      <c r="E95" s="28"/>
      <c r="I95" s="3"/>
      <c r="J95" s="3"/>
      <c r="K95" s="3"/>
      <c r="L95" s="3"/>
      <c r="N95" s="3"/>
      <c r="O95" s="3"/>
      <c r="P95" s="3"/>
      <c r="Q95" s="3"/>
      <c r="R95" s="3"/>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c r="AT95" s="3"/>
      <c r="AU95" s="3"/>
      <c r="AV95" s="3"/>
      <c r="AW95" s="3"/>
      <c r="AX95" s="3"/>
      <c r="AY95" s="3"/>
      <c r="AZ95" s="3"/>
      <c r="BA95" s="3"/>
      <c r="BB95" s="3"/>
      <c r="BC95" s="3"/>
      <c r="BD95" s="3"/>
    </row>
    <row r="96" spans="1:56" x14ac:dyDescent="0.25">
      <c r="A96" s="28"/>
      <c r="B96" s="28"/>
      <c r="C96" s="28"/>
      <c r="D96" s="28"/>
      <c r="E96" s="28"/>
      <c r="I96" s="3"/>
      <c r="J96" s="3"/>
      <c r="K96" s="3"/>
      <c r="L96" s="3"/>
      <c r="N96" s="3"/>
      <c r="O96" s="3"/>
      <c r="P96" s="3"/>
      <c r="Q96" s="3"/>
      <c r="R96" s="3"/>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c r="AU96" s="3"/>
      <c r="AV96" s="3"/>
      <c r="AW96" s="3"/>
      <c r="AX96" s="3"/>
      <c r="AY96" s="3"/>
      <c r="AZ96" s="3"/>
      <c r="BA96" s="3"/>
      <c r="BB96" s="3"/>
      <c r="BC96" s="3"/>
      <c r="BD96" s="3"/>
    </row>
    <row r="97" spans="1:56" x14ac:dyDescent="0.25">
      <c r="A97" s="28" t="s">
        <v>556</v>
      </c>
      <c r="B97" s="28"/>
      <c r="C97" s="28"/>
      <c r="D97" s="28"/>
      <c r="E97" s="28"/>
      <c r="I97" s="3"/>
      <c r="J97" s="3"/>
      <c r="K97" s="3"/>
      <c r="L97" s="3"/>
      <c r="N97" s="3"/>
      <c r="O97" s="3"/>
      <c r="P97" s="3"/>
      <c r="Q97" s="3"/>
      <c r="R97" s="3"/>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c r="AT97" s="3"/>
      <c r="AU97" s="3"/>
      <c r="AV97" s="3"/>
      <c r="AW97" s="3"/>
      <c r="AX97" s="3"/>
      <c r="AY97" s="3"/>
      <c r="AZ97" s="3"/>
      <c r="BA97" s="3"/>
      <c r="BB97" s="3"/>
      <c r="BC97" s="3"/>
      <c r="BD97" s="3"/>
    </row>
    <row r="98" spans="1:56" x14ac:dyDescent="0.25">
      <c r="A98" s="28"/>
      <c r="B98" s="28"/>
      <c r="C98" s="28"/>
      <c r="D98" s="28"/>
      <c r="E98" s="28"/>
      <c r="I98" s="3"/>
      <c r="J98" s="3"/>
      <c r="K98" s="3"/>
      <c r="L98" s="3"/>
      <c r="N98" s="3"/>
      <c r="O98" s="3"/>
      <c r="P98" s="3"/>
      <c r="Q98" s="3"/>
      <c r="R98" s="3"/>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c r="AT98" s="3"/>
      <c r="AU98" s="3"/>
      <c r="AV98" s="3"/>
      <c r="AW98" s="3"/>
      <c r="AX98" s="3"/>
      <c r="AY98" s="3"/>
      <c r="AZ98" s="3"/>
      <c r="BA98" s="3"/>
      <c r="BB98" s="3"/>
      <c r="BC98" s="3"/>
      <c r="BD98" s="3"/>
    </row>
    <row r="99" spans="1:56" ht="16.5" thickBot="1" x14ac:dyDescent="0.3">
      <c r="A99" s="28"/>
      <c r="B99" s="28"/>
      <c r="C99" s="28"/>
      <c r="D99" s="28"/>
      <c r="E99" s="28"/>
      <c r="I99" s="3"/>
      <c r="J99" s="3"/>
      <c r="K99" s="3"/>
      <c r="L99" s="3"/>
      <c r="N99" s="3"/>
      <c r="O99" s="3"/>
      <c r="P99" s="3"/>
      <c r="Q99" s="3"/>
      <c r="R99" s="3"/>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c r="AT99" s="3"/>
      <c r="AU99" s="3"/>
      <c r="AV99" s="3"/>
      <c r="AW99" s="3"/>
      <c r="AX99" s="3"/>
      <c r="AY99" s="3"/>
      <c r="AZ99" s="3"/>
      <c r="BA99" s="3"/>
      <c r="BB99" s="3"/>
      <c r="BC99" s="3"/>
      <c r="BD99" s="3"/>
    </row>
    <row r="100" spans="1:56" ht="16.5" thickBot="1" x14ac:dyDescent="0.3">
      <c r="A100" s="435" t="s">
        <v>557</v>
      </c>
      <c r="B100" s="436"/>
      <c r="C100" s="436"/>
      <c r="D100" s="437"/>
      <c r="E100" s="28"/>
      <c r="I100" s="3"/>
      <c r="J100" s="3"/>
      <c r="K100" s="3"/>
      <c r="L100" s="3"/>
      <c r="N100" s="3"/>
      <c r="O100" s="3"/>
      <c r="P100" s="3"/>
      <c r="Q100" s="3"/>
      <c r="R100" s="3"/>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c r="BC100" s="3"/>
      <c r="BD100" s="3"/>
    </row>
    <row r="101" spans="1:56" ht="30.75" thickBot="1" x14ac:dyDescent="0.3">
      <c r="A101" s="37" t="s">
        <v>532</v>
      </c>
      <c r="B101" s="36" t="s">
        <v>533</v>
      </c>
      <c r="C101" s="36" t="s">
        <v>534</v>
      </c>
      <c r="D101" s="36" t="s">
        <v>535</v>
      </c>
      <c r="E101" s="28"/>
      <c r="I101" s="3"/>
      <c r="J101" s="3"/>
      <c r="K101" s="3"/>
      <c r="L101" s="3"/>
      <c r="N101" s="3"/>
      <c r="O101" s="3"/>
      <c r="P101" s="3"/>
      <c r="Q101" s="3"/>
      <c r="R101" s="3"/>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c r="BD101" s="3"/>
    </row>
    <row r="102" spans="1:56" ht="16.5" thickBot="1" x14ac:dyDescent="0.3">
      <c r="A102" s="34" t="s">
        <v>536</v>
      </c>
      <c r="B102" s="33">
        <v>140</v>
      </c>
      <c r="C102" s="32">
        <v>30.09054034391535</v>
      </c>
      <c r="D102" s="32">
        <v>52.017708746693103</v>
      </c>
      <c r="E102" s="28"/>
      <c r="I102" s="3"/>
      <c r="J102" s="3"/>
      <c r="K102" s="3"/>
      <c r="L102" s="3"/>
      <c r="N102" s="3"/>
      <c r="O102" s="3"/>
      <c r="P102" s="3"/>
      <c r="Q102" s="3"/>
      <c r="R102" s="3"/>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3"/>
      <c r="AY102" s="3"/>
      <c r="AZ102" s="3"/>
      <c r="BA102" s="3"/>
      <c r="BB102" s="3"/>
      <c r="BC102" s="3"/>
      <c r="BD102" s="3"/>
    </row>
    <row r="103" spans="1:56" ht="16.5" thickBot="1" x14ac:dyDescent="0.3">
      <c r="A103" s="34" t="s">
        <v>537</v>
      </c>
      <c r="B103" s="33">
        <v>13</v>
      </c>
      <c r="C103" s="32">
        <v>84.17749821937322</v>
      </c>
      <c r="D103" s="32">
        <v>136.59158030626779</v>
      </c>
      <c r="E103" s="28"/>
      <c r="I103" s="3"/>
      <c r="J103" s="3"/>
      <c r="K103" s="3"/>
      <c r="L103" s="3"/>
      <c r="N103" s="3"/>
      <c r="O103" s="3"/>
      <c r="P103" s="3"/>
      <c r="Q103" s="3"/>
      <c r="R103" s="3"/>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3"/>
      <c r="AY103" s="3"/>
      <c r="AZ103" s="3"/>
      <c r="BA103" s="3"/>
      <c r="BB103" s="3"/>
      <c r="BC103" s="3"/>
      <c r="BD103" s="3"/>
    </row>
    <row r="104" spans="1:56" ht="16.5" thickBot="1" x14ac:dyDescent="0.3">
      <c r="A104" s="34" t="s">
        <v>558</v>
      </c>
      <c r="B104" s="33">
        <v>96</v>
      </c>
      <c r="C104" s="32">
        <v>13.575856119791666</v>
      </c>
      <c r="D104" s="32">
        <v>19.428074966242285</v>
      </c>
      <c r="E104" s="28"/>
      <c r="I104" s="3"/>
      <c r="J104" s="3"/>
      <c r="K104" s="3"/>
      <c r="L104" s="3"/>
      <c r="N104" s="3"/>
      <c r="O104" s="3"/>
      <c r="P104" s="3"/>
      <c r="Q104" s="3"/>
      <c r="R104" s="3"/>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3"/>
      <c r="AY104" s="3"/>
      <c r="AZ104" s="3"/>
      <c r="BA104" s="3"/>
      <c r="BB104" s="3"/>
      <c r="BC104" s="3"/>
      <c r="BD104" s="3"/>
    </row>
    <row r="105" spans="1:56" ht="30.75" thickBot="1" x14ac:dyDescent="0.3">
      <c r="A105" s="35" t="s">
        <v>539</v>
      </c>
      <c r="B105" s="33">
        <v>51</v>
      </c>
      <c r="C105" s="32">
        <v>20.052869462599855</v>
      </c>
      <c r="D105" s="32">
        <v>34.352804330065361</v>
      </c>
      <c r="E105" s="28"/>
      <c r="I105" s="3"/>
      <c r="J105" s="3"/>
      <c r="K105" s="3"/>
      <c r="L105" s="3"/>
      <c r="N105" s="3"/>
      <c r="O105" s="3"/>
      <c r="P105" s="3"/>
      <c r="Q105" s="3"/>
      <c r="R105" s="3"/>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c r="AZ105" s="3"/>
      <c r="BA105" s="3"/>
      <c r="BB105" s="3"/>
      <c r="BC105" s="3"/>
      <c r="BD105" s="3"/>
    </row>
    <row r="106" spans="1:56" ht="16.5" thickBot="1" x14ac:dyDescent="0.3">
      <c r="A106" s="34" t="s">
        <v>540</v>
      </c>
      <c r="B106" s="33">
        <v>91</v>
      </c>
      <c r="C106" s="32">
        <v>117.87915801790803</v>
      </c>
      <c r="D106" s="32">
        <v>145.73506817256822</v>
      </c>
      <c r="E106" s="28"/>
      <c r="I106" s="3"/>
      <c r="J106" s="3"/>
      <c r="K106" s="3"/>
      <c r="L106" s="3"/>
      <c r="N106" s="3"/>
      <c r="O106" s="3"/>
      <c r="P106" s="3"/>
      <c r="Q106" s="3"/>
      <c r="R106" s="3"/>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c r="BA106" s="3"/>
      <c r="BB106" s="3"/>
      <c r="BC106" s="3"/>
      <c r="BD106" s="3"/>
    </row>
    <row r="107" spans="1:56" ht="16.5" thickBot="1" x14ac:dyDescent="0.3">
      <c r="A107" s="31" t="s">
        <v>496</v>
      </c>
      <c r="B107" s="30">
        <v>391</v>
      </c>
      <c r="C107" s="29">
        <v>46.956432313867566</v>
      </c>
      <c r="D107" s="29">
        <v>66.335419922800014</v>
      </c>
      <c r="E107" s="28"/>
      <c r="I107" s="3"/>
      <c r="J107" s="3"/>
      <c r="K107" s="3"/>
      <c r="L107" s="3"/>
      <c r="N107" s="3"/>
      <c r="O107" s="3"/>
      <c r="P107" s="3"/>
      <c r="Q107" s="3"/>
      <c r="R107" s="3"/>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3"/>
      <c r="AZ107" s="3"/>
      <c r="BA107" s="3"/>
      <c r="BB107" s="3"/>
      <c r="BC107" s="3"/>
      <c r="BD107" s="3"/>
    </row>
    <row r="108" spans="1:56" x14ac:dyDescent="0.25">
      <c r="A108" s="28"/>
      <c r="B108" s="28"/>
      <c r="C108" s="28"/>
      <c r="D108" s="28"/>
      <c r="E108" s="28"/>
      <c r="I108" s="3"/>
      <c r="J108" s="3"/>
      <c r="K108" s="3"/>
      <c r="L108" s="3"/>
      <c r="N108" s="3"/>
      <c r="O108" s="3"/>
      <c r="P108" s="3"/>
      <c r="Q108" s="3"/>
      <c r="R108" s="3"/>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c r="AT108" s="3"/>
      <c r="AU108" s="3"/>
      <c r="AV108" s="3"/>
      <c r="AW108" s="3"/>
      <c r="AX108" s="3"/>
      <c r="AY108" s="3"/>
      <c r="AZ108" s="3"/>
      <c r="BA108" s="3"/>
      <c r="BB108" s="3"/>
      <c r="BC108" s="3"/>
      <c r="BD108" s="3"/>
    </row>
    <row r="109" spans="1:56" x14ac:dyDescent="0.25">
      <c r="A109" s="28" t="s">
        <v>559</v>
      </c>
      <c r="B109" s="28"/>
      <c r="C109" s="28"/>
      <c r="D109" s="28"/>
      <c r="E109" s="28"/>
      <c r="I109" s="3"/>
      <c r="J109" s="3"/>
      <c r="K109" s="3"/>
      <c r="L109" s="3"/>
      <c r="N109" s="3"/>
      <c r="O109" s="3"/>
      <c r="P109" s="3"/>
      <c r="Q109" s="3"/>
      <c r="R109" s="3"/>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c r="AT109" s="3"/>
      <c r="AU109" s="3"/>
      <c r="AV109" s="3"/>
      <c r="AW109" s="3"/>
      <c r="AX109" s="3"/>
      <c r="AY109" s="3"/>
      <c r="AZ109" s="3"/>
      <c r="BA109" s="3"/>
      <c r="BB109" s="3"/>
      <c r="BC109" s="3"/>
      <c r="BD109" s="3"/>
    </row>
    <row r="110" spans="1:56" x14ac:dyDescent="0.25">
      <c r="A110" s="28"/>
      <c r="B110" s="28"/>
      <c r="C110" s="28"/>
      <c r="D110" s="28"/>
      <c r="E110" s="28"/>
      <c r="I110" s="3"/>
      <c r="J110" s="3"/>
      <c r="K110" s="3"/>
      <c r="L110" s="3"/>
      <c r="N110" s="3"/>
      <c r="O110" s="3"/>
      <c r="P110" s="3"/>
      <c r="Q110" s="3"/>
      <c r="R110" s="3"/>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c r="AT110" s="3"/>
      <c r="AU110" s="3"/>
      <c r="AV110" s="3"/>
      <c r="AW110" s="3"/>
      <c r="AX110" s="3"/>
      <c r="AY110" s="3"/>
      <c r="AZ110" s="3"/>
      <c r="BA110" s="3"/>
      <c r="BB110" s="3"/>
      <c r="BC110" s="3"/>
      <c r="BD110" s="3"/>
    </row>
    <row r="111" spans="1:56" ht="16.5" thickBot="1" x14ac:dyDescent="0.3">
      <c r="A111" s="28"/>
      <c r="B111" s="28"/>
      <c r="C111" s="28"/>
      <c r="D111" s="28"/>
      <c r="E111" s="28"/>
      <c r="I111" s="3"/>
      <c r="J111" s="3"/>
      <c r="K111" s="3"/>
      <c r="L111" s="3"/>
      <c r="N111" s="3"/>
      <c r="O111" s="3"/>
      <c r="P111" s="3"/>
      <c r="Q111" s="3"/>
      <c r="R111" s="3"/>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c r="AT111" s="3"/>
      <c r="AU111" s="3"/>
      <c r="AV111" s="3"/>
      <c r="AW111" s="3"/>
      <c r="AX111" s="3"/>
      <c r="AY111" s="3"/>
      <c r="AZ111" s="3"/>
      <c r="BA111" s="3"/>
      <c r="BB111" s="3"/>
      <c r="BC111" s="3"/>
      <c r="BD111" s="3"/>
    </row>
    <row r="112" spans="1:56" ht="16.5" thickBot="1" x14ac:dyDescent="0.3">
      <c r="A112" s="435" t="s">
        <v>560</v>
      </c>
      <c r="B112" s="436"/>
      <c r="C112" s="436"/>
      <c r="D112" s="437"/>
      <c r="E112" s="28"/>
      <c r="I112" s="3"/>
      <c r="J112" s="3"/>
      <c r="K112" s="3"/>
      <c r="L112" s="3"/>
      <c r="N112" s="3"/>
      <c r="O112" s="3"/>
      <c r="P112" s="3"/>
      <c r="Q112" s="3"/>
      <c r="R112" s="3"/>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3"/>
      <c r="AT112" s="3"/>
      <c r="AU112" s="3"/>
      <c r="AV112" s="3"/>
      <c r="AW112" s="3"/>
      <c r="AX112" s="3"/>
      <c r="AY112" s="3"/>
      <c r="AZ112" s="3"/>
      <c r="BA112" s="3"/>
      <c r="BB112" s="3"/>
      <c r="BC112" s="3"/>
      <c r="BD112" s="3"/>
    </row>
    <row r="113" spans="1:56" ht="30.75" thickBot="1" x14ac:dyDescent="0.3">
      <c r="A113" s="37" t="s">
        <v>532</v>
      </c>
      <c r="B113" s="36" t="s">
        <v>533</v>
      </c>
      <c r="C113" s="36" t="s">
        <v>534</v>
      </c>
      <c r="D113" s="36" t="s">
        <v>535</v>
      </c>
      <c r="E113" s="28"/>
      <c r="I113" s="3"/>
      <c r="J113" s="3"/>
      <c r="K113" s="3"/>
      <c r="L113" s="3"/>
      <c r="N113" s="3"/>
      <c r="O113" s="3"/>
      <c r="P113" s="3"/>
      <c r="Q113" s="3"/>
      <c r="R113" s="3"/>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c r="AT113" s="3"/>
      <c r="AU113" s="3"/>
      <c r="AV113" s="3"/>
      <c r="AW113" s="3"/>
      <c r="AX113" s="3"/>
      <c r="AY113" s="3"/>
      <c r="AZ113" s="3"/>
      <c r="BA113" s="3"/>
      <c r="BB113" s="3"/>
      <c r="BC113" s="3"/>
      <c r="BD113" s="3"/>
    </row>
    <row r="114" spans="1:56" ht="16.5" thickBot="1" x14ac:dyDescent="0.3">
      <c r="A114" s="34" t="s">
        <v>536</v>
      </c>
      <c r="B114" s="33">
        <v>167</v>
      </c>
      <c r="C114" s="32">
        <v>30.496791417165674</v>
      </c>
      <c r="D114" s="32">
        <v>43.280074573076057</v>
      </c>
      <c r="E114" s="28"/>
      <c r="I114" s="3"/>
      <c r="J114" s="3"/>
      <c r="K114" s="3"/>
      <c r="L114" s="3"/>
      <c r="N114" s="3"/>
      <c r="O114" s="3"/>
      <c r="P114" s="3"/>
      <c r="Q114" s="3"/>
      <c r="R114" s="3"/>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3"/>
      <c r="AU114" s="3"/>
      <c r="AV114" s="3"/>
      <c r="AW114" s="3"/>
      <c r="AX114" s="3"/>
      <c r="AY114" s="3"/>
      <c r="AZ114" s="3"/>
      <c r="BA114" s="3"/>
      <c r="BB114" s="3"/>
      <c r="BC114" s="3"/>
      <c r="BD114" s="3"/>
    </row>
    <row r="115" spans="1:56" ht="16.5" thickBot="1" x14ac:dyDescent="0.3">
      <c r="A115" s="34" t="s">
        <v>537</v>
      </c>
      <c r="B115" s="33">
        <v>28</v>
      </c>
      <c r="C115" s="32">
        <v>53.039998346560843</v>
      </c>
      <c r="D115" s="32">
        <v>79.322636408730162</v>
      </c>
      <c r="E115" s="28"/>
      <c r="I115" s="3"/>
      <c r="J115" s="3"/>
      <c r="K115" s="3"/>
      <c r="L115" s="3"/>
      <c r="N115" s="3"/>
      <c r="O115" s="3"/>
      <c r="P115" s="3"/>
      <c r="Q115" s="3"/>
      <c r="R115" s="3"/>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c r="AU115" s="3"/>
      <c r="AV115" s="3"/>
      <c r="AW115" s="3"/>
      <c r="AX115" s="3"/>
      <c r="AY115" s="3"/>
      <c r="AZ115" s="3"/>
      <c r="BA115" s="3"/>
      <c r="BB115" s="3"/>
      <c r="BC115" s="3"/>
      <c r="BD115" s="3"/>
    </row>
    <row r="116" spans="1:56" ht="16.5" thickBot="1" x14ac:dyDescent="0.3">
      <c r="A116" s="34" t="s">
        <v>558</v>
      </c>
      <c r="B116" s="33">
        <v>76</v>
      </c>
      <c r="C116" s="32">
        <v>17.020504385964916</v>
      </c>
      <c r="D116" s="32">
        <v>22.364155854044846</v>
      </c>
      <c r="E116" s="28"/>
      <c r="I116" s="3"/>
      <c r="J116" s="3"/>
      <c r="K116" s="3"/>
      <c r="L116" s="3"/>
      <c r="N116" s="3"/>
      <c r="O116" s="3"/>
      <c r="P116" s="3"/>
      <c r="Q116" s="3"/>
      <c r="R116" s="3"/>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c r="AU116" s="3"/>
      <c r="AV116" s="3"/>
      <c r="AW116" s="3"/>
      <c r="AX116" s="3"/>
      <c r="AY116" s="3"/>
      <c r="AZ116" s="3"/>
      <c r="BA116" s="3"/>
      <c r="BB116" s="3"/>
      <c r="BC116" s="3"/>
      <c r="BD116" s="3"/>
    </row>
    <row r="117" spans="1:56" ht="30.75" thickBot="1" x14ac:dyDescent="0.3">
      <c r="A117" s="35" t="s">
        <v>539</v>
      </c>
      <c r="B117" s="33">
        <v>63</v>
      </c>
      <c r="C117" s="32">
        <v>24.704727917401531</v>
      </c>
      <c r="D117" s="32">
        <v>37.624253380364486</v>
      </c>
      <c r="E117" s="28"/>
      <c r="I117" s="3"/>
      <c r="J117" s="3"/>
      <c r="K117" s="3"/>
      <c r="L117" s="3"/>
      <c r="N117" s="3"/>
      <c r="O117" s="3"/>
      <c r="P117" s="3"/>
      <c r="Q117" s="3"/>
      <c r="R117" s="3"/>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c r="BC117" s="3"/>
      <c r="BD117" s="3"/>
    </row>
    <row r="118" spans="1:56" ht="16.5" thickBot="1" x14ac:dyDescent="0.3">
      <c r="A118" s="34" t="s">
        <v>540</v>
      </c>
      <c r="B118" s="33">
        <v>112</v>
      </c>
      <c r="C118" s="32">
        <v>86.869546647652129</v>
      </c>
      <c r="D118" s="32">
        <v>97.625310019841308</v>
      </c>
      <c r="E118" s="28"/>
      <c r="I118" s="3"/>
      <c r="J118" s="3"/>
      <c r="K118" s="3"/>
      <c r="L118" s="3"/>
      <c r="N118" s="3"/>
      <c r="O118" s="3"/>
      <c r="P118" s="3"/>
      <c r="Q118" s="3"/>
      <c r="R118" s="3"/>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c r="AT118" s="3"/>
      <c r="AU118" s="3"/>
      <c r="AV118" s="3"/>
      <c r="AW118" s="3"/>
      <c r="AX118" s="3"/>
      <c r="AY118" s="3"/>
      <c r="AZ118" s="3"/>
      <c r="BA118" s="3"/>
      <c r="BB118" s="3"/>
      <c r="BC118" s="3"/>
      <c r="BD118" s="3"/>
    </row>
    <row r="119" spans="1:56" ht="16.5" thickBot="1" x14ac:dyDescent="0.3">
      <c r="A119" s="31" t="s">
        <v>496</v>
      </c>
      <c r="B119" s="30">
        <v>446</v>
      </c>
      <c r="C119" s="29">
        <v>42.953877885733277</v>
      </c>
      <c r="D119" s="29">
        <v>54.82700628529318</v>
      </c>
      <c r="E119" s="28"/>
      <c r="I119" s="3"/>
      <c r="J119" s="3"/>
      <c r="K119" s="3"/>
      <c r="L119" s="3"/>
      <c r="N119" s="3"/>
      <c r="O119" s="3"/>
      <c r="P119" s="3"/>
      <c r="Q119" s="3"/>
      <c r="R119" s="3"/>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c r="AT119" s="3"/>
      <c r="AU119" s="3"/>
      <c r="AV119" s="3"/>
      <c r="AW119" s="3"/>
      <c r="AX119" s="3"/>
      <c r="AY119" s="3"/>
      <c r="AZ119" s="3"/>
      <c r="BA119" s="3"/>
      <c r="BB119" s="3"/>
      <c r="BC119" s="3"/>
      <c r="BD119" s="3"/>
    </row>
    <row r="120" spans="1:56" x14ac:dyDescent="0.25">
      <c r="A120" s="28"/>
      <c r="B120" s="28"/>
      <c r="C120" s="28"/>
      <c r="D120" s="28"/>
      <c r="E120" s="28"/>
      <c r="I120" s="3"/>
      <c r="J120" s="3"/>
      <c r="K120" s="3"/>
      <c r="L120" s="3"/>
      <c r="N120" s="3"/>
      <c r="O120" s="3"/>
      <c r="P120" s="3"/>
      <c r="Q120" s="3"/>
      <c r="R120" s="3"/>
      <c r="S120" s="3"/>
      <c r="T120" s="3"/>
      <c r="U120" s="3"/>
      <c r="V120" s="3"/>
      <c r="W120" s="3"/>
      <c r="X120" s="3"/>
      <c r="Y120" s="3"/>
      <c r="Z120" s="3"/>
      <c r="AA120" s="3"/>
      <c r="AB120" s="3"/>
      <c r="AC120" s="3"/>
      <c r="AD120" s="3"/>
      <c r="AE120" s="3"/>
      <c r="AF120" s="3"/>
      <c r="AG120" s="3"/>
      <c r="AH120" s="3"/>
      <c r="AI120" s="3"/>
      <c r="AJ120" s="3"/>
      <c r="AK120" s="3"/>
      <c r="AL120" s="3"/>
      <c r="AM120" s="3"/>
      <c r="AN120" s="3"/>
      <c r="AO120" s="3"/>
      <c r="AP120" s="3"/>
      <c r="AQ120" s="3"/>
      <c r="AR120" s="3"/>
      <c r="AS120" s="3"/>
      <c r="AT120" s="3"/>
      <c r="AU120" s="3"/>
      <c r="AV120" s="3"/>
      <c r="AW120" s="3"/>
      <c r="AX120" s="3"/>
      <c r="AY120" s="3"/>
      <c r="AZ120" s="3"/>
      <c r="BA120" s="3"/>
      <c r="BB120" s="3"/>
      <c r="BC120" s="3"/>
      <c r="BD120" s="3"/>
    </row>
    <row r="121" spans="1:56" x14ac:dyDescent="0.25">
      <c r="A121" s="28" t="s">
        <v>561</v>
      </c>
      <c r="B121" s="28"/>
      <c r="C121" s="28"/>
      <c r="D121" s="28"/>
      <c r="E121" s="28"/>
      <c r="I121" s="3"/>
      <c r="J121" s="3"/>
      <c r="K121" s="3"/>
      <c r="L121" s="3"/>
      <c r="N121" s="3"/>
      <c r="O121" s="3"/>
      <c r="P121" s="3"/>
      <c r="Q121" s="3"/>
      <c r="R121" s="3"/>
      <c r="S121" s="3"/>
      <c r="T121" s="3"/>
      <c r="U121" s="3"/>
      <c r="V121" s="3"/>
      <c r="W121" s="3"/>
      <c r="X121" s="3"/>
      <c r="Y121" s="3"/>
      <c r="Z121" s="3"/>
      <c r="AA121" s="3"/>
      <c r="AB121" s="3"/>
      <c r="AC121" s="3"/>
      <c r="AD121" s="3"/>
      <c r="AE121" s="3"/>
      <c r="AF121" s="3"/>
      <c r="AG121" s="3"/>
      <c r="AH121" s="3"/>
      <c r="AI121" s="3"/>
      <c r="AJ121" s="3"/>
      <c r="AK121" s="3"/>
      <c r="AL121" s="3"/>
      <c r="AM121" s="3"/>
      <c r="AN121" s="3"/>
      <c r="AO121" s="3"/>
      <c r="AP121" s="3"/>
      <c r="AQ121" s="3"/>
      <c r="AR121" s="3"/>
      <c r="AS121" s="3"/>
      <c r="AT121" s="3"/>
      <c r="AU121" s="3"/>
      <c r="AV121" s="3"/>
      <c r="AW121" s="3"/>
      <c r="AX121" s="3"/>
      <c r="AY121" s="3"/>
      <c r="AZ121" s="3"/>
      <c r="BA121" s="3"/>
      <c r="BB121" s="3"/>
      <c r="BC121" s="3"/>
      <c r="BD121" s="3"/>
    </row>
    <row r="122" spans="1:56" x14ac:dyDescent="0.25">
      <c r="A122" s="28"/>
      <c r="B122" s="28"/>
      <c r="D122" s="28"/>
      <c r="E122" s="28"/>
      <c r="I122" s="3"/>
      <c r="J122" s="3"/>
      <c r="K122" s="3"/>
      <c r="L122" s="3"/>
      <c r="N122" s="3"/>
      <c r="O122" s="3"/>
      <c r="P122" s="3"/>
      <c r="Q122" s="3"/>
      <c r="R122" s="3"/>
      <c r="S122" s="3"/>
      <c r="T122" s="3"/>
      <c r="U122" s="3"/>
      <c r="V122" s="3"/>
      <c r="W122" s="3"/>
      <c r="X122" s="3"/>
      <c r="Y122" s="3"/>
      <c r="Z122" s="3"/>
      <c r="AA122" s="3"/>
      <c r="AB122" s="3"/>
      <c r="AC122" s="3"/>
      <c r="AD122" s="3"/>
      <c r="AE122" s="3"/>
      <c r="AF122" s="3"/>
      <c r="AG122" s="3"/>
      <c r="AH122" s="3"/>
      <c r="AI122" s="3"/>
      <c r="AJ122" s="3"/>
      <c r="AK122" s="3"/>
      <c r="AL122" s="3"/>
      <c r="AM122" s="3"/>
      <c r="AN122" s="3"/>
      <c r="AO122" s="3"/>
      <c r="AP122" s="3"/>
      <c r="AQ122" s="3"/>
      <c r="AR122" s="3"/>
      <c r="AS122" s="3"/>
      <c r="AT122" s="3"/>
      <c r="AU122" s="3"/>
      <c r="AV122" s="3"/>
      <c r="AW122" s="3"/>
      <c r="AX122" s="3"/>
      <c r="AY122" s="3"/>
      <c r="AZ122" s="3"/>
      <c r="BA122" s="3"/>
      <c r="BB122" s="3"/>
      <c r="BC122" s="3"/>
      <c r="BD122" s="3"/>
    </row>
    <row r="123" spans="1:56" ht="16.5" thickBot="1" x14ac:dyDescent="0.3">
      <c r="A123" s="28"/>
      <c r="B123" s="28"/>
      <c r="C123" s="28"/>
      <c r="D123" s="28"/>
      <c r="E123" s="28"/>
      <c r="I123" s="3"/>
      <c r="J123" s="3"/>
      <c r="K123" s="3"/>
      <c r="L123" s="3"/>
      <c r="N123" s="3"/>
      <c r="O123" s="3"/>
      <c r="P123" s="3"/>
      <c r="Q123" s="3"/>
      <c r="R123" s="3"/>
      <c r="S123" s="3"/>
      <c r="T123" s="3"/>
      <c r="U123" s="3"/>
      <c r="V123" s="3"/>
      <c r="W123" s="3"/>
      <c r="X123" s="3"/>
      <c r="Y123" s="3"/>
      <c r="Z123" s="3"/>
      <c r="AA123" s="3"/>
      <c r="AB123" s="3"/>
      <c r="AC123" s="3"/>
      <c r="AD123" s="3"/>
      <c r="AE123" s="3"/>
      <c r="AF123" s="3"/>
      <c r="AG123" s="3"/>
      <c r="AH123" s="3"/>
      <c r="AI123" s="3"/>
      <c r="AJ123" s="3"/>
      <c r="AK123" s="3"/>
      <c r="AL123" s="3"/>
      <c r="AM123" s="3"/>
      <c r="AN123" s="3"/>
      <c r="AO123" s="3"/>
      <c r="AP123" s="3"/>
      <c r="AQ123" s="3"/>
      <c r="AR123" s="3"/>
      <c r="AS123" s="3"/>
      <c r="AT123" s="3"/>
      <c r="AU123" s="3"/>
      <c r="AV123" s="3"/>
      <c r="AW123" s="3"/>
      <c r="AX123" s="3"/>
      <c r="AY123" s="3"/>
      <c r="AZ123" s="3"/>
      <c r="BA123" s="3"/>
      <c r="BB123" s="3"/>
      <c r="BC123" s="3"/>
      <c r="BD123" s="3"/>
    </row>
    <row r="124" spans="1:56" ht="16.5" thickBot="1" x14ac:dyDescent="0.3">
      <c r="A124" s="435" t="s">
        <v>562</v>
      </c>
      <c r="B124" s="436"/>
      <c r="C124" s="436"/>
      <c r="D124" s="437"/>
      <c r="E124" s="28"/>
      <c r="I124" s="3"/>
      <c r="J124" s="3"/>
      <c r="K124" s="3"/>
      <c r="L124" s="3"/>
      <c r="N124" s="3"/>
      <c r="O124" s="3"/>
      <c r="P124" s="3"/>
      <c r="Q124" s="3"/>
      <c r="R124" s="3"/>
      <c r="S124" s="3"/>
      <c r="T124" s="3"/>
      <c r="U124" s="3"/>
      <c r="V124" s="3"/>
      <c r="W124" s="3"/>
      <c r="X124" s="3"/>
      <c r="Y124" s="3"/>
      <c r="Z124" s="3"/>
      <c r="AA124" s="3"/>
      <c r="AB124" s="3"/>
      <c r="AC124" s="3"/>
      <c r="AD124" s="3"/>
      <c r="AE124" s="3"/>
      <c r="AF124" s="3"/>
      <c r="AG124" s="3"/>
      <c r="AH124" s="3"/>
      <c r="AI124" s="3"/>
      <c r="AJ124" s="3"/>
      <c r="AK124" s="3"/>
      <c r="AL124" s="3"/>
      <c r="AM124" s="3"/>
      <c r="AN124" s="3"/>
      <c r="AO124" s="3"/>
      <c r="AP124" s="3"/>
      <c r="AQ124" s="3"/>
      <c r="AR124" s="3"/>
      <c r="AS124" s="3"/>
      <c r="AT124" s="3"/>
      <c r="AU124" s="3"/>
      <c r="AV124" s="3"/>
      <c r="AW124" s="3"/>
      <c r="AX124" s="3"/>
      <c r="AY124" s="3"/>
      <c r="AZ124" s="3"/>
      <c r="BA124" s="3"/>
      <c r="BB124" s="3"/>
      <c r="BC124" s="3"/>
      <c r="BD124" s="3"/>
    </row>
    <row r="125" spans="1:56" ht="30.75" thickBot="1" x14ac:dyDescent="0.3">
      <c r="A125" s="37" t="s">
        <v>532</v>
      </c>
      <c r="B125" s="36" t="s">
        <v>533</v>
      </c>
      <c r="C125" s="36" t="s">
        <v>534</v>
      </c>
      <c r="D125" s="36" t="s">
        <v>535</v>
      </c>
      <c r="E125" s="28"/>
      <c r="I125" s="3"/>
      <c r="J125" s="3"/>
      <c r="K125" s="3"/>
      <c r="L125" s="3"/>
      <c r="N125" s="3"/>
      <c r="O125" s="3"/>
      <c r="P125" s="3"/>
      <c r="Q125" s="3"/>
      <c r="R125" s="3"/>
      <c r="S125" s="3"/>
      <c r="T125" s="3"/>
      <c r="U125" s="3"/>
      <c r="V125" s="3"/>
      <c r="W125" s="3"/>
      <c r="X125" s="3"/>
      <c r="Y125" s="3"/>
      <c r="Z125" s="3"/>
      <c r="AA125" s="3"/>
      <c r="AB125" s="3"/>
      <c r="AC125" s="3"/>
      <c r="AD125" s="3"/>
      <c r="AE125" s="3"/>
      <c r="AF125" s="3"/>
      <c r="AG125" s="3"/>
      <c r="AH125" s="3"/>
      <c r="AI125" s="3"/>
      <c r="AJ125" s="3"/>
      <c r="AK125" s="3"/>
      <c r="AL125" s="3"/>
      <c r="AM125" s="3"/>
      <c r="AN125" s="3"/>
      <c r="AO125" s="3"/>
      <c r="AP125" s="3"/>
      <c r="AQ125" s="3"/>
      <c r="AR125" s="3"/>
      <c r="AS125" s="3"/>
      <c r="AT125" s="3"/>
      <c r="AU125" s="3"/>
      <c r="AV125" s="3"/>
      <c r="AW125" s="3"/>
      <c r="AX125" s="3"/>
      <c r="AY125" s="3"/>
      <c r="AZ125" s="3"/>
      <c r="BA125" s="3"/>
      <c r="BB125" s="3"/>
      <c r="BC125" s="3"/>
      <c r="BD125" s="3"/>
    </row>
    <row r="126" spans="1:56" ht="16.5" thickBot="1" x14ac:dyDescent="0.3">
      <c r="A126" s="34" t="s">
        <v>536</v>
      </c>
      <c r="B126" s="33">
        <v>227</v>
      </c>
      <c r="C126" s="32">
        <v>26.80917018477729</v>
      </c>
      <c r="D126" s="32">
        <v>30.277023044499728</v>
      </c>
      <c r="E126" s="28"/>
      <c r="I126" s="3"/>
      <c r="J126" s="3"/>
      <c r="K126" s="3"/>
      <c r="L126" s="3"/>
      <c r="N126" s="3"/>
      <c r="O126" s="3"/>
      <c r="P126" s="3"/>
      <c r="Q126" s="3"/>
      <c r="R126" s="3"/>
      <c r="S126" s="3"/>
      <c r="T126" s="3"/>
      <c r="U126" s="3"/>
      <c r="V126" s="3"/>
      <c r="W126" s="3"/>
      <c r="X126" s="3"/>
      <c r="Y126" s="3"/>
      <c r="Z126" s="3"/>
      <c r="AA126" s="3"/>
      <c r="AB126" s="3"/>
      <c r="AC126" s="3"/>
      <c r="AD126" s="3"/>
      <c r="AE126" s="3"/>
      <c r="AF126" s="3"/>
      <c r="AG126" s="3"/>
      <c r="AH126" s="3"/>
      <c r="AI126" s="3"/>
      <c r="AJ126" s="3"/>
      <c r="AK126" s="3"/>
      <c r="AL126" s="3"/>
      <c r="AM126" s="3"/>
      <c r="AN126" s="3"/>
      <c r="AO126" s="3"/>
      <c r="AP126" s="3"/>
      <c r="AQ126" s="3"/>
      <c r="AR126" s="3"/>
      <c r="AS126" s="3"/>
      <c r="AT126" s="3"/>
      <c r="AU126" s="3"/>
      <c r="AV126" s="3"/>
      <c r="AW126" s="3"/>
      <c r="AX126" s="3"/>
      <c r="AY126" s="3"/>
      <c r="AZ126" s="3"/>
      <c r="BA126" s="3"/>
      <c r="BB126" s="3"/>
      <c r="BC126" s="3"/>
      <c r="BD126" s="3"/>
    </row>
    <row r="127" spans="1:56" ht="16.5" thickBot="1" x14ac:dyDescent="0.3">
      <c r="A127" s="34" t="s">
        <v>537</v>
      </c>
      <c r="B127" s="33">
        <v>30</v>
      </c>
      <c r="C127" s="32">
        <v>54.698950617283955</v>
      </c>
      <c r="D127" s="32">
        <v>56.585121328224787</v>
      </c>
      <c r="E127" s="28"/>
      <c r="I127" s="3"/>
      <c r="J127" s="3"/>
      <c r="K127" s="3"/>
      <c r="L127" s="3"/>
      <c r="N127" s="3"/>
      <c r="O127" s="3"/>
      <c r="P127" s="3"/>
      <c r="Q127" s="3"/>
      <c r="R127" s="3"/>
      <c r="S127" s="3"/>
      <c r="T127" s="3"/>
      <c r="U127" s="3"/>
      <c r="V127" s="3"/>
      <c r="W127" s="3"/>
      <c r="X127" s="3"/>
      <c r="Y127" s="3"/>
      <c r="Z127" s="3"/>
      <c r="AA127" s="3"/>
      <c r="AB127" s="3"/>
      <c r="AC127" s="3"/>
      <c r="AD127" s="3"/>
      <c r="AE127" s="3"/>
      <c r="AF127" s="3"/>
      <c r="AG127" s="3"/>
      <c r="AH127" s="3"/>
      <c r="AI127" s="3"/>
      <c r="AJ127" s="3"/>
      <c r="AK127" s="3"/>
      <c r="AL127" s="3"/>
      <c r="AM127" s="3"/>
      <c r="AN127" s="3"/>
      <c r="AO127" s="3"/>
      <c r="AP127" s="3"/>
      <c r="AQ127" s="3"/>
      <c r="AR127" s="3"/>
      <c r="AS127" s="3"/>
      <c r="AT127" s="3"/>
      <c r="AU127" s="3"/>
      <c r="AV127" s="3"/>
      <c r="AW127" s="3"/>
      <c r="AX127" s="3"/>
      <c r="AY127" s="3"/>
      <c r="AZ127" s="3"/>
      <c r="BA127" s="3"/>
      <c r="BB127" s="3"/>
      <c r="BC127" s="3"/>
      <c r="BD127" s="3"/>
    </row>
    <row r="128" spans="1:56" ht="16.5" thickBot="1" x14ac:dyDescent="0.3">
      <c r="A128" s="34" t="s">
        <v>558</v>
      </c>
      <c r="B128" s="33">
        <v>104</v>
      </c>
      <c r="C128" s="32">
        <v>17.958786725427352</v>
      </c>
      <c r="D128" s="32">
        <v>18.677138194444446</v>
      </c>
      <c r="E128" s="28"/>
      <c r="I128" s="3"/>
      <c r="J128" s="3"/>
      <c r="K128" s="3"/>
      <c r="L128" s="3"/>
      <c r="N128" s="3"/>
      <c r="O128" s="3"/>
      <c r="P128" s="3"/>
      <c r="Q128" s="3"/>
      <c r="R128" s="3"/>
      <c r="S128" s="3"/>
      <c r="T128" s="3"/>
      <c r="U128" s="3"/>
      <c r="V128" s="3"/>
      <c r="W128" s="3"/>
      <c r="X128" s="3"/>
      <c r="Y128" s="3"/>
      <c r="Z128" s="3"/>
      <c r="AA128" s="3"/>
      <c r="AB128" s="3"/>
      <c r="AC128" s="3"/>
      <c r="AD128" s="3"/>
      <c r="AE128" s="3"/>
      <c r="AF128" s="3"/>
      <c r="AG128" s="3"/>
      <c r="AH128" s="3"/>
      <c r="AI128" s="3"/>
      <c r="AJ128" s="3"/>
      <c r="AK128" s="3"/>
      <c r="AL128" s="3"/>
      <c r="AM128" s="3"/>
      <c r="AN128" s="3"/>
      <c r="AO128" s="3"/>
      <c r="AP128" s="3"/>
      <c r="AQ128" s="3"/>
      <c r="AR128" s="3"/>
      <c r="AS128" s="3"/>
      <c r="AT128" s="3"/>
      <c r="AU128" s="3"/>
      <c r="AV128" s="3"/>
      <c r="AW128" s="3"/>
      <c r="AX128" s="3"/>
      <c r="AY128" s="3"/>
      <c r="AZ128" s="3"/>
      <c r="BA128" s="3"/>
      <c r="BB128" s="3"/>
      <c r="BC128" s="3"/>
      <c r="BD128" s="3"/>
    </row>
    <row r="129" spans="1:56" ht="30.75" thickBot="1" x14ac:dyDescent="0.3">
      <c r="A129" s="35" t="s">
        <v>539</v>
      </c>
      <c r="B129" s="33">
        <v>71</v>
      </c>
      <c r="C129" s="32">
        <v>26.996334441836201</v>
      </c>
      <c r="D129" s="32">
        <v>28.608055901050303</v>
      </c>
      <c r="E129" s="28"/>
      <c r="I129" s="3"/>
      <c r="J129" s="3"/>
      <c r="K129" s="3"/>
      <c r="L129" s="3"/>
      <c r="N129" s="3"/>
      <c r="O129" s="3"/>
      <c r="P129" s="3"/>
      <c r="Q129" s="3"/>
      <c r="R129" s="3"/>
      <c r="S129" s="3"/>
      <c r="T129" s="3"/>
      <c r="U129" s="3"/>
      <c r="V129" s="3"/>
      <c r="W129" s="3"/>
      <c r="X129" s="3"/>
      <c r="Y129" s="3"/>
      <c r="Z129" s="3"/>
      <c r="AA129" s="3"/>
      <c r="AB129" s="3"/>
      <c r="AC129" s="3"/>
      <c r="AD129" s="3"/>
      <c r="AE129" s="3"/>
      <c r="AF129" s="3"/>
      <c r="AG129" s="3"/>
      <c r="AH129" s="3"/>
      <c r="AI129" s="3"/>
      <c r="AJ129" s="3"/>
      <c r="AK129" s="3"/>
      <c r="AL129" s="3"/>
      <c r="AM129" s="3"/>
      <c r="AN129" s="3"/>
      <c r="AO129" s="3"/>
      <c r="AP129" s="3"/>
      <c r="AQ129" s="3"/>
      <c r="AR129" s="3"/>
      <c r="AS129" s="3"/>
      <c r="AT129" s="3"/>
      <c r="AU129" s="3"/>
      <c r="AV129" s="3"/>
      <c r="AW129" s="3"/>
      <c r="AX129" s="3"/>
      <c r="AY129" s="3"/>
      <c r="AZ129" s="3"/>
      <c r="BA129" s="3"/>
      <c r="BB129" s="3"/>
      <c r="BC129" s="3"/>
      <c r="BD129" s="3"/>
    </row>
    <row r="130" spans="1:56" ht="16.5" thickBot="1" x14ac:dyDescent="0.3">
      <c r="A130" s="34" t="s">
        <v>540</v>
      </c>
      <c r="B130" s="33">
        <v>113</v>
      </c>
      <c r="C130" s="32">
        <v>78.685321923139981</v>
      </c>
      <c r="D130" s="32">
        <v>88.914413773148169</v>
      </c>
      <c r="E130" s="28"/>
      <c r="I130" s="3"/>
      <c r="J130" s="3"/>
      <c r="K130" s="3"/>
      <c r="L130" s="3"/>
      <c r="N130" s="3"/>
      <c r="O130" s="3"/>
      <c r="P130" s="3"/>
      <c r="Q130" s="3"/>
      <c r="R130" s="3"/>
      <c r="S130" s="3"/>
      <c r="T130" s="3"/>
      <c r="U130" s="3"/>
      <c r="V130" s="3"/>
      <c r="W130" s="3"/>
      <c r="X130" s="3"/>
      <c r="Y130" s="3"/>
      <c r="Z130" s="3"/>
      <c r="AA130" s="3"/>
      <c r="AB130" s="3"/>
      <c r="AC130" s="3"/>
      <c r="AD130" s="3"/>
      <c r="AE130" s="3"/>
      <c r="AF130" s="3"/>
      <c r="AG130" s="3"/>
      <c r="AH130" s="3"/>
      <c r="AI130" s="3"/>
      <c r="AJ130" s="3"/>
      <c r="AK130" s="3"/>
      <c r="AL130" s="3"/>
      <c r="AM130" s="3"/>
      <c r="AN130" s="3"/>
      <c r="AO130" s="3"/>
      <c r="AP130" s="3"/>
      <c r="AQ130" s="3"/>
      <c r="AR130" s="3"/>
      <c r="AS130" s="3"/>
      <c r="AT130" s="3"/>
      <c r="AU130" s="3"/>
      <c r="AV130" s="3"/>
      <c r="AW130" s="3"/>
      <c r="AX130" s="3"/>
      <c r="AY130" s="3"/>
      <c r="AZ130" s="3"/>
      <c r="BA130" s="3"/>
      <c r="BB130" s="3"/>
      <c r="BC130" s="3"/>
      <c r="BD130" s="3"/>
    </row>
    <row r="131" spans="1:56" ht="16.5" thickBot="1" x14ac:dyDescent="0.3">
      <c r="A131" s="31" t="s">
        <v>496</v>
      </c>
      <c r="B131" s="30">
        <v>545</v>
      </c>
      <c r="C131" s="29">
        <v>37.435862555215763</v>
      </c>
      <c r="D131" s="29">
        <v>43.502228342414924</v>
      </c>
      <c r="E131" s="28"/>
      <c r="I131" s="3"/>
      <c r="J131" s="3"/>
      <c r="K131" s="3"/>
      <c r="L131" s="3"/>
      <c r="N131" s="3"/>
      <c r="O131" s="3"/>
      <c r="P131" s="3"/>
      <c r="Q131" s="3"/>
      <c r="R131" s="3"/>
      <c r="S131" s="3"/>
      <c r="T131" s="3"/>
      <c r="U131" s="3"/>
      <c r="V131" s="3"/>
      <c r="W131" s="3"/>
      <c r="X131" s="3"/>
      <c r="Y131" s="3"/>
      <c r="Z131" s="3"/>
      <c r="AA131" s="3"/>
      <c r="AB131" s="3"/>
      <c r="AC131" s="3"/>
      <c r="AD131" s="3"/>
      <c r="AE131" s="3"/>
      <c r="AF131" s="3"/>
      <c r="AG131" s="3"/>
      <c r="AH131" s="3"/>
      <c r="AI131" s="3"/>
      <c r="AJ131" s="3"/>
      <c r="AK131" s="3"/>
      <c r="AL131" s="3"/>
      <c r="AM131" s="3"/>
      <c r="AN131" s="3"/>
      <c r="AO131" s="3"/>
      <c r="AP131" s="3"/>
      <c r="AQ131" s="3"/>
      <c r="AR131" s="3"/>
      <c r="AS131" s="3"/>
      <c r="AT131" s="3"/>
      <c r="AU131" s="3"/>
      <c r="AV131" s="3"/>
      <c r="AW131" s="3"/>
      <c r="AX131" s="3"/>
      <c r="AY131" s="3"/>
      <c r="AZ131" s="3"/>
      <c r="BA131" s="3"/>
      <c r="BB131" s="3"/>
      <c r="BC131" s="3"/>
      <c r="BD131" s="3"/>
    </row>
    <row r="132" spans="1:56" x14ac:dyDescent="0.25">
      <c r="A132" s="28"/>
      <c r="B132" s="28"/>
      <c r="C132" s="28"/>
      <c r="D132" s="28"/>
      <c r="E132" s="28"/>
      <c r="I132" s="3"/>
      <c r="J132" s="3"/>
      <c r="K132" s="3"/>
      <c r="L132" s="3"/>
      <c r="N132" s="3"/>
      <c r="O132" s="3"/>
      <c r="P132" s="3"/>
      <c r="Q132" s="3"/>
      <c r="R132" s="3"/>
      <c r="S132" s="3"/>
      <c r="T132" s="3"/>
      <c r="U132" s="3"/>
      <c r="V132" s="3"/>
      <c r="W132" s="3"/>
      <c r="X132" s="3"/>
      <c r="Y132" s="3"/>
      <c r="Z132" s="3"/>
      <c r="AA132" s="3"/>
      <c r="AB132" s="3"/>
      <c r="AC132" s="3"/>
      <c r="AD132" s="3"/>
      <c r="AE132" s="3"/>
      <c r="AF132" s="3"/>
      <c r="AG132" s="3"/>
      <c r="AH132" s="3"/>
      <c r="AI132" s="3"/>
      <c r="AJ132" s="3"/>
      <c r="AK132" s="3"/>
      <c r="AL132" s="3"/>
      <c r="AM132" s="3"/>
      <c r="AN132" s="3"/>
      <c r="AO132" s="3"/>
      <c r="AP132" s="3"/>
      <c r="AQ132" s="3"/>
      <c r="AR132" s="3"/>
      <c r="AS132" s="3"/>
      <c r="AT132" s="3"/>
      <c r="AU132" s="3"/>
      <c r="AV132" s="3"/>
      <c r="AW132" s="3"/>
      <c r="AX132" s="3"/>
      <c r="AY132" s="3"/>
      <c r="AZ132" s="3"/>
      <c r="BA132" s="3"/>
      <c r="BB132" s="3"/>
      <c r="BC132" s="3"/>
      <c r="BD132" s="3"/>
    </row>
    <row r="133" spans="1:56" x14ac:dyDescent="0.25">
      <c r="A133" s="28" t="s">
        <v>563</v>
      </c>
      <c r="B133" s="28"/>
      <c r="C133" s="28"/>
      <c r="D133" s="28"/>
      <c r="E133" s="28"/>
      <c r="I133" s="3"/>
      <c r="J133" s="3"/>
      <c r="K133" s="3"/>
      <c r="L133" s="3"/>
      <c r="N133" s="3"/>
      <c r="O133" s="3"/>
      <c r="P133" s="3"/>
      <c r="Q133" s="3"/>
      <c r="R133" s="3"/>
      <c r="S133" s="3"/>
      <c r="T133" s="3"/>
      <c r="U133" s="3"/>
      <c r="V133" s="3"/>
      <c r="W133" s="3"/>
      <c r="X133" s="3"/>
      <c r="Y133" s="3"/>
      <c r="Z133" s="3"/>
      <c r="AA133" s="3"/>
      <c r="AB133" s="3"/>
      <c r="AC133" s="3"/>
      <c r="AD133" s="3"/>
      <c r="AE133" s="3"/>
      <c r="AF133" s="3"/>
      <c r="AG133" s="3"/>
      <c r="AH133" s="3"/>
      <c r="AI133" s="3"/>
      <c r="AJ133" s="3"/>
      <c r="AK133" s="3"/>
      <c r="AL133" s="3"/>
      <c r="AM133" s="3"/>
      <c r="AN133" s="3"/>
      <c r="AO133" s="3"/>
      <c r="AP133" s="3"/>
      <c r="AQ133" s="3"/>
      <c r="AR133" s="3"/>
      <c r="AS133" s="3"/>
      <c r="AT133" s="3"/>
      <c r="AU133" s="3"/>
      <c r="AV133" s="3"/>
      <c r="AW133" s="3"/>
      <c r="AX133" s="3"/>
      <c r="AY133" s="3"/>
      <c r="AZ133" s="3"/>
      <c r="BA133" s="3"/>
      <c r="BB133" s="3"/>
      <c r="BC133" s="3"/>
      <c r="BD133" s="3"/>
    </row>
    <row r="134" spans="1:56" x14ac:dyDescent="0.25">
      <c r="A134" s="28"/>
      <c r="B134" s="28"/>
      <c r="C134" s="28"/>
      <c r="D134" s="28"/>
      <c r="E134" s="28"/>
      <c r="I134" s="3"/>
      <c r="J134" s="3"/>
      <c r="K134" s="3"/>
      <c r="L134" s="3"/>
      <c r="N134" s="3"/>
      <c r="O134" s="3"/>
      <c r="P134" s="3"/>
      <c r="Q134" s="3"/>
      <c r="R134" s="3"/>
      <c r="S134" s="3"/>
      <c r="T134" s="3"/>
      <c r="U134" s="3"/>
      <c r="V134" s="3"/>
      <c r="W134" s="3"/>
      <c r="X134" s="3"/>
      <c r="Y134" s="3"/>
      <c r="Z134" s="3"/>
      <c r="AA134" s="3"/>
      <c r="AB134" s="3"/>
      <c r="AC134" s="3"/>
      <c r="AD134" s="3"/>
      <c r="AE134" s="3"/>
      <c r="AF134" s="3"/>
      <c r="AG134" s="3"/>
      <c r="AH134" s="3"/>
      <c r="AI134" s="3"/>
      <c r="AJ134" s="3"/>
      <c r="AK134" s="3"/>
      <c r="AL134" s="3"/>
      <c r="AM134" s="3"/>
      <c r="AN134" s="3"/>
      <c r="AO134" s="3"/>
      <c r="AP134" s="3"/>
      <c r="AQ134" s="3"/>
      <c r="AR134" s="3"/>
      <c r="AS134" s="3"/>
      <c r="AT134" s="3"/>
      <c r="AU134" s="3"/>
      <c r="AV134" s="3"/>
      <c r="AW134" s="3"/>
      <c r="AX134" s="3"/>
      <c r="AY134" s="3"/>
      <c r="AZ134" s="3"/>
      <c r="BA134" s="3"/>
      <c r="BB134" s="3"/>
      <c r="BC134" s="3"/>
      <c r="BD134" s="3"/>
    </row>
    <row r="135" spans="1:56" ht="16.5" thickBot="1" x14ac:dyDescent="0.3"/>
    <row r="136" spans="1:56" ht="16.5" thickBot="1" x14ac:dyDescent="0.3">
      <c r="A136" s="435" t="s">
        <v>564</v>
      </c>
      <c r="B136" s="436"/>
      <c r="C136" s="436"/>
      <c r="D136" s="437"/>
      <c r="E136" s="28"/>
      <c r="I136" s="3"/>
      <c r="J136" s="3"/>
      <c r="K136" s="3"/>
      <c r="L136" s="3"/>
      <c r="N136" s="3"/>
      <c r="O136" s="3"/>
      <c r="P136" s="3"/>
      <c r="Q136" s="3"/>
      <c r="R136" s="3"/>
      <c r="S136" s="3"/>
      <c r="T136" s="3"/>
      <c r="U136" s="3"/>
      <c r="V136" s="3"/>
      <c r="W136" s="3"/>
      <c r="X136" s="3"/>
      <c r="Y136" s="3"/>
      <c r="Z136" s="3"/>
      <c r="AA136" s="3"/>
      <c r="AB136" s="3"/>
      <c r="AC136" s="3"/>
      <c r="AD136" s="3"/>
      <c r="AE136" s="3"/>
      <c r="AF136" s="3"/>
      <c r="AG136" s="3"/>
      <c r="AH136" s="3"/>
      <c r="AI136" s="3"/>
      <c r="AJ136" s="3"/>
      <c r="AK136" s="3"/>
      <c r="AL136" s="3"/>
      <c r="AM136" s="3"/>
      <c r="AN136" s="3"/>
      <c r="AO136" s="3"/>
      <c r="AP136" s="3"/>
      <c r="AQ136" s="3"/>
      <c r="AR136" s="3"/>
      <c r="AS136" s="3"/>
      <c r="AT136" s="3"/>
      <c r="AU136" s="3"/>
      <c r="AV136" s="3"/>
      <c r="AW136" s="3"/>
      <c r="AX136" s="3"/>
      <c r="AY136" s="3"/>
      <c r="AZ136" s="3"/>
      <c r="BA136" s="3"/>
      <c r="BB136" s="3"/>
      <c r="BC136" s="3"/>
      <c r="BD136" s="3"/>
    </row>
    <row r="137" spans="1:56" ht="30.75" thickBot="1" x14ac:dyDescent="0.3">
      <c r="A137" s="37" t="s">
        <v>532</v>
      </c>
      <c r="B137" s="36" t="s">
        <v>533</v>
      </c>
      <c r="C137" s="36" t="s">
        <v>534</v>
      </c>
      <c r="D137" s="36" t="s">
        <v>535</v>
      </c>
      <c r="E137" s="28"/>
      <c r="I137" s="3"/>
      <c r="J137" s="3"/>
      <c r="K137" s="3"/>
      <c r="L137" s="3"/>
      <c r="N137" s="3"/>
      <c r="O137" s="3"/>
      <c r="P137" s="3"/>
      <c r="Q137" s="3"/>
      <c r="R137" s="3"/>
      <c r="S137" s="3"/>
      <c r="T137" s="3"/>
      <c r="U137" s="3"/>
      <c r="V137" s="3"/>
      <c r="W137" s="3"/>
      <c r="X137" s="3"/>
      <c r="Y137" s="3"/>
      <c r="Z137" s="3"/>
      <c r="AA137" s="3"/>
      <c r="AB137" s="3"/>
      <c r="AC137" s="3"/>
      <c r="AD137" s="3"/>
      <c r="AE137" s="3"/>
      <c r="AF137" s="3"/>
      <c r="AG137" s="3"/>
      <c r="AH137" s="3"/>
      <c r="AI137" s="3"/>
      <c r="AJ137" s="3"/>
      <c r="AK137" s="3"/>
      <c r="AL137" s="3"/>
      <c r="AM137" s="3"/>
      <c r="AN137" s="3"/>
      <c r="AO137" s="3"/>
      <c r="AP137" s="3"/>
      <c r="AQ137" s="3"/>
      <c r="AR137" s="3"/>
      <c r="AS137" s="3"/>
      <c r="AT137" s="3"/>
      <c r="AU137" s="3"/>
      <c r="AV137" s="3"/>
      <c r="AW137" s="3"/>
      <c r="AX137" s="3"/>
      <c r="AY137" s="3"/>
      <c r="AZ137" s="3"/>
      <c r="BA137" s="3"/>
      <c r="BB137" s="3"/>
      <c r="BC137" s="3"/>
      <c r="BD137" s="3"/>
    </row>
    <row r="138" spans="1:56" ht="16.5" thickBot="1" x14ac:dyDescent="0.3">
      <c r="A138" s="34" t="s">
        <v>536</v>
      </c>
      <c r="B138" s="33">
        <v>217</v>
      </c>
      <c r="C138" s="32">
        <v>29.896837344256692</v>
      </c>
      <c r="D138" s="32">
        <v>37.285136228182196</v>
      </c>
      <c r="E138" s="28"/>
      <c r="I138" s="3"/>
      <c r="J138" s="3"/>
      <c r="K138" s="3"/>
      <c r="L138" s="3"/>
      <c r="N138" s="3"/>
      <c r="O138" s="3"/>
      <c r="P138" s="3"/>
      <c r="Q138" s="3"/>
      <c r="R138" s="3"/>
      <c r="S138" s="3"/>
      <c r="T138" s="3"/>
      <c r="U138" s="3"/>
      <c r="V138" s="3"/>
      <c r="W138" s="3"/>
      <c r="X138" s="3"/>
      <c r="Y138" s="3"/>
      <c r="Z138" s="3"/>
      <c r="AA138" s="3"/>
      <c r="AB138" s="3"/>
      <c r="AC138" s="3"/>
      <c r="AD138" s="3"/>
      <c r="AE138" s="3"/>
      <c r="AF138" s="3"/>
      <c r="AG138" s="3"/>
      <c r="AH138" s="3"/>
      <c r="AI138" s="3"/>
      <c r="AJ138" s="3"/>
      <c r="AK138" s="3"/>
      <c r="AL138" s="3"/>
      <c r="AM138" s="3"/>
      <c r="AN138" s="3"/>
      <c r="AO138" s="3"/>
      <c r="AP138" s="3"/>
      <c r="AQ138" s="3"/>
      <c r="AR138" s="3"/>
      <c r="AS138" s="3"/>
      <c r="AT138" s="3"/>
      <c r="AU138" s="3"/>
      <c r="AV138" s="3"/>
      <c r="AW138" s="3"/>
      <c r="AX138" s="3"/>
      <c r="AY138" s="3"/>
      <c r="AZ138" s="3"/>
      <c r="BA138" s="3"/>
      <c r="BB138" s="3"/>
      <c r="BC138" s="3"/>
      <c r="BD138" s="3"/>
    </row>
    <row r="139" spans="1:56" ht="16.5" thickBot="1" x14ac:dyDescent="0.3">
      <c r="A139" s="34" t="s">
        <v>537</v>
      </c>
      <c r="B139" s="33">
        <v>32</v>
      </c>
      <c r="C139" s="32">
        <v>55.759871961805551</v>
      </c>
      <c r="D139" s="32">
        <v>71.372636111111106</v>
      </c>
      <c r="E139" s="28"/>
      <c r="I139" s="3"/>
      <c r="J139" s="3"/>
      <c r="K139" s="3"/>
      <c r="L139" s="3"/>
      <c r="N139" s="3"/>
      <c r="O139" s="3"/>
      <c r="P139" s="3"/>
      <c r="Q139" s="3"/>
      <c r="R139" s="3"/>
      <c r="S139" s="3"/>
      <c r="T139" s="3"/>
      <c r="U139" s="3"/>
      <c r="V139" s="3"/>
      <c r="W139" s="3"/>
      <c r="X139" s="3"/>
      <c r="Y139" s="3"/>
      <c r="Z139" s="3"/>
      <c r="AA139" s="3"/>
      <c r="AB139" s="3"/>
      <c r="AC139" s="3"/>
      <c r="AD139" s="3"/>
      <c r="AE139" s="3"/>
      <c r="AF139" s="3"/>
      <c r="AG139" s="3"/>
      <c r="AH139" s="3"/>
      <c r="AI139" s="3"/>
      <c r="AJ139" s="3"/>
      <c r="AK139" s="3"/>
      <c r="AL139" s="3"/>
      <c r="AM139" s="3"/>
      <c r="AN139" s="3"/>
      <c r="AO139" s="3"/>
      <c r="AP139" s="3"/>
      <c r="AQ139" s="3"/>
      <c r="AR139" s="3"/>
      <c r="AS139" s="3"/>
      <c r="AT139" s="3"/>
      <c r="AU139" s="3"/>
      <c r="AV139" s="3"/>
      <c r="AW139" s="3"/>
      <c r="AX139" s="3"/>
      <c r="AY139" s="3"/>
      <c r="AZ139" s="3"/>
      <c r="BA139" s="3"/>
      <c r="BB139" s="3"/>
      <c r="BC139" s="3"/>
      <c r="BD139" s="3"/>
    </row>
    <row r="140" spans="1:56" ht="16.5" thickBot="1" x14ac:dyDescent="0.3">
      <c r="A140" s="34" t="s">
        <v>558</v>
      </c>
      <c r="B140" s="33">
        <v>61</v>
      </c>
      <c r="C140" s="32">
        <v>17.079201388888894</v>
      </c>
      <c r="D140" s="32">
        <v>19.657194051362691</v>
      </c>
      <c r="E140" s="28"/>
      <c r="I140" s="3"/>
      <c r="J140" s="3"/>
      <c r="K140" s="3"/>
      <c r="L140" s="3"/>
      <c r="N140" s="3"/>
      <c r="O140" s="3"/>
      <c r="P140" s="3"/>
      <c r="Q140" s="3"/>
      <c r="R140" s="3"/>
      <c r="S140" s="3"/>
      <c r="T140" s="3"/>
      <c r="U140" s="3"/>
      <c r="V140" s="3"/>
      <c r="W140" s="3"/>
      <c r="X140" s="3"/>
      <c r="Y140" s="3"/>
      <c r="Z140" s="3"/>
      <c r="AA140" s="3"/>
      <c r="AB140" s="3"/>
      <c r="AC140" s="3"/>
      <c r="AD140" s="3"/>
      <c r="AE140" s="3"/>
      <c r="AF140" s="3"/>
      <c r="AG140" s="3"/>
      <c r="AH140" s="3"/>
      <c r="AI140" s="3"/>
      <c r="AJ140" s="3"/>
      <c r="AK140" s="3"/>
      <c r="AL140" s="3"/>
      <c r="AM140" s="3"/>
      <c r="AN140" s="3"/>
      <c r="AO140" s="3"/>
      <c r="AP140" s="3"/>
      <c r="AQ140" s="3"/>
      <c r="AR140" s="3"/>
      <c r="AS140" s="3"/>
      <c r="AT140" s="3"/>
      <c r="AU140" s="3"/>
      <c r="AV140" s="3"/>
      <c r="AW140" s="3"/>
      <c r="AX140" s="3"/>
      <c r="AY140" s="3"/>
      <c r="AZ140" s="3"/>
      <c r="BA140" s="3"/>
      <c r="BB140" s="3"/>
      <c r="BC140" s="3"/>
      <c r="BD140" s="3"/>
    </row>
    <row r="141" spans="1:56" ht="30.75" thickBot="1" x14ac:dyDescent="0.3">
      <c r="A141" s="35" t="s">
        <v>539</v>
      </c>
      <c r="B141" s="33">
        <v>69</v>
      </c>
      <c r="C141" s="32">
        <v>38.828809883252809</v>
      </c>
      <c r="D141" s="32">
        <v>44.653131365740727</v>
      </c>
      <c r="E141" s="28"/>
      <c r="I141" s="3"/>
      <c r="J141" s="3"/>
      <c r="K141" s="3"/>
      <c r="L141" s="3"/>
      <c r="N141" s="3"/>
      <c r="O141" s="3"/>
      <c r="P141" s="3"/>
      <c r="Q141" s="3"/>
      <c r="R141" s="3"/>
      <c r="S141" s="3"/>
      <c r="T141" s="3"/>
      <c r="U141" s="3"/>
      <c r="V141" s="3"/>
      <c r="W141" s="3"/>
      <c r="X141" s="3"/>
      <c r="Y141" s="3"/>
      <c r="Z141" s="3"/>
      <c r="AA141" s="3"/>
      <c r="AB141" s="3"/>
      <c r="AC141" s="3"/>
      <c r="AD141" s="3"/>
      <c r="AE141" s="3"/>
      <c r="AF141" s="3"/>
      <c r="AG141" s="3"/>
      <c r="AH141" s="3"/>
      <c r="AI141" s="3"/>
      <c r="AJ141" s="3"/>
      <c r="AK141" s="3"/>
      <c r="AL141" s="3"/>
      <c r="AM141" s="3"/>
      <c r="AN141" s="3"/>
      <c r="AO141" s="3"/>
      <c r="AP141" s="3"/>
      <c r="AQ141" s="3"/>
      <c r="AR141" s="3"/>
      <c r="AS141" s="3"/>
      <c r="AT141" s="3"/>
      <c r="AU141" s="3"/>
      <c r="AV141" s="3"/>
      <c r="AW141" s="3"/>
      <c r="AX141" s="3"/>
      <c r="AY141" s="3"/>
      <c r="AZ141" s="3"/>
      <c r="BA141" s="3"/>
      <c r="BB141" s="3"/>
      <c r="BC141" s="3"/>
      <c r="BD141" s="3"/>
    </row>
    <row r="142" spans="1:56" ht="16.5" thickBot="1" x14ac:dyDescent="0.3">
      <c r="A142" s="34" t="s">
        <v>540</v>
      </c>
      <c r="B142" s="33">
        <v>96</v>
      </c>
      <c r="C142" s="32">
        <v>84.002954764660487</v>
      </c>
      <c r="D142" s="32">
        <v>90.609928734914689</v>
      </c>
      <c r="E142" s="28"/>
      <c r="I142" s="3"/>
      <c r="J142" s="3"/>
      <c r="K142" s="3"/>
      <c r="L142" s="3"/>
      <c r="N142" s="3"/>
      <c r="O142" s="3"/>
      <c r="P142" s="3"/>
      <c r="Q142" s="3"/>
      <c r="R142" s="3"/>
      <c r="S142" s="3"/>
      <c r="T142" s="3"/>
      <c r="U142" s="3"/>
      <c r="V142" s="3"/>
      <c r="W142" s="3"/>
      <c r="X142" s="3"/>
      <c r="Y142" s="3"/>
      <c r="Z142" s="3"/>
      <c r="AA142" s="3"/>
      <c r="AB142" s="3"/>
      <c r="AC142" s="3"/>
      <c r="AD142" s="3"/>
      <c r="AE142" s="3"/>
      <c r="AF142" s="3"/>
      <c r="AG142" s="3"/>
      <c r="AH142" s="3"/>
      <c r="AI142" s="3"/>
      <c r="AJ142" s="3"/>
      <c r="AK142" s="3"/>
      <c r="AL142" s="3"/>
      <c r="AM142" s="3"/>
      <c r="AN142" s="3"/>
      <c r="AO142" s="3"/>
      <c r="AP142" s="3"/>
      <c r="AQ142" s="3"/>
      <c r="AR142" s="3"/>
      <c r="AS142" s="3"/>
      <c r="AT142" s="3"/>
      <c r="AU142" s="3"/>
      <c r="AV142" s="3"/>
      <c r="AW142" s="3"/>
      <c r="AX142" s="3"/>
      <c r="AY142" s="3"/>
      <c r="AZ142" s="3"/>
      <c r="BA142" s="3"/>
      <c r="BB142" s="3"/>
      <c r="BC142" s="3"/>
      <c r="BD142" s="3"/>
    </row>
    <row r="143" spans="1:56" ht="16.5" thickBot="1" x14ac:dyDescent="0.3">
      <c r="A143" s="31" t="s">
        <v>496</v>
      </c>
      <c r="B143" s="30">
        <v>475</v>
      </c>
      <c r="C143" s="29">
        <v>42.225752485380141</v>
      </c>
      <c r="D143" s="29">
        <v>50.018035986422859</v>
      </c>
      <c r="E143" s="28"/>
      <c r="I143" s="3"/>
      <c r="J143" s="3"/>
      <c r="K143" s="3"/>
      <c r="L143" s="3"/>
      <c r="N143" s="3"/>
      <c r="O143" s="3"/>
      <c r="P143" s="3"/>
      <c r="Q143" s="3"/>
      <c r="R143" s="3"/>
      <c r="S143" s="3"/>
      <c r="T143" s="3"/>
      <c r="U143" s="3"/>
      <c r="V143" s="3"/>
      <c r="W143" s="3"/>
      <c r="X143" s="3"/>
      <c r="Y143" s="3"/>
      <c r="Z143" s="3"/>
      <c r="AA143" s="3"/>
      <c r="AB143" s="3"/>
      <c r="AC143" s="3"/>
      <c r="AD143" s="3"/>
      <c r="AE143" s="3"/>
      <c r="AF143" s="3"/>
      <c r="AG143" s="3"/>
      <c r="AH143" s="3"/>
      <c r="AI143" s="3"/>
      <c r="AJ143" s="3"/>
      <c r="AK143" s="3"/>
      <c r="AL143" s="3"/>
      <c r="AM143" s="3"/>
      <c r="AN143" s="3"/>
      <c r="AO143" s="3"/>
      <c r="AP143" s="3"/>
      <c r="AQ143" s="3"/>
      <c r="AR143" s="3"/>
      <c r="AS143" s="3"/>
      <c r="AT143" s="3"/>
      <c r="AU143" s="3"/>
      <c r="AV143" s="3"/>
      <c r="AW143" s="3"/>
      <c r="AX143" s="3"/>
      <c r="AY143" s="3"/>
      <c r="AZ143" s="3"/>
      <c r="BA143" s="3"/>
      <c r="BB143" s="3"/>
      <c r="BC143" s="3"/>
      <c r="BD143" s="3"/>
    </row>
    <row r="144" spans="1:56" x14ac:dyDescent="0.25">
      <c r="A144" s="28"/>
      <c r="B144" s="28"/>
      <c r="C144" s="28"/>
      <c r="D144" s="28"/>
      <c r="E144" s="28"/>
      <c r="I144" s="3"/>
      <c r="J144" s="3"/>
      <c r="K144" s="3"/>
      <c r="L144" s="3"/>
      <c r="N144" s="3"/>
      <c r="O144" s="3"/>
      <c r="P144" s="3"/>
      <c r="Q144" s="3"/>
      <c r="R144" s="3"/>
      <c r="S144" s="3"/>
      <c r="T144" s="3"/>
      <c r="U144" s="3"/>
      <c r="V144" s="3"/>
      <c r="W144" s="3"/>
      <c r="X144" s="3"/>
      <c r="Y144" s="3"/>
      <c r="Z144" s="3"/>
      <c r="AA144" s="3"/>
      <c r="AB144" s="3"/>
      <c r="AC144" s="3"/>
      <c r="AD144" s="3"/>
      <c r="AE144" s="3"/>
      <c r="AF144" s="3"/>
      <c r="AG144" s="3"/>
      <c r="AH144" s="3"/>
      <c r="AI144" s="3"/>
      <c r="AJ144" s="3"/>
      <c r="AK144" s="3"/>
      <c r="AL144" s="3"/>
      <c r="AM144" s="3"/>
      <c r="AN144" s="3"/>
      <c r="AO144" s="3"/>
      <c r="AP144" s="3"/>
      <c r="AQ144" s="3"/>
      <c r="AR144" s="3"/>
      <c r="AS144" s="3"/>
      <c r="AT144" s="3"/>
      <c r="AU144" s="3"/>
      <c r="AV144" s="3"/>
      <c r="AW144" s="3"/>
      <c r="AX144" s="3"/>
      <c r="AY144" s="3"/>
      <c r="AZ144" s="3"/>
      <c r="BA144" s="3"/>
      <c r="BB144" s="3"/>
      <c r="BC144" s="3"/>
      <c r="BD144" s="3"/>
    </row>
    <row r="145" spans="1:56" x14ac:dyDescent="0.25">
      <c r="A145" s="28" t="s">
        <v>565</v>
      </c>
      <c r="B145" s="28"/>
      <c r="C145" s="28"/>
      <c r="D145" s="28"/>
      <c r="E145" s="28"/>
      <c r="I145" s="3"/>
      <c r="J145" s="3"/>
      <c r="K145" s="3"/>
      <c r="L145" s="3"/>
      <c r="N145" s="3"/>
      <c r="O145" s="3"/>
      <c r="P145" s="3"/>
      <c r="Q145" s="3"/>
      <c r="R145" s="3"/>
      <c r="S145" s="3"/>
      <c r="T145" s="3"/>
      <c r="U145" s="3"/>
      <c r="V145" s="3"/>
      <c r="W145" s="3"/>
      <c r="X145" s="3"/>
      <c r="Y145" s="3"/>
      <c r="Z145" s="3"/>
      <c r="AA145" s="3"/>
      <c r="AB145" s="3"/>
      <c r="AC145" s="3"/>
      <c r="AD145" s="3"/>
      <c r="AE145" s="3"/>
      <c r="AF145" s="3"/>
      <c r="AG145" s="3"/>
      <c r="AH145" s="3"/>
      <c r="AI145" s="3"/>
      <c r="AJ145" s="3"/>
      <c r="AK145" s="3"/>
      <c r="AL145" s="3"/>
      <c r="AM145" s="3"/>
      <c r="AN145" s="3"/>
      <c r="AO145" s="3"/>
      <c r="AP145" s="3"/>
      <c r="AQ145" s="3"/>
      <c r="AR145" s="3"/>
      <c r="AS145" s="3"/>
      <c r="AT145" s="3"/>
      <c r="AU145" s="3"/>
      <c r="AV145" s="3"/>
      <c r="AW145" s="3"/>
      <c r="AX145" s="3"/>
      <c r="AY145" s="3"/>
      <c r="AZ145" s="3"/>
      <c r="BA145" s="3"/>
      <c r="BB145" s="3"/>
      <c r="BC145" s="3"/>
      <c r="BD145" s="3"/>
    </row>
    <row r="147" spans="1:56" x14ac:dyDescent="0.25">
      <c r="A147" s="28"/>
      <c r="B147" s="28"/>
      <c r="C147" s="28"/>
      <c r="D147" s="28"/>
      <c r="E147" s="28"/>
      <c r="I147" s="3"/>
      <c r="J147" s="3"/>
      <c r="K147" s="3"/>
      <c r="L147" s="3"/>
      <c r="N147" s="3"/>
      <c r="O147" s="3"/>
      <c r="P147" s="3"/>
      <c r="Q147" s="3"/>
      <c r="R147" s="3"/>
      <c r="S147" s="3"/>
      <c r="T147" s="3"/>
      <c r="U147" s="3"/>
      <c r="V147" s="3"/>
      <c r="W147" s="3"/>
      <c r="X147" s="3"/>
      <c r="Y147" s="3"/>
      <c r="Z147" s="3"/>
      <c r="AA147" s="3"/>
      <c r="AB147" s="3"/>
      <c r="AC147" s="3"/>
      <c r="AD147" s="3"/>
      <c r="AE147" s="3"/>
      <c r="AF147" s="3"/>
      <c r="AG147" s="3"/>
      <c r="AH147" s="3"/>
      <c r="AI147" s="3"/>
      <c r="AJ147" s="3"/>
      <c r="AK147" s="3"/>
      <c r="AL147" s="3"/>
      <c r="AM147" s="3"/>
      <c r="AN147" s="3"/>
      <c r="AO147" s="3"/>
      <c r="AP147" s="3"/>
      <c r="AQ147" s="3"/>
      <c r="AR147" s="3"/>
      <c r="AS147" s="3"/>
      <c r="AT147" s="3"/>
      <c r="AU147" s="3"/>
      <c r="AV147" s="3"/>
      <c r="AW147" s="3"/>
      <c r="AX147" s="3"/>
      <c r="AY147" s="3"/>
      <c r="AZ147" s="3"/>
      <c r="BA147" s="3"/>
      <c r="BB147" s="3"/>
      <c r="BC147" s="3"/>
      <c r="BD147" s="3"/>
    </row>
    <row r="148" spans="1:56" x14ac:dyDescent="0.25">
      <c r="A148" s="444" t="s">
        <v>566</v>
      </c>
      <c r="B148" s="445"/>
      <c r="C148" s="445"/>
      <c r="D148" s="445"/>
      <c r="E148" s="445"/>
      <c r="F148" s="445"/>
      <c r="G148" s="445"/>
      <c r="H148" s="445"/>
      <c r="I148" s="3"/>
      <c r="J148" s="3"/>
      <c r="K148" s="3"/>
      <c r="L148" s="3"/>
      <c r="N148" s="3"/>
      <c r="O148" s="3"/>
      <c r="P148" s="3"/>
      <c r="Q148" s="3"/>
      <c r="R148" s="3"/>
      <c r="S148" s="3"/>
      <c r="T148" s="3"/>
      <c r="U148" s="3"/>
      <c r="V148" s="3"/>
      <c r="W148" s="3"/>
      <c r="X148" s="3"/>
      <c r="Y148" s="3"/>
      <c r="Z148" s="3"/>
      <c r="AA148" s="3"/>
      <c r="AB148" s="3"/>
      <c r="AC148" s="3"/>
      <c r="AD148" s="3"/>
      <c r="AE148" s="3"/>
      <c r="AF148" s="3"/>
      <c r="AG148" s="3"/>
      <c r="AH148" s="3"/>
      <c r="AI148" s="3"/>
      <c r="AJ148" s="3"/>
      <c r="AK148" s="3"/>
      <c r="AL148" s="3"/>
      <c r="AM148" s="3"/>
      <c r="AN148" s="3"/>
      <c r="AO148" s="3"/>
      <c r="AP148" s="3"/>
      <c r="AQ148" s="3"/>
      <c r="AR148" s="3"/>
      <c r="AS148" s="3"/>
      <c r="AT148" s="3"/>
      <c r="AU148" s="3"/>
      <c r="AV148" s="3"/>
      <c r="AW148" s="3"/>
      <c r="AX148" s="3"/>
      <c r="AY148" s="3"/>
      <c r="AZ148" s="3"/>
      <c r="BA148" s="3"/>
      <c r="BB148" s="3"/>
      <c r="BC148" s="3"/>
      <c r="BD148" s="3"/>
    </row>
    <row r="149" spans="1:56" ht="15.6" customHeight="1" x14ac:dyDescent="0.25">
      <c r="A149" s="446" t="s">
        <v>567</v>
      </c>
      <c r="B149" s="447"/>
      <c r="C149" s="447"/>
      <c r="D149" s="447"/>
      <c r="E149" s="447"/>
      <c r="F149" s="447"/>
      <c r="G149" s="447"/>
      <c r="H149" s="447"/>
      <c r="I149" s="3"/>
      <c r="J149" s="3"/>
      <c r="K149" s="3"/>
      <c r="L149" s="3"/>
      <c r="N149" s="3"/>
      <c r="O149" s="3"/>
      <c r="P149" s="3"/>
      <c r="Q149" s="3"/>
      <c r="R149" s="3"/>
      <c r="S149" s="3"/>
      <c r="T149" s="3"/>
      <c r="U149" s="3"/>
      <c r="V149" s="3"/>
      <c r="W149" s="3"/>
      <c r="X149" s="3"/>
      <c r="Y149" s="3"/>
      <c r="Z149" s="3"/>
      <c r="AA149" s="3"/>
      <c r="AB149" s="3"/>
      <c r="AC149" s="3"/>
      <c r="AD149" s="3"/>
      <c r="AE149" s="3"/>
      <c r="AF149" s="3"/>
      <c r="AG149" s="3"/>
      <c r="AH149" s="3"/>
      <c r="AI149" s="3"/>
      <c r="AJ149" s="3"/>
      <c r="AK149" s="3"/>
      <c r="AL149" s="3"/>
      <c r="AM149" s="3"/>
      <c r="AN149" s="3"/>
      <c r="AO149" s="3"/>
      <c r="AP149" s="3"/>
      <c r="AQ149" s="3"/>
      <c r="AR149" s="3"/>
      <c r="AS149" s="3"/>
      <c r="AT149" s="3"/>
      <c r="AU149" s="3"/>
      <c r="AV149" s="3"/>
      <c r="AW149" s="3"/>
      <c r="AX149" s="3"/>
      <c r="AY149" s="3"/>
      <c r="AZ149" s="3"/>
      <c r="BA149" s="3"/>
      <c r="BB149" s="3"/>
      <c r="BC149" s="3"/>
      <c r="BD149" s="3"/>
    </row>
    <row r="150" spans="1:56" x14ac:dyDescent="0.25">
      <c r="I150" s="3"/>
      <c r="J150" s="3"/>
      <c r="K150" s="3"/>
      <c r="L150" s="3"/>
      <c r="N150" s="3"/>
      <c r="O150" s="3"/>
      <c r="P150" s="3"/>
      <c r="Q150" s="3"/>
      <c r="R150" s="3"/>
      <c r="S150" s="3"/>
      <c r="T150" s="3"/>
      <c r="U150" s="3"/>
      <c r="V150" s="3"/>
      <c r="W150" s="3"/>
      <c r="X150" s="3"/>
      <c r="Y150" s="3"/>
      <c r="Z150" s="3"/>
      <c r="AA150" s="3"/>
      <c r="AB150" s="3"/>
      <c r="AC150" s="3"/>
      <c r="AD150" s="3"/>
      <c r="AE150" s="3"/>
      <c r="AF150" s="3"/>
      <c r="AG150" s="3"/>
      <c r="AH150" s="3"/>
      <c r="AI150" s="3"/>
      <c r="AJ150" s="3"/>
      <c r="AK150" s="3"/>
      <c r="AL150" s="3"/>
      <c r="AM150" s="3"/>
      <c r="AN150" s="3"/>
      <c r="AO150" s="3"/>
      <c r="AP150" s="3"/>
      <c r="AQ150" s="3"/>
      <c r="AR150" s="3"/>
      <c r="AS150" s="3"/>
      <c r="AT150" s="3"/>
      <c r="AU150" s="3"/>
      <c r="AV150" s="3"/>
      <c r="AW150" s="3"/>
      <c r="AX150" s="3"/>
      <c r="AY150" s="3"/>
      <c r="AZ150" s="3"/>
      <c r="BA150" s="3"/>
      <c r="BB150" s="3"/>
      <c r="BC150" s="3"/>
      <c r="BD150" s="3"/>
    </row>
    <row r="151" spans="1:56" x14ac:dyDescent="0.25">
      <c r="A151" s="444" t="s">
        <v>568</v>
      </c>
      <c r="B151" s="445"/>
      <c r="C151" s="445"/>
      <c r="D151" s="445"/>
      <c r="E151" s="445"/>
      <c r="F151" s="445"/>
      <c r="G151" s="445"/>
      <c r="H151" s="445"/>
      <c r="I151" s="3"/>
      <c r="J151" s="3"/>
      <c r="K151" s="3"/>
      <c r="L151" s="3"/>
      <c r="N151" s="3"/>
      <c r="O151" s="3"/>
      <c r="P151" s="3"/>
      <c r="Q151" s="3"/>
      <c r="R151" s="3"/>
      <c r="S151" s="3"/>
      <c r="T151" s="3"/>
      <c r="U151" s="3"/>
      <c r="V151" s="3"/>
      <c r="W151" s="3"/>
      <c r="X151" s="3"/>
      <c r="Y151" s="3"/>
      <c r="Z151" s="3"/>
      <c r="AA151" s="3"/>
      <c r="AB151" s="3"/>
      <c r="AC151" s="3"/>
      <c r="AD151" s="3"/>
      <c r="AE151" s="3"/>
      <c r="AF151" s="3"/>
      <c r="AG151" s="3"/>
      <c r="AH151" s="3"/>
      <c r="AI151" s="3"/>
      <c r="AJ151" s="3"/>
      <c r="AK151" s="3"/>
      <c r="AL151" s="3"/>
      <c r="AM151" s="3"/>
      <c r="AN151" s="3"/>
      <c r="AO151" s="3"/>
      <c r="AP151" s="3"/>
      <c r="AQ151" s="3"/>
      <c r="AR151" s="3"/>
      <c r="AS151" s="3"/>
      <c r="AT151" s="3"/>
      <c r="AU151" s="3"/>
      <c r="AV151" s="3"/>
      <c r="AW151" s="3"/>
      <c r="AX151" s="3"/>
      <c r="AY151" s="3"/>
      <c r="AZ151" s="3"/>
      <c r="BA151" s="3"/>
      <c r="BB151" s="3"/>
      <c r="BC151" s="3"/>
      <c r="BD151" s="3"/>
    </row>
    <row r="152" spans="1:56" x14ac:dyDescent="0.25">
      <c r="A152" s="442" t="s">
        <v>569</v>
      </c>
      <c r="B152" s="443"/>
      <c r="C152" s="443"/>
      <c r="D152" s="443"/>
      <c r="E152" s="443"/>
      <c r="F152" s="443"/>
      <c r="G152" s="443"/>
      <c r="H152" s="443"/>
      <c r="I152" s="3"/>
      <c r="J152" s="3"/>
      <c r="K152" s="3"/>
      <c r="L152" s="3"/>
      <c r="N152" s="3"/>
      <c r="O152" s="3"/>
      <c r="P152" s="3"/>
      <c r="Q152" s="3"/>
      <c r="R152" s="3"/>
      <c r="S152" s="3"/>
      <c r="T152" s="3"/>
      <c r="U152" s="3"/>
      <c r="V152" s="3"/>
      <c r="W152" s="3"/>
      <c r="X152" s="3"/>
      <c r="Y152" s="3"/>
      <c r="Z152" s="3"/>
      <c r="AA152" s="3"/>
      <c r="AB152" s="3"/>
      <c r="AC152" s="3"/>
      <c r="AD152" s="3"/>
      <c r="AE152" s="3"/>
      <c r="AF152" s="3"/>
      <c r="AG152" s="3"/>
      <c r="AH152" s="3"/>
      <c r="AI152" s="3"/>
      <c r="AJ152" s="3"/>
      <c r="AK152" s="3"/>
      <c r="AL152" s="3"/>
      <c r="AM152" s="3"/>
      <c r="AN152" s="3"/>
      <c r="AO152" s="3"/>
      <c r="AP152" s="3"/>
      <c r="AQ152" s="3"/>
      <c r="AR152" s="3"/>
      <c r="AS152" s="3"/>
      <c r="AT152" s="3"/>
      <c r="AU152" s="3"/>
      <c r="AV152" s="3"/>
      <c r="AW152" s="3"/>
      <c r="AX152" s="3"/>
      <c r="AY152" s="3"/>
      <c r="AZ152" s="3"/>
      <c r="BA152" s="3"/>
      <c r="BB152" s="3"/>
      <c r="BC152" s="3"/>
      <c r="BD152" s="3"/>
    </row>
    <row r="153" spans="1:56" x14ac:dyDescent="0.25">
      <c r="A153" s="88"/>
      <c r="B153" s="88"/>
      <c r="C153" s="88"/>
      <c r="D153" s="88"/>
      <c r="E153" s="88"/>
      <c r="F153" s="88"/>
      <c r="G153" s="88"/>
      <c r="H153" s="88"/>
      <c r="I153" s="3"/>
      <c r="J153" s="3"/>
      <c r="K153" s="3"/>
      <c r="L153" s="3"/>
      <c r="N153" s="3"/>
      <c r="O153" s="3"/>
      <c r="P153" s="3"/>
      <c r="Q153" s="3"/>
      <c r="R153" s="3"/>
      <c r="S153" s="3"/>
      <c r="T153" s="3"/>
      <c r="U153" s="3"/>
      <c r="V153" s="3"/>
      <c r="W153" s="3"/>
      <c r="X153" s="3"/>
      <c r="Y153" s="3"/>
      <c r="Z153" s="3"/>
      <c r="AA153" s="3"/>
      <c r="AB153" s="3"/>
      <c r="AC153" s="3"/>
      <c r="AD153" s="3"/>
      <c r="AE153" s="3"/>
      <c r="AF153" s="3"/>
      <c r="AG153" s="3"/>
      <c r="AH153" s="3"/>
      <c r="AI153" s="3"/>
      <c r="AJ153" s="3"/>
      <c r="AK153" s="3"/>
      <c r="AL153" s="3"/>
      <c r="AM153" s="3"/>
      <c r="AN153" s="3"/>
      <c r="AO153" s="3"/>
      <c r="AP153" s="3"/>
      <c r="AQ153" s="3"/>
      <c r="AR153" s="3"/>
      <c r="AS153" s="3"/>
      <c r="AT153" s="3"/>
      <c r="AU153" s="3"/>
      <c r="AV153" s="3"/>
      <c r="AW153" s="3"/>
      <c r="AX153" s="3"/>
      <c r="AY153" s="3"/>
      <c r="AZ153" s="3"/>
      <c r="BA153" s="3"/>
      <c r="BB153" s="3"/>
      <c r="BC153" s="3"/>
      <c r="BD153" s="3"/>
    </row>
    <row r="154" spans="1:56" x14ac:dyDescent="0.25">
      <c r="A154" s="88"/>
      <c r="B154" s="88"/>
      <c r="C154" s="88"/>
      <c r="D154" s="88"/>
      <c r="E154" s="88"/>
      <c r="F154" s="88"/>
      <c r="G154" s="88"/>
      <c r="H154" s="88"/>
      <c r="I154" s="3"/>
      <c r="J154" s="3"/>
      <c r="K154" s="3"/>
      <c r="L154" s="3"/>
      <c r="N154" s="3"/>
      <c r="O154" s="3"/>
      <c r="P154" s="3"/>
      <c r="Q154" s="3"/>
      <c r="R154" s="3"/>
      <c r="S154" s="3"/>
      <c r="T154" s="3"/>
      <c r="U154" s="3"/>
      <c r="V154" s="3"/>
      <c r="W154" s="3"/>
      <c r="X154" s="3"/>
      <c r="Y154" s="3"/>
      <c r="Z154" s="3"/>
      <c r="AA154" s="3"/>
      <c r="AB154" s="3"/>
      <c r="AC154" s="3"/>
      <c r="AD154" s="3"/>
      <c r="AE154" s="3"/>
      <c r="AF154" s="3"/>
      <c r="AG154" s="3"/>
      <c r="AH154" s="3"/>
      <c r="AI154" s="3"/>
      <c r="AJ154" s="3"/>
      <c r="AK154" s="3"/>
      <c r="AL154" s="3"/>
      <c r="AM154" s="3"/>
      <c r="AN154" s="3"/>
      <c r="AO154" s="3"/>
      <c r="AP154" s="3"/>
      <c r="AQ154" s="3"/>
      <c r="AR154" s="3"/>
      <c r="AS154" s="3"/>
      <c r="AT154" s="3"/>
      <c r="AU154" s="3"/>
      <c r="AV154" s="3"/>
      <c r="AW154" s="3"/>
      <c r="AX154" s="3"/>
      <c r="AY154" s="3"/>
      <c r="AZ154" s="3"/>
      <c r="BA154" s="3"/>
      <c r="BB154" s="3"/>
      <c r="BC154" s="3"/>
      <c r="BD154" s="3"/>
    </row>
    <row r="155" spans="1:56" x14ac:dyDescent="0.25">
      <c r="A155" s="88"/>
      <c r="B155" s="88"/>
      <c r="C155" s="88"/>
      <c r="D155" s="88"/>
      <c r="E155" s="88"/>
      <c r="F155" s="88"/>
      <c r="G155" s="88"/>
      <c r="H155" s="88"/>
      <c r="I155" s="3"/>
      <c r="J155" s="3"/>
      <c r="K155" s="3"/>
      <c r="L155" s="3"/>
      <c r="N155" s="3"/>
      <c r="O155" s="3"/>
      <c r="P155" s="3"/>
      <c r="Q155" s="3"/>
      <c r="R155" s="3"/>
      <c r="S155" s="3"/>
      <c r="T155" s="3"/>
      <c r="U155" s="3"/>
      <c r="V155" s="3"/>
      <c r="W155" s="3"/>
      <c r="X155" s="3"/>
      <c r="Y155" s="3"/>
      <c r="Z155" s="3"/>
      <c r="AA155" s="3"/>
      <c r="AB155" s="3"/>
      <c r="AC155" s="3"/>
      <c r="AD155" s="3"/>
      <c r="AE155" s="3"/>
      <c r="AF155" s="3"/>
      <c r="AG155" s="3"/>
      <c r="AH155" s="3"/>
      <c r="AI155" s="3"/>
      <c r="AJ155" s="3"/>
      <c r="AK155" s="3"/>
      <c r="AL155" s="3"/>
      <c r="AM155" s="3"/>
      <c r="AN155" s="3"/>
      <c r="AO155" s="3"/>
      <c r="AP155" s="3"/>
      <c r="AQ155" s="3"/>
      <c r="AR155" s="3"/>
      <c r="AS155" s="3"/>
      <c r="AT155" s="3"/>
      <c r="AU155" s="3"/>
      <c r="AV155" s="3"/>
      <c r="AW155" s="3"/>
      <c r="AX155" s="3"/>
      <c r="AY155" s="3"/>
      <c r="AZ155" s="3"/>
      <c r="BA155" s="3"/>
      <c r="BB155" s="3"/>
      <c r="BC155" s="3"/>
      <c r="BD155" s="3"/>
    </row>
    <row r="156" spans="1:56" x14ac:dyDescent="0.25">
      <c r="A156" s="16"/>
      <c r="B156" s="16"/>
      <c r="C156" s="16"/>
      <c r="D156" s="16"/>
      <c r="E156" s="3"/>
      <c r="F156" s="3"/>
      <c r="G156" s="3"/>
      <c r="H156" s="3"/>
      <c r="I156" s="3"/>
      <c r="J156" s="3"/>
      <c r="K156" s="3"/>
      <c r="L156" s="3"/>
      <c r="N156" s="3"/>
      <c r="O156" s="3"/>
      <c r="P156" s="3"/>
      <c r="Q156" s="3"/>
      <c r="R156" s="3"/>
      <c r="S156" s="3"/>
      <c r="T156" s="3"/>
      <c r="U156" s="3"/>
      <c r="V156" s="3"/>
      <c r="W156" s="3"/>
      <c r="X156" s="3"/>
      <c r="Y156" s="3"/>
      <c r="Z156" s="3"/>
      <c r="AA156" s="3"/>
      <c r="AB156" s="3"/>
      <c r="AC156" s="3"/>
      <c r="AD156" s="3"/>
      <c r="AE156" s="3"/>
      <c r="AF156" s="3"/>
      <c r="AG156" s="3"/>
      <c r="AH156" s="3"/>
      <c r="AI156" s="3"/>
      <c r="AJ156" s="3"/>
      <c r="AK156" s="3"/>
      <c r="AL156" s="3"/>
      <c r="AM156" s="3"/>
      <c r="AN156" s="3"/>
      <c r="AO156" s="3"/>
      <c r="AP156" s="3"/>
      <c r="AQ156" s="3"/>
      <c r="AR156" s="3"/>
      <c r="AS156" s="3"/>
      <c r="AT156" s="3"/>
      <c r="AU156" s="3"/>
      <c r="AV156" s="3"/>
      <c r="AW156" s="3"/>
      <c r="AX156" s="3"/>
      <c r="AY156" s="3"/>
      <c r="AZ156" s="3"/>
      <c r="BA156" s="3"/>
      <c r="BB156" s="3"/>
      <c r="BC156" s="3"/>
      <c r="BD156" s="3"/>
    </row>
    <row r="157" spans="1:56" x14ac:dyDescent="0.25">
      <c r="A157" s="16"/>
      <c r="B157" s="16"/>
      <c r="C157" s="16"/>
      <c r="D157" s="16"/>
      <c r="E157" s="3"/>
      <c r="F157" s="3"/>
      <c r="G157" s="3"/>
      <c r="H157" s="3"/>
      <c r="I157" s="3"/>
      <c r="J157" s="3"/>
      <c r="K157" s="3"/>
      <c r="L157" s="3"/>
      <c r="N157" s="3"/>
      <c r="O157" s="3"/>
      <c r="P157" s="3"/>
      <c r="Q157" s="3"/>
      <c r="R157" s="3"/>
      <c r="S157" s="3"/>
      <c r="T157" s="3"/>
      <c r="U157" s="3"/>
      <c r="V157" s="3"/>
      <c r="W157" s="3"/>
      <c r="X157" s="3"/>
      <c r="Y157" s="3"/>
      <c r="Z157" s="3"/>
      <c r="AA157" s="3"/>
      <c r="AB157" s="3"/>
      <c r="AC157" s="3"/>
      <c r="AD157" s="3"/>
      <c r="AE157" s="3"/>
      <c r="AF157" s="3"/>
      <c r="AG157" s="3"/>
      <c r="AH157" s="3"/>
      <c r="AI157" s="3"/>
      <c r="AJ157" s="3"/>
      <c r="AK157" s="3"/>
      <c r="AL157" s="3"/>
      <c r="AM157" s="3"/>
      <c r="AN157" s="3"/>
      <c r="AO157" s="3"/>
      <c r="AP157" s="3"/>
      <c r="AQ157" s="3"/>
      <c r="AR157" s="3"/>
      <c r="AS157" s="3"/>
      <c r="AT157" s="3"/>
      <c r="AU157" s="3"/>
      <c r="AV157" s="3"/>
      <c r="AW157" s="3"/>
      <c r="AX157" s="3"/>
      <c r="AY157" s="3"/>
      <c r="AZ157" s="3"/>
      <c r="BA157" s="3"/>
      <c r="BB157" s="3"/>
      <c r="BC157" s="3"/>
      <c r="BD157" s="3"/>
    </row>
    <row r="158" spans="1:56" x14ac:dyDescent="0.25">
      <c r="A158" s="16"/>
      <c r="B158" s="16"/>
      <c r="C158" s="16"/>
      <c r="D158" s="16"/>
      <c r="E158" s="3"/>
      <c r="F158" s="3"/>
      <c r="G158" s="3"/>
      <c r="H158" s="3"/>
      <c r="I158" s="3"/>
      <c r="J158" s="3"/>
      <c r="K158" s="3"/>
      <c r="L158" s="3"/>
      <c r="N158" s="3"/>
      <c r="O158" s="3"/>
      <c r="P158" s="3"/>
      <c r="Q158" s="3"/>
      <c r="R158" s="3"/>
      <c r="S158" s="3"/>
      <c r="T158" s="3"/>
      <c r="U158" s="3"/>
      <c r="V158" s="3"/>
      <c r="W158" s="3"/>
      <c r="X158" s="3"/>
      <c r="Y158" s="3"/>
      <c r="Z158" s="3"/>
      <c r="AA158" s="3"/>
      <c r="AB158" s="3"/>
      <c r="AC158" s="3"/>
      <c r="AD158" s="3"/>
      <c r="AE158" s="3"/>
      <c r="AF158" s="3"/>
      <c r="AG158" s="3"/>
      <c r="AH158" s="3"/>
      <c r="AI158" s="3"/>
      <c r="AJ158" s="3"/>
      <c r="AK158" s="3"/>
      <c r="AL158" s="3"/>
      <c r="AM158" s="3"/>
      <c r="AN158" s="3"/>
      <c r="AO158" s="3"/>
      <c r="AP158" s="3"/>
      <c r="AQ158" s="3"/>
      <c r="AR158" s="3"/>
      <c r="AS158" s="3"/>
      <c r="AT158" s="3"/>
      <c r="AU158" s="3"/>
      <c r="AV158" s="3"/>
      <c r="AW158" s="3"/>
      <c r="AX158" s="3"/>
      <c r="AY158" s="3"/>
      <c r="AZ158" s="3"/>
      <c r="BA158" s="3"/>
      <c r="BB158" s="3"/>
      <c r="BC158" s="3"/>
      <c r="BD158" s="3"/>
    </row>
    <row r="159" spans="1:56" x14ac:dyDescent="0.25">
      <c r="A159" s="16"/>
      <c r="B159" s="16"/>
      <c r="C159" s="16"/>
      <c r="D159" s="16"/>
      <c r="E159" s="3"/>
      <c r="F159" s="3"/>
      <c r="G159" s="3"/>
      <c r="H159" s="3"/>
      <c r="I159" s="3"/>
      <c r="J159" s="3"/>
      <c r="K159" s="3"/>
      <c r="L159" s="3"/>
      <c r="N159" s="3"/>
      <c r="O159" s="3"/>
      <c r="P159" s="3"/>
      <c r="Q159" s="3"/>
      <c r="R159" s="3"/>
      <c r="S159" s="3"/>
      <c r="T159" s="3"/>
      <c r="U159" s="3"/>
      <c r="V159" s="3"/>
      <c r="W159" s="3"/>
      <c r="X159" s="3"/>
      <c r="Y159" s="3"/>
      <c r="Z159" s="3"/>
      <c r="AA159" s="3"/>
      <c r="AB159" s="3"/>
      <c r="AC159" s="3"/>
      <c r="AD159" s="3"/>
      <c r="AE159" s="3"/>
      <c r="AF159" s="3"/>
      <c r="AG159" s="3"/>
      <c r="AH159" s="3"/>
      <c r="AI159" s="3"/>
      <c r="AJ159" s="3"/>
      <c r="AK159" s="3"/>
      <c r="AL159" s="3"/>
      <c r="AM159" s="3"/>
      <c r="AN159" s="3"/>
      <c r="AO159" s="3"/>
      <c r="AP159" s="3"/>
      <c r="AQ159" s="3"/>
      <c r="AR159" s="3"/>
      <c r="AS159" s="3"/>
      <c r="AT159" s="3"/>
      <c r="AU159" s="3"/>
      <c r="AV159" s="3"/>
      <c r="AW159" s="3"/>
      <c r="AX159" s="3"/>
      <c r="AY159" s="3"/>
      <c r="AZ159" s="3"/>
      <c r="BA159" s="3"/>
      <c r="BB159" s="3"/>
      <c r="BC159" s="3"/>
      <c r="BD159" s="3"/>
    </row>
    <row r="160" spans="1:56" x14ac:dyDescent="0.25">
      <c r="A160" s="16"/>
      <c r="B160" s="16"/>
      <c r="C160" s="16"/>
      <c r="D160" s="16"/>
      <c r="E160" s="3"/>
      <c r="F160" s="3"/>
      <c r="G160" s="3"/>
      <c r="H160" s="3"/>
      <c r="I160" s="3"/>
      <c r="J160" s="3"/>
      <c r="K160" s="3"/>
      <c r="L160" s="3"/>
      <c r="N160" s="3"/>
      <c r="O160" s="3"/>
      <c r="P160" s="3"/>
      <c r="Q160" s="3"/>
      <c r="R160" s="3"/>
      <c r="S160" s="3"/>
      <c r="T160" s="3"/>
      <c r="U160" s="3"/>
      <c r="V160" s="3"/>
      <c r="W160" s="3"/>
      <c r="X160" s="3"/>
      <c r="Y160" s="3"/>
      <c r="Z160" s="3"/>
      <c r="AA160" s="3"/>
      <c r="AB160" s="3"/>
      <c r="AC160" s="3"/>
      <c r="AD160" s="3"/>
      <c r="AE160" s="3"/>
      <c r="AF160" s="3"/>
      <c r="AG160" s="3"/>
      <c r="AH160" s="3"/>
      <c r="AI160" s="3"/>
      <c r="AJ160" s="3"/>
      <c r="AK160" s="3"/>
      <c r="AL160" s="3"/>
      <c r="AM160" s="3"/>
      <c r="AN160" s="3"/>
      <c r="AO160" s="3"/>
      <c r="AP160" s="3"/>
      <c r="AQ160" s="3"/>
      <c r="AR160" s="3"/>
      <c r="AS160" s="3"/>
      <c r="AT160" s="3"/>
      <c r="AU160" s="3"/>
      <c r="AV160" s="3"/>
      <c r="AW160" s="3"/>
      <c r="AX160" s="3"/>
      <c r="AY160" s="3"/>
      <c r="AZ160" s="3"/>
      <c r="BA160" s="3"/>
      <c r="BB160" s="3"/>
      <c r="BC160" s="3"/>
      <c r="BD160" s="3"/>
    </row>
    <row r="161" spans="1:56" x14ac:dyDescent="0.25">
      <c r="A161" s="16"/>
      <c r="B161" s="16"/>
      <c r="C161" s="16"/>
      <c r="D161" s="16"/>
      <c r="E161" s="3"/>
      <c r="F161" s="3"/>
      <c r="G161" s="3"/>
      <c r="H161" s="3"/>
      <c r="I161" s="3"/>
      <c r="J161" s="3"/>
      <c r="K161" s="3"/>
      <c r="L161" s="3"/>
      <c r="N161" s="3"/>
      <c r="O161" s="3"/>
      <c r="P161" s="3"/>
      <c r="Q161" s="3"/>
      <c r="R161" s="3"/>
      <c r="S161" s="3"/>
      <c r="T161" s="3"/>
      <c r="U161" s="3"/>
      <c r="V161" s="3"/>
      <c r="W161" s="3"/>
      <c r="X161" s="3"/>
      <c r="Y161" s="3"/>
      <c r="Z161" s="3"/>
      <c r="AA161" s="3"/>
      <c r="AB161" s="3"/>
      <c r="AC161" s="3"/>
      <c r="AD161" s="3"/>
      <c r="AE161" s="3"/>
      <c r="AF161" s="3"/>
      <c r="AG161" s="3"/>
      <c r="AH161" s="3"/>
      <c r="AI161" s="3"/>
      <c r="AJ161" s="3"/>
      <c r="AK161" s="3"/>
      <c r="AL161" s="3"/>
      <c r="AM161" s="3"/>
      <c r="AN161" s="3"/>
      <c r="AO161" s="3"/>
      <c r="AP161" s="3"/>
      <c r="AQ161" s="3"/>
      <c r="AR161" s="3"/>
      <c r="AS161" s="3"/>
      <c r="AT161" s="3"/>
      <c r="AU161" s="3"/>
      <c r="AV161" s="3"/>
      <c r="AW161" s="3"/>
      <c r="AX161" s="3"/>
      <c r="AY161" s="3"/>
      <c r="AZ161" s="3"/>
      <c r="BA161" s="3"/>
      <c r="BB161" s="3"/>
      <c r="BC161" s="3"/>
      <c r="BD161" s="3"/>
    </row>
    <row r="162" spans="1:56" x14ac:dyDescent="0.25">
      <c r="A162" s="16"/>
      <c r="B162" s="16"/>
      <c r="C162" s="16"/>
      <c r="D162" s="16"/>
      <c r="E162" s="3"/>
      <c r="F162" s="3"/>
      <c r="G162" s="3"/>
      <c r="H162" s="3"/>
      <c r="I162" s="3"/>
      <c r="J162" s="3"/>
      <c r="K162" s="3"/>
      <c r="L162" s="3"/>
      <c r="N162" s="3"/>
      <c r="O162" s="3"/>
      <c r="P162" s="3"/>
      <c r="Q162" s="3"/>
      <c r="R162" s="3"/>
      <c r="S162" s="3"/>
      <c r="T162" s="3"/>
      <c r="U162" s="3"/>
      <c r="V162" s="3"/>
      <c r="W162" s="3"/>
      <c r="X162" s="3"/>
      <c r="Y162" s="3"/>
      <c r="Z162" s="3"/>
      <c r="AA162" s="3"/>
      <c r="AB162" s="3"/>
      <c r="AC162" s="3"/>
      <c r="AD162" s="3"/>
      <c r="AE162" s="3"/>
      <c r="AF162" s="3"/>
      <c r="AG162" s="3"/>
      <c r="AH162" s="3"/>
      <c r="AI162" s="3"/>
      <c r="AJ162" s="3"/>
      <c r="AK162" s="3"/>
      <c r="AL162" s="3"/>
      <c r="AM162" s="3"/>
      <c r="AN162" s="3"/>
      <c r="AO162" s="3"/>
      <c r="AP162" s="3"/>
      <c r="AQ162" s="3"/>
      <c r="AR162" s="3"/>
      <c r="AS162" s="3"/>
      <c r="AT162" s="3"/>
      <c r="AU162" s="3"/>
      <c r="AV162" s="3"/>
      <c r="AW162" s="3"/>
      <c r="AX162" s="3"/>
      <c r="AY162" s="3"/>
      <c r="AZ162" s="3"/>
      <c r="BA162" s="3"/>
      <c r="BB162" s="3"/>
      <c r="BC162" s="3"/>
      <c r="BD162" s="3"/>
    </row>
    <row r="163" spans="1:56" x14ac:dyDescent="0.25">
      <c r="A163" s="16"/>
      <c r="B163" s="16"/>
      <c r="C163" s="16"/>
      <c r="D163" s="16"/>
      <c r="E163" s="3"/>
      <c r="F163" s="3"/>
      <c r="G163" s="3"/>
      <c r="H163" s="3"/>
      <c r="I163" s="3"/>
      <c r="J163" s="3"/>
      <c r="K163" s="3"/>
      <c r="L163" s="3"/>
      <c r="N163" s="3"/>
      <c r="O163" s="3"/>
      <c r="P163" s="3"/>
      <c r="Q163" s="3"/>
      <c r="R163" s="3"/>
      <c r="S163" s="3"/>
      <c r="T163" s="3"/>
      <c r="U163" s="3"/>
      <c r="V163" s="3"/>
      <c r="W163" s="3"/>
      <c r="X163" s="3"/>
      <c r="Y163" s="3"/>
      <c r="Z163" s="3"/>
      <c r="AA163" s="3"/>
      <c r="AB163" s="3"/>
      <c r="AC163" s="3"/>
      <c r="AD163" s="3"/>
      <c r="AE163" s="3"/>
      <c r="AF163" s="3"/>
      <c r="AG163" s="3"/>
      <c r="AH163" s="3"/>
      <c r="AI163" s="3"/>
      <c r="AJ163" s="3"/>
      <c r="AK163" s="3"/>
      <c r="AL163" s="3"/>
      <c r="AM163" s="3"/>
      <c r="AN163" s="3"/>
      <c r="AO163" s="3"/>
      <c r="AP163" s="3"/>
      <c r="AQ163" s="3"/>
      <c r="AR163" s="3"/>
      <c r="AS163" s="3"/>
      <c r="AT163" s="3"/>
      <c r="AU163" s="3"/>
      <c r="AV163" s="3"/>
      <c r="AW163" s="3"/>
      <c r="AX163" s="3"/>
      <c r="AY163" s="3"/>
      <c r="AZ163" s="3"/>
      <c r="BA163" s="3"/>
      <c r="BB163" s="3"/>
      <c r="BC163" s="3"/>
      <c r="BD163" s="3"/>
    </row>
    <row r="164" spans="1:56" x14ac:dyDescent="0.25">
      <c r="A164" s="16"/>
      <c r="B164" s="16"/>
      <c r="C164" s="16"/>
      <c r="D164" s="16"/>
      <c r="E164" s="3"/>
      <c r="F164" s="3"/>
      <c r="G164" s="3"/>
      <c r="H164" s="3"/>
      <c r="I164" s="3"/>
      <c r="J164" s="3"/>
      <c r="K164" s="3"/>
      <c r="L164" s="3"/>
      <c r="N164" s="3"/>
      <c r="O164" s="3"/>
      <c r="P164" s="3"/>
      <c r="Q164" s="3"/>
      <c r="R164" s="3"/>
      <c r="S164" s="3"/>
      <c r="T164" s="3"/>
      <c r="U164" s="3"/>
      <c r="V164" s="3"/>
      <c r="W164" s="3"/>
      <c r="X164" s="3"/>
      <c r="Y164" s="3"/>
      <c r="Z164" s="3"/>
      <c r="AA164" s="3"/>
      <c r="AB164" s="3"/>
      <c r="AC164" s="3"/>
      <c r="AD164" s="3"/>
      <c r="AE164" s="3"/>
      <c r="AF164" s="3"/>
      <c r="AG164" s="3"/>
      <c r="AH164" s="3"/>
      <c r="AI164" s="3"/>
      <c r="AJ164" s="3"/>
      <c r="AK164" s="3"/>
      <c r="AL164" s="3"/>
      <c r="AM164" s="3"/>
      <c r="AN164" s="3"/>
      <c r="AO164" s="3"/>
      <c r="AP164" s="3"/>
      <c r="AQ164" s="3"/>
      <c r="AR164" s="3"/>
      <c r="AS164" s="3"/>
      <c r="AT164" s="3"/>
      <c r="AU164" s="3"/>
      <c r="AV164" s="3"/>
      <c r="AW164" s="3"/>
      <c r="AX164" s="3"/>
      <c r="AY164" s="3"/>
      <c r="AZ164" s="3"/>
      <c r="BA164" s="3"/>
      <c r="BB164" s="3"/>
      <c r="BC164" s="3"/>
      <c r="BD164" s="3"/>
    </row>
    <row r="165" spans="1:56" x14ac:dyDescent="0.25">
      <c r="A165" s="16"/>
      <c r="B165" s="16"/>
      <c r="C165" s="16"/>
      <c r="D165" s="16"/>
      <c r="E165" s="3"/>
      <c r="F165" s="3"/>
      <c r="G165" s="3"/>
      <c r="H165" s="3"/>
      <c r="I165" s="3"/>
      <c r="J165" s="3"/>
      <c r="K165" s="3"/>
      <c r="L165" s="3"/>
      <c r="N165" s="3"/>
      <c r="O165" s="3"/>
      <c r="P165" s="3"/>
      <c r="Q165" s="3"/>
      <c r="R165" s="3"/>
      <c r="S165" s="3"/>
      <c r="T165" s="3"/>
      <c r="U165" s="3"/>
      <c r="V165" s="3"/>
      <c r="W165" s="3"/>
      <c r="X165" s="3"/>
      <c r="Y165" s="3"/>
      <c r="Z165" s="3"/>
      <c r="AA165" s="3"/>
      <c r="AB165" s="3"/>
      <c r="AC165" s="3"/>
      <c r="AD165" s="3"/>
      <c r="AE165" s="3"/>
      <c r="AF165" s="3"/>
      <c r="AG165" s="3"/>
      <c r="AH165" s="3"/>
      <c r="AI165" s="3"/>
      <c r="AJ165" s="3"/>
      <c r="AK165" s="3"/>
      <c r="AL165" s="3"/>
      <c r="AM165" s="3"/>
      <c r="AN165" s="3"/>
      <c r="AO165" s="3"/>
      <c r="AP165" s="3"/>
      <c r="AQ165" s="3"/>
      <c r="AR165" s="3"/>
      <c r="AS165" s="3"/>
      <c r="AT165" s="3"/>
      <c r="AU165" s="3"/>
      <c r="AV165" s="3"/>
      <c r="AW165" s="3"/>
      <c r="AX165" s="3"/>
      <c r="AY165" s="3"/>
      <c r="AZ165" s="3"/>
      <c r="BA165" s="3"/>
      <c r="BB165" s="3"/>
      <c r="BC165" s="3"/>
      <c r="BD165" s="3"/>
    </row>
    <row r="166" spans="1:56" x14ac:dyDescent="0.25">
      <c r="A166" s="16"/>
      <c r="B166" s="16"/>
      <c r="C166" s="16"/>
      <c r="D166" s="16"/>
      <c r="E166" s="3"/>
      <c r="F166" s="3"/>
      <c r="G166" s="3"/>
      <c r="H166" s="3"/>
      <c r="I166" s="3"/>
      <c r="J166" s="3"/>
      <c r="K166" s="3"/>
      <c r="L166" s="3"/>
      <c r="N166" s="3"/>
      <c r="O166" s="3"/>
      <c r="P166" s="3"/>
      <c r="Q166" s="3"/>
      <c r="R166" s="3"/>
      <c r="S166" s="3"/>
      <c r="T166" s="3"/>
      <c r="U166" s="3"/>
      <c r="V166" s="3"/>
      <c r="W166" s="3"/>
      <c r="X166" s="3"/>
      <c r="Y166" s="3"/>
      <c r="Z166" s="3"/>
      <c r="AA166" s="3"/>
      <c r="AB166" s="3"/>
      <c r="AC166" s="3"/>
      <c r="AD166" s="3"/>
      <c r="AE166" s="3"/>
      <c r="AF166" s="3"/>
      <c r="AG166" s="3"/>
      <c r="AH166" s="3"/>
      <c r="AI166" s="3"/>
      <c r="AJ166" s="3"/>
      <c r="AK166" s="3"/>
      <c r="AL166" s="3"/>
      <c r="AM166" s="3"/>
      <c r="AN166" s="3"/>
      <c r="AO166" s="3"/>
      <c r="AP166" s="3"/>
      <c r="AQ166" s="3"/>
      <c r="AR166" s="3"/>
      <c r="AS166" s="3"/>
      <c r="AT166" s="3"/>
      <c r="AU166" s="3"/>
      <c r="AV166" s="3"/>
      <c r="AW166" s="3"/>
      <c r="AX166" s="3"/>
      <c r="AY166" s="3"/>
      <c r="AZ166" s="3"/>
      <c r="BA166" s="3"/>
      <c r="BB166" s="3"/>
      <c r="BC166" s="3"/>
      <c r="BD166" s="3"/>
    </row>
    <row r="167" spans="1:56" x14ac:dyDescent="0.25">
      <c r="A167" s="16"/>
      <c r="B167" s="16"/>
      <c r="C167" s="16"/>
      <c r="D167" s="16"/>
      <c r="E167" s="3"/>
      <c r="F167" s="3"/>
      <c r="G167" s="3"/>
      <c r="H167" s="3"/>
      <c r="I167" s="3"/>
      <c r="J167" s="3"/>
      <c r="K167" s="3"/>
      <c r="L167" s="3"/>
      <c r="N167" s="3"/>
      <c r="O167" s="3"/>
      <c r="P167" s="3"/>
      <c r="Q167" s="3"/>
      <c r="R167" s="3"/>
      <c r="S167" s="3"/>
      <c r="T167" s="3"/>
      <c r="U167" s="3"/>
      <c r="V167" s="3"/>
      <c r="W167" s="3"/>
      <c r="X167" s="3"/>
      <c r="Y167" s="3"/>
      <c r="Z167" s="3"/>
      <c r="AA167" s="3"/>
      <c r="AB167" s="3"/>
      <c r="AC167" s="3"/>
      <c r="AD167" s="3"/>
      <c r="AE167" s="3"/>
      <c r="AF167" s="3"/>
      <c r="AG167" s="3"/>
      <c r="AH167" s="3"/>
      <c r="AI167" s="3"/>
      <c r="AJ167" s="3"/>
      <c r="AK167" s="3"/>
      <c r="AL167" s="3"/>
      <c r="AM167" s="3"/>
      <c r="AN167" s="3"/>
      <c r="AO167" s="3"/>
      <c r="AP167" s="3"/>
      <c r="AQ167" s="3"/>
      <c r="AR167" s="3"/>
      <c r="AS167" s="3"/>
      <c r="AT167" s="3"/>
      <c r="AU167" s="3"/>
      <c r="AV167" s="3"/>
      <c r="AW167" s="3"/>
      <c r="AX167" s="3"/>
      <c r="AY167" s="3"/>
      <c r="AZ167" s="3"/>
      <c r="BA167" s="3"/>
      <c r="BB167" s="3"/>
      <c r="BC167" s="3"/>
      <c r="BD167" s="3"/>
    </row>
    <row r="168" spans="1:56" x14ac:dyDescent="0.25">
      <c r="A168" s="16"/>
      <c r="B168" s="16"/>
      <c r="C168" s="16"/>
      <c r="D168" s="16"/>
      <c r="E168" s="3"/>
      <c r="F168" s="3"/>
      <c r="G168" s="3"/>
      <c r="H168" s="3"/>
      <c r="I168" s="3"/>
      <c r="J168" s="3"/>
      <c r="K168" s="3"/>
      <c r="L168" s="3"/>
      <c r="N168" s="3"/>
      <c r="O168" s="3"/>
      <c r="P168" s="3"/>
      <c r="Q168" s="3"/>
      <c r="R168" s="3"/>
      <c r="S168" s="3"/>
      <c r="T168" s="3"/>
      <c r="U168" s="3"/>
      <c r="V168" s="3"/>
      <c r="W168" s="3"/>
      <c r="X168" s="3"/>
      <c r="Y168" s="3"/>
      <c r="Z168" s="3"/>
      <c r="AA168" s="3"/>
      <c r="AB168" s="3"/>
      <c r="AC168" s="3"/>
      <c r="AD168" s="3"/>
      <c r="AE168" s="3"/>
      <c r="AF168" s="3"/>
      <c r="AG168" s="3"/>
      <c r="AH168" s="3"/>
      <c r="AI168" s="3"/>
      <c r="AJ168" s="3"/>
      <c r="AK168" s="3"/>
      <c r="AL168" s="3"/>
      <c r="AM168" s="3"/>
      <c r="AN168" s="3"/>
      <c r="AO168" s="3"/>
      <c r="AP168" s="3"/>
      <c r="AQ168" s="3"/>
      <c r="AR168" s="3"/>
      <c r="AS168" s="3"/>
      <c r="AT168" s="3"/>
      <c r="AU168" s="3"/>
      <c r="AV168" s="3"/>
      <c r="AW168" s="3"/>
      <c r="AX168" s="3"/>
      <c r="AY168" s="3"/>
      <c r="AZ168" s="3"/>
      <c r="BA168" s="3"/>
      <c r="BB168" s="3"/>
      <c r="BC168" s="3"/>
      <c r="BD168" s="3"/>
    </row>
    <row r="169" spans="1:56" x14ac:dyDescent="0.25">
      <c r="A169" s="16"/>
      <c r="B169" s="16"/>
      <c r="C169" s="16"/>
      <c r="D169" s="16"/>
      <c r="E169" s="3"/>
      <c r="F169" s="3"/>
      <c r="G169" s="3"/>
      <c r="H169" s="3"/>
      <c r="I169" s="3"/>
      <c r="J169" s="3"/>
      <c r="K169" s="3"/>
      <c r="L169" s="3"/>
      <c r="N169" s="3"/>
      <c r="O169" s="3"/>
      <c r="P169" s="3"/>
      <c r="Q169" s="3"/>
      <c r="R169" s="3"/>
      <c r="S169" s="3"/>
      <c r="T169" s="3"/>
      <c r="U169" s="3"/>
      <c r="V169" s="3"/>
      <c r="W169" s="3"/>
      <c r="X169" s="3"/>
      <c r="Y169" s="3"/>
      <c r="Z169" s="3"/>
      <c r="AA169" s="3"/>
      <c r="AB169" s="3"/>
      <c r="AC169" s="3"/>
      <c r="AD169" s="3"/>
      <c r="AE169" s="3"/>
      <c r="AF169" s="3"/>
      <c r="AG169" s="3"/>
      <c r="AH169" s="3"/>
      <c r="AI169" s="3"/>
      <c r="AJ169" s="3"/>
      <c r="AK169" s="3"/>
      <c r="AL169" s="3"/>
      <c r="AM169" s="3"/>
      <c r="AN169" s="3"/>
      <c r="AO169" s="3"/>
      <c r="AP169" s="3"/>
      <c r="AQ169" s="3"/>
      <c r="AR169" s="3"/>
      <c r="AS169" s="3"/>
      <c r="AT169" s="3"/>
      <c r="AU169" s="3"/>
      <c r="AV169" s="3"/>
      <c r="AW169" s="3"/>
      <c r="AX169" s="3"/>
      <c r="AY169" s="3"/>
      <c r="AZ169" s="3"/>
      <c r="BA169" s="3"/>
      <c r="BB169" s="3"/>
      <c r="BC169" s="3"/>
      <c r="BD169" s="3"/>
    </row>
    <row r="170" spans="1:56" x14ac:dyDescent="0.25">
      <c r="A170" s="16"/>
      <c r="B170" s="16"/>
      <c r="C170" s="16"/>
      <c r="D170" s="16"/>
      <c r="E170" s="3"/>
      <c r="F170" s="3"/>
      <c r="G170" s="3"/>
      <c r="H170" s="3"/>
      <c r="I170" s="3"/>
      <c r="J170" s="3"/>
      <c r="K170" s="3"/>
      <c r="L170" s="3"/>
      <c r="N170" s="3"/>
      <c r="O170" s="3"/>
      <c r="P170" s="3"/>
      <c r="Q170" s="3"/>
      <c r="R170" s="3"/>
      <c r="S170" s="3"/>
      <c r="T170" s="3"/>
      <c r="U170" s="3"/>
      <c r="V170" s="3"/>
      <c r="W170" s="3"/>
      <c r="X170" s="3"/>
      <c r="Y170" s="3"/>
      <c r="Z170" s="3"/>
      <c r="AA170" s="3"/>
      <c r="AB170" s="3"/>
      <c r="AC170" s="3"/>
      <c r="AD170" s="3"/>
      <c r="AE170" s="3"/>
      <c r="AF170" s="3"/>
      <c r="AG170" s="3"/>
      <c r="AH170" s="3"/>
      <c r="AI170" s="3"/>
      <c r="AJ170" s="3"/>
      <c r="AK170" s="3"/>
      <c r="AL170" s="3"/>
      <c r="AM170" s="3"/>
      <c r="AN170" s="3"/>
      <c r="AO170" s="3"/>
      <c r="AP170" s="3"/>
      <c r="AQ170" s="3"/>
      <c r="AR170" s="3"/>
      <c r="AS170" s="3"/>
      <c r="AT170" s="3"/>
      <c r="AU170" s="3"/>
      <c r="AV170" s="3"/>
      <c r="AW170" s="3"/>
      <c r="AX170" s="3"/>
      <c r="AY170" s="3"/>
      <c r="AZ170" s="3"/>
      <c r="BA170" s="3"/>
      <c r="BB170" s="3"/>
      <c r="BC170" s="3"/>
      <c r="BD170" s="3"/>
    </row>
    <row r="171" spans="1:56" x14ac:dyDescent="0.25">
      <c r="A171" s="16"/>
      <c r="B171" s="16"/>
      <c r="C171" s="16"/>
      <c r="D171" s="16"/>
      <c r="E171" s="3"/>
      <c r="F171" s="3"/>
      <c r="G171" s="3"/>
      <c r="H171" s="3"/>
      <c r="I171" s="3"/>
      <c r="J171" s="3"/>
      <c r="K171" s="3"/>
      <c r="L171" s="3"/>
      <c r="N171" s="3"/>
      <c r="O171" s="3"/>
      <c r="P171" s="3"/>
      <c r="Q171" s="3"/>
      <c r="R171" s="3"/>
      <c r="S171" s="3"/>
      <c r="T171" s="3"/>
      <c r="U171" s="3"/>
      <c r="V171" s="3"/>
      <c r="W171" s="3"/>
      <c r="X171" s="3"/>
      <c r="Y171" s="3"/>
      <c r="Z171" s="3"/>
      <c r="AA171" s="3"/>
      <c r="AB171" s="3"/>
      <c r="AC171" s="3"/>
      <c r="AD171" s="3"/>
      <c r="AE171" s="3"/>
      <c r="AF171" s="3"/>
      <c r="AG171" s="3"/>
      <c r="AH171" s="3"/>
      <c r="AI171" s="3"/>
      <c r="AJ171" s="3"/>
      <c r="AK171" s="3"/>
      <c r="AL171" s="3"/>
      <c r="AM171" s="3"/>
      <c r="AN171" s="3"/>
      <c r="AO171" s="3"/>
      <c r="AP171" s="3"/>
      <c r="AQ171" s="3"/>
      <c r="AR171" s="3"/>
      <c r="AS171" s="3"/>
      <c r="AT171" s="3"/>
      <c r="AU171" s="3"/>
      <c r="AV171" s="3"/>
      <c r="AW171" s="3"/>
      <c r="AX171" s="3"/>
      <c r="AY171" s="3"/>
      <c r="AZ171" s="3"/>
      <c r="BA171" s="3"/>
      <c r="BB171" s="3"/>
      <c r="BC171" s="3"/>
      <c r="BD171" s="3"/>
    </row>
    <row r="172" spans="1:56" x14ac:dyDescent="0.25">
      <c r="A172" s="16"/>
      <c r="B172" s="16"/>
      <c r="C172" s="16"/>
      <c r="D172" s="16"/>
      <c r="E172" s="3"/>
      <c r="F172" s="3"/>
      <c r="G172" s="3"/>
      <c r="H172" s="3"/>
      <c r="I172" s="3"/>
      <c r="J172" s="3"/>
      <c r="K172" s="3"/>
      <c r="L172" s="3"/>
      <c r="N172" s="3"/>
      <c r="O172" s="3"/>
      <c r="P172" s="3"/>
      <c r="Q172" s="3"/>
      <c r="R172" s="3"/>
      <c r="S172" s="3"/>
      <c r="T172" s="3"/>
      <c r="U172" s="3"/>
      <c r="V172" s="3"/>
      <c r="W172" s="3"/>
      <c r="X172" s="3"/>
      <c r="Y172" s="3"/>
      <c r="Z172" s="3"/>
      <c r="AA172" s="3"/>
      <c r="AB172" s="3"/>
      <c r="AC172" s="3"/>
      <c r="AD172" s="3"/>
      <c r="AE172" s="3"/>
      <c r="AF172" s="3"/>
      <c r="AG172" s="3"/>
      <c r="AH172" s="3"/>
      <c r="AI172" s="3"/>
      <c r="AJ172" s="3"/>
      <c r="AK172" s="3"/>
      <c r="AL172" s="3"/>
      <c r="AM172" s="3"/>
      <c r="AN172" s="3"/>
      <c r="AO172" s="3"/>
      <c r="AP172" s="3"/>
      <c r="AQ172" s="3"/>
      <c r="AR172" s="3"/>
      <c r="AS172" s="3"/>
      <c r="AT172" s="3"/>
      <c r="AU172" s="3"/>
      <c r="AV172" s="3"/>
      <c r="AW172" s="3"/>
      <c r="AX172" s="3"/>
      <c r="AY172" s="3"/>
      <c r="AZ172" s="3"/>
      <c r="BA172" s="3"/>
      <c r="BB172" s="3"/>
      <c r="BC172" s="3"/>
      <c r="BD172" s="3"/>
    </row>
    <row r="173" spans="1:56" x14ac:dyDescent="0.25">
      <c r="A173" s="16"/>
      <c r="B173" s="16"/>
      <c r="C173" s="16"/>
      <c r="D173" s="16"/>
      <c r="E173" s="3"/>
      <c r="F173" s="3"/>
      <c r="G173" s="3"/>
      <c r="H173" s="3"/>
      <c r="I173" s="3"/>
      <c r="J173" s="3"/>
      <c r="K173" s="3"/>
      <c r="L173" s="3"/>
      <c r="N173" s="3"/>
      <c r="O173" s="3"/>
      <c r="P173" s="3"/>
      <c r="Q173" s="3"/>
      <c r="R173" s="3"/>
      <c r="S173" s="3"/>
      <c r="T173" s="3"/>
      <c r="U173" s="3"/>
      <c r="V173" s="3"/>
      <c r="W173" s="3"/>
      <c r="X173" s="3"/>
      <c r="Y173" s="3"/>
      <c r="Z173" s="3"/>
      <c r="AA173" s="3"/>
      <c r="AB173" s="3"/>
      <c r="AC173" s="3"/>
      <c r="AD173" s="3"/>
      <c r="AE173" s="3"/>
      <c r="AF173" s="3"/>
      <c r="AG173" s="3"/>
      <c r="AH173" s="3"/>
      <c r="AI173" s="3"/>
      <c r="AJ173" s="3"/>
      <c r="AK173" s="3"/>
      <c r="AL173" s="3"/>
      <c r="AM173" s="3"/>
      <c r="AN173" s="3"/>
      <c r="AO173" s="3"/>
      <c r="AP173" s="3"/>
      <c r="AQ173" s="3"/>
      <c r="AR173" s="3"/>
      <c r="AS173" s="3"/>
      <c r="AT173" s="3"/>
      <c r="AU173" s="3"/>
      <c r="AV173" s="3"/>
      <c r="AW173" s="3"/>
      <c r="AX173" s="3"/>
      <c r="AY173" s="3"/>
      <c r="AZ173" s="3"/>
      <c r="BA173" s="3"/>
      <c r="BB173" s="3"/>
      <c r="BC173" s="3"/>
      <c r="BD173" s="3"/>
    </row>
    <row r="174" spans="1:56" x14ac:dyDescent="0.25">
      <c r="A174" s="16"/>
      <c r="B174" s="16"/>
      <c r="C174" s="16"/>
      <c r="D174" s="16"/>
      <c r="E174" s="3"/>
      <c r="F174" s="3"/>
      <c r="G174" s="3"/>
      <c r="H174" s="3"/>
      <c r="I174" s="3"/>
      <c r="J174" s="3"/>
      <c r="K174" s="3"/>
      <c r="L174" s="3"/>
      <c r="N174" s="3"/>
      <c r="O174" s="3"/>
      <c r="P174" s="3"/>
      <c r="Q174" s="3"/>
      <c r="R174" s="3"/>
      <c r="S174" s="3"/>
      <c r="T174" s="3"/>
      <c r="U174" s="3"/>
      <c r="V174" s="3"/>
      <c r="W174" s="3"/>
      <c r="X174" s="3"/>
      <c r="Y174" s="3"/>
      <c r="Z174" s="3"/>
      <c r="AA174" s="3"/>
      <c r="AB174" s="3"/>
      <c r="AC174" s="3"/>
      <c r="AD174" s="3"/>
      <c r="AE174" s="3"/>
      <c r="AF174" s="3"/>
      <c r="AG174" s="3"/>
      <c r="AH174" s="3"/>
      <c r="AI174" s="3"/>
      <c r="AJ174" s="3"/>
      <c r="AK174" s="3"/>
      <c r="AL174" s="3"/>
      <c r="AM174" s="3"/>
      <c r="AN174" s="3"/>
      <c r="AO174" s="3"/>
      <c r="AP174" s="3"/>
      <c r="AQ174" s="3"/>
      <c r="AR174" s="3"/>
      <c r="AS174" s="3"/>
      <c r="AT174" s="3"/>
      <c r="AU174" s="3"/>
      <c r="AV174" s="3"/>
      <c r="AW174" s="3"/>
      <c r="AX174" s="3"/>
      <c r="AY174" s="3"/>
      <c r="AZ174" s="3"/>
      <c r="BA174" s="3"/>
      <c r="BB174" s="3"/>
      <c r="BC174" s="3"/>
      <c r="BD174" s="3"/>
    </row>
    <row r="175" spans="1:56" x14ac:dyDescent="0.25">
      <c r="A175" s="16"/>
      <c r="B175" s="16"/>
      <c r="C175" s="16"/>
      <c r="D175" s="16"/>
      <c r="E175" s="3"/>
      <c r="F175" s="3"/>
      <c r="G175" s="3"/>
      <c r="H175" s="3"/>
      <c r="I175" s="3"/>
      <c r="J175" s="3"/>
      <c r="K175" s="3"/>
      <c r="L175" s="3"/>
      <c r="N175" s="3"/>
      <c r="O175" s="3"/>
      <c r="P175" s="3"/>
      <c r="Q175" s="3"/>
      <c r="R175" s="3"/>
      <c r="S175" s="3"/>
      <c r="T175" s="3"/>
      <c r="U175" s="3"/>
      <c r="V175" s="3"/>
      <c r="W175" s="3"/>
      <c r="X175" s="3"/>
      <c r="Y175" s="3"/>
      <c r="Z175" s="3"/>
      <c r="AA175" s="3"/>
      <c r="AB175" s="3"/>
      <c r="AC175" s="3"/>
      <c r="AD175" s="3"/>
      <c r="AE175" s="3"/>
      <c r="AF175" s="3"/>
      <c r="AG175" s="3"/>
      <c r="AH175" s="3"/>
      <c r="AI175" s="3"/>
      <c r="AJ175" s="3"/>
      <c r="AK175" s="3"/>
      <c r="AL175" s="3"/>
      <c r="AM175" s="3"/>
      <c r="AN175" s="3"/>
      <c r="AO175" s="3"/>
      <c r="AP175" s="3"/>
      <c r="AQ175" s="3"/>
      <c r="AR175" s="3"/>
      <c r="AS175" s="3"/>
      <c r="AT175" s="3"/>
      <c r="AU175" s="3"/>
      <c r="AV175" s="3"/>
      <c r="AW175" s="3"/>
      <c r="AX175" s="3"/>
      <c r="AY175" s="3"/>
      <c r="AZ175" s="3"/>
      <c r="BA175" s="3"/>
      <c r="BB175" s="3"/>
      <c r="BC175" s="3"/>
      <c r="BD175" s="3"/>
    </row>
    <row r="176" spans="1:56" x14ac:dyDescent="0.25">
      <c r="A176" s="16"/>
      <c r="B176" s="16"/>
      <c r="C176" s="16"/>
      <c r="D176" s="16"/>
      <c r="E176" s="3"/>
      <c r="F176" s="3"/>
      <c r="G176" s="3"/>
      <c r="H176" s="3"/>
      <c r="I176" s="3"/>
      <c r="J176" s="3"/>
      <c r="K176" s="3"/>
      <c r="L176" s="3"/>
      <c r="N176" s="3"/>
      <c r="O176" s="3"/>
      <c r="P176" s="3"/>
      <c r="Q176" s="3"/>
      <c r="R176" s="3"/>
      <c r="S176" s="3"/>
      <c r="T176" s="3"/>
      <c r="U176" s="3"/>
      <c r="V176" s="3"/>
      <c r="W176" s="3"/>
      <c r="X176" s="3"/>
      <c r="Y176" s="3"/>
      <c r="Z176" s="3"/>
      <c r="AA176" s="3"/>
      <c r="AB176" s="3"/>
      <c r="AC176" s="3"/>
      <c r="AD176" s="3"/>
      <c r="AE176" s="3"/>
      <c r="AF176" s="3"/>
      <c r="AG176" s="3"/>
      <c r="AH176" s="3"/>
      <c r="AI176" s="3"/>
      <c r="AJ176" s="3"/>
      <c r="AK176" s="3"/>
      <c r="AL176" s="3"/>
      <c r="AM176" s="3"/>
      <c r="AN176" s="3"/>
      <c r="AO176" s="3"/>
      <c r="AP176" s="3"/>
      <c r="AQ176" s="3"/>
      <c r="AR176" s="3"/>
      <c r="AS176" s="3"/>
      <c r="AT176" s="3"/>
      <c r="AU176" s="3"/>
      <c r="AV176" s="3"/>
      <c r="AW176" s="3"/>
      <c r="AX176" s="3"/>
      <c r="AY176" s="3"/>
      <c r="AZ176" s="3"/>
      <c r="BA176" s="3"/>
      <c r="BB176" s="3"/>
      <c r="BC176" s="3"/>
      <c r="BD176" s="3"/>
    </row>
    <row r="177" spans="1:56" x14ac:dyDescent="0.25">
      <c r="A177" s="16"/>
      <c r="B177" s="16"/>
      <c r="C177" s="16"/>
      <c r="D177" s="16"/>
      <c r="E177" s="3"/>
      <c r="F177" s="3"/>
      <c r="G177" s="3"/>
      <c r="H177" s="3"/>
      <c r="I177" s="3"/>
      <c r="J177" s="3"/>
      <c r="K177" s="3"/>
      <c r="L177" s="3"/>
      <c r="N177" s="3"/>
      <c r="O177" s="3"/>
      <c r="P177" s="3"/>
      <c r="Q177" s="3"/>
      <c r="R177" s="3"/>
      <c r="S177" s="3"/>
      <c r="T177" s="3"/>
      <c r="U177" s="3"/>
      <c r="V177" s="3"/>
      <c r="W177" s="3"/>
      <c r="X177" s="3"/>
      <c r="Y177" s="3"/>
      <c r="Z177" s="3"/>
      <c r="AA177" s="3"/>
      <c r="AB177" s="3"/>
      <c r="AC177" s="3"/>
      <c r="AD177" s="3"/>
      <c r="AE177" s="3"/>
      <c r="AF177" s="3"/>
      <c r="AG177" s="3"/>
      <c r="AH177" s="3"/>
      <c r="AI177" s="3"/>
      <c r="AJ177" s="3"/>
      <c r="AK177" s="3"/>
      <c r="AL177" s="3"/>
      <c r="AM177" s="3"/>
      <c r="AN177" s="3"/>
      <c r="AO177" s="3"/>
      <c r="AP177" s="3"/>
      <c r="AQ177" s="3"/>
      <c r="AR177" s="3"/>
      <c r="AS177" s="3"/>
      <c r="AT177" s="3"/>
      <c r="AU177" s="3"/>
      <c r="AV177" s="3"/>
      <c r="AW177" s="3"/>
      <c r="AX177" s="3"/>
      <c r="AY177" s="3"/>
      <c r="AZ177" s="3"/>
      <c r="BA177" s="3"/>
      <c r="BB177" s="3"/>
      <c r="BC177" s="3"/>
      <c r="BD177" s="3"/>
    </row>
    <row r="178" spans="1:56" x14ac:dyDescent="0.25">
      <c r="A178" s="16"/>
      <c r="B178" s="16"/>
      <c r="C178" s="16"/>
      <c r="D178" s="16"/>
      <c r="E178" s="3"/>
      <c r="F178" s="3"/>
      <c r="G178" s="3"/>
      <c r="H178" s="3"/>
      <c r="I178" s="3"/>
      <c r="J178" s="3"/>
      <c r="K178" s="3"/>
      <c r="L178" s="3"/>
      <c r="N178" s="3"/>
      <c r="O178" s="3"/>
      <c r="P178" s="3"/>
      <c r="Q178" s="3"/>
      <c r="R178" s="3"/>
      <c r="S178" s="3"/>
      <c r="T178" s="3"/>
      <c r="U178" s="3"/>
      <c r="V178" s="3"/>
      <c r="W178" s="3"/>
      <c r="X178" s="3"/>
      <c r="Y178" s="3"/>
      <c r="Z178" s="3"/>
      <c r="AA178" s="3"/>
      <c r="AB178" s="3"/>
      <c r="AC178" s="3"/>
      <c r="AD178" s="3"/>
      <c r="AE178" s="3"/>
      <c r="AF178" s="3"/>
      <c r="AG178" s="3"/>
      <c r="AH178" s="3"/>
      <c r="AI178" s="3"/>
      <c r="AJ178" s="3"/>
      <c r="AK178" s="3"/>
      <c r="AL178" s="3"/>
      <c r="AM178" s="3"/>
      <c r="AN178" s="3"/>
      <c r="AO178" s="3"/>
      <c r="AP178" s="3"/>
      <c r="AQ178" s="3"/>
      <c r="AR178" s="3"/>
      <c r="AS178" s="3"/>
      <c r="AT178" s="3"/>
      <c r="AU178" s="3"/>
      <c r="AV178" s="3"/>
      <c r="AW178" s="3"/>
      <c r="AX178" s="3"/>
      <c r="AY178" s="3"/>
      <c r="AZ178" s="3"/>
      <c r="BA178" s="3"/>
      <c r="BB178" s="3"/>
      <c r="BC178" s="3"/>
      <c r="BD178" s="3"/>
    </row>
    <row r="179" spans="1:56" x14ac:dyDescent="0.25">
      <c r="A179" s="16"/>
      <c r="B179" s="16"/>
      <c r="C179" s="16"/>
      <c r="D179" s="16"/>
      <c r="E179" s="3"/>
      <c r="F179" s="3"/>
      <c r="G179" s="3"/>
      <c r="H179" s="3"/>
      <c r="I179" s="3"/>
      <c r="J179" s="3"/>
      <c r="K179" s="3"/>
      <c r="L179" s="3"/>
      <c r="N179" s="3"/>
      <c r="O179" s="3"/>
      <c r="P179" s="3"/>
      <c r="Q179" s="3"/>
      <c r="R179" s="3"/>
      <c r="S179" s="3"/>
      <c r="T179" s="3"/>
      <c r="U179" s="3"/>
      <c r="V179" s="3"/>
      <c r="W179" s="3"/>
      <c r="X179" s="3"/>
      <c r="Y179" s="3"/>
      <c r="Z179" s="3"/>
      <c r="AA179" s="3"/>
      <c r="AB179" s="3"/>
      <c r="AC179" s="3"/>
      <c r="AD179" s="3"/>
      <c r="AE179" s="3"/>
      <c r="AF179" s="3"/>
      <c r="AG179" s="3"/>
      <c r="AH179" s="3"/>
      <c r="AI179" s="3"/>
      <c r="AJ179" s="3"/>
      <c r="AK179" s="3"/>
      <c r="AL179" s="3"/>
      <c r="AM179" s="3"/>
      <c r="AN179" s="3"/>
      <c r="AO179" s="3"/>
      <c r="AP179" s="3"/>
      <c r="AQ179" s="3"/>
      <c r="AR179" s="3"/>
      <c r="AS179" s="3"/>
      <c r="AT179" s="3"/>
      <c r="AU179" s="3"/>
      <c r="AV179" s="3"/>
      <c r="AW179" s="3"/>
      <c r="AX179" s="3"/>
      <c r="AY179" s="3"/>
      <c r="AZ179" s="3"/>
      <c r="BA179" s="3"/>
      <c r="BB179" s="3"/>
      <c r="BC179" s="3"/>
      <c r="BD179" s="3"/>
    </row>
    <row r="180" spans="1:56" x14ac:dyDescent="0.25">
      <c r="A180" s="16"/>
      <c r="B180" s="16"/>
      <c r="C180" s="16"/>
      <c r="D180" s="16"/>
      <c r="E180" s="3"/>
      <c r="F180" s="3"/>
      <c r="G180" s="3"/>
      <c r="H180" s="3"/>
      <c r="I180" s="3"/>
      <c r="J180" s="3"/>
      <c r="K180" s="3"/>
      <c r="L180" s="3"/>
      <c r="N180" s="3"/>
      <c r="O180" s="3"/>
      <c r="P180" s="3"/>
      <c r="Q180" s="3"/>
      <c r="R180" s="3"/>
      <c r="S180" s="3"/>
      <c r="T180" s="3"/>
      <c r="U180" s="3"/>
      <c r="V180" s="3"/>
      <c r="W180" s="3"/>
      <c r="X180" s="3"/>
      <c r="Y180" s="3"/>
      <c r="Z180" s="3"/>
      <c r="AA180" s="3"/>
      <c r="AB180" s="3"/>
      <c r="AC180" s="3"/>
      <c r="AD180" s="3"/>
      <c r="AE180" s="3"/>
      <c r="AF180" s="3"/>
      <c r="AG180" s="3"/>
      <c r="AH180" s="3"/>
      <c r="AI180" s="3"/>
      <c r="AJ180" s="3"/>
      <c r="AK180" s="3"/>
      <c r="AL180" s="3"/>
      <c r="AM180" s="3"/>
      <c r="AN180" s="3"/>
      <c r="AO180" s="3"/>
      <c r="AP180" s="3"/>
      <c r="AQ180" s="3"/>
      <c r="AR180" s="3"/>
      <c r="AS180" s="3"/>
      <c r="AT180" s="3"/>
      <c r="AU180" s="3"/>
      <c r="AV180" s="3"/>
      <c r="AW180" s="3"/>
      <c r="AX180" s="3"/>
      <c r="AY180" s="3"/>
      <c r="AZ180" s="3"/>
      <c r="BA180" s="3"/>
      <c r="BB180" s="3"/>
      <c r="BC180" s="3"/>
      <c r="BD180" s="3"/>
    </row>
    <row r="181" spans="1:56" x14ac:dyDescent="0.25">
      <c r="A181" s="16"/>
      <c r="B181" s="16"/>
      <c r="C181" s="16"/>
      <c r="D181" s="16"/>
      <c r="E181" s="3"/>
      <c r="F181" s="3"/>
      <c r="G181" s="3"/>
      <c r="H181" s="3"/>
      <c r="I181" s="3"/>
      <c r="J181" s="3"/>
      <c r="K181" s="3"/>
      <c r="L181" s="3"/>
      <c r="N181" s="3"/>
      <c r="O181" s="3"/>
      <c r="P181" s="3"/>
      <c r="Q181" s="3"/>
      <c r="R181" s="3"/>
      <c r="S181" s="3"/>
      <c r="T181" s="3"/>
      <c r="U181" s="3"/>
      <c r="V181" s="3"/>
      <c r="W181" s="3"/>
      <c r="X181" s="3"/>
      <c r="Y181" s="3"/>
      <c r="Z181" s="3"/>
      <c r="AA181" s="3"/>
      <c r="AB181" s="3"/>
      <c r="AC181" s="3"/>
      <c r="AD181" s="3"/>
      <c r="AE181" s="3"/>
      <c r="AF181" s="3"/>
      <c r="AG181" s="3"/>
      <c r="AH181" s="3"/>
      <c r="AI181" s="3"/>
      <c r="AJ181" s="3"/>
      <c r="AK181" s="3"/>
      <c r="AL181" s="3"/>
      <c r="AM181" s="3"/>
      <c r="AN181" s="3"/>
      <c r="AO181" s="3"/>
      <c r="AP181" s="3"/>
      <c r="AQ181" s="3"/>
      <c r="AR181" s="3"/>
      <c r="AS181" s="3"/>
      <c r="AT181" s="3"/>
      <c r="AU181" s="3"/>
      <c r="AV181" s="3"/>
      <c r="AW181" s="3"/>
      <c r="AX181" s="3"/>
      <c r="AY181" s="3"/>
      <c r="AZ181" s="3"/>
      <c r="BA181" s="3"/>
      <c r="BB181" s="3"/>
      <c r="BC181" s="3"/>
      <c r="BD181" s="3"/>
    </row>
    <row r="182" spans="1:56" x14ac:dyDescent="0.25">
      <c r="A182" s="16"/>
      <c r="B182" s="16"/>
      <c r="C182" s="16"/>
      <c r="D182" s="16"/>
      <c r="E182" s="3"/>
      <c r="F182" s="3"/>
      <c r="G182" s="3"/>
      <c r="H182" s="3"/>
      <c r="I182" s="3"/>
      <c r="J182" s="3"/>
      <c r="K182" s="3"/>
      <c r="L182" s="3"/>
      <c r="N182" s="3"/>
      <c r="O182" s="3"/>
      <c r="P182" s="3"/>
      <c r="Q182" s="3"/>
      <c r="R182" s="3"/>
      <c r="S182" s="3"/>
      <c r="T182" s="3"/>
      <c r="U182" s="3"/>
      <c r="V182" s="3"/>
      <c r="W182" s="3"/>
      <c r="X182" s="3"/>
      <c r="Y182" s="3"/>
      <c r="Z182" s="3"/>
      <c r="AA182" s="3"/>
      <c r="AB182" s="3"/>
      <c r="AC182" s="3"/>
      <c r="AD182" s="3"/>
      <c r="AE182" s="3"/>
      <c r="AF182" s="3"/>
      <c r="AG182" s="3"/>
      <c r="AH182" s="3"/>
      <c r="AI182" s="3"/>
      <c r="AJ182" s="3"/>
      <c r="AK182" s="3"/>
      <c r="AL182" s="3"/>
      <c r="AM182" s="3"/>
      <c r="AN182" s="3"/>
      <c r="AO182" s="3"/>
      <c r="AP182" s="3"/>
      <c r="AQ182" s="3"/>
      <c r="AR182" s="3"/>
      <c r="AS182" s="3"/>
      <c r="AT182" s="3"/>
      <c r="AU182" s="3"/>
      <c r="AV182" s="3"/>
      <c r="AW182" s="3"/>
      <c r="AX182" s="3"/>
      <c r="AY182" s="3"/>
      <c r="AZ182" s="3"/>
      <c r="BA182" s="3"/>
      <c r="BB182" s="3"/>
      <c r="BC182" s="3"/>
      <c r="BD182" s="3"/>
    </row>
    <row r="183" spans="1:56" x14ac:dyDescent="0.25">
      <c r="A183" s="16"/>
      <c r="B183" s="16"/>
      <c r="C183" s="16"/>
      <c r="D183" s="16"/>
      <c r="E183" s="3"/>
      <c r="F183" s="3"/>
      <c r="G183" s="3"/>
      <c r="H183" s="3"/>
      <c r="I183" s="3"/>
      <c r="J183" s="3"/>
      <c r="K183" s="3"/>
      <c r="L183" s="3"/>
      <c r="N183" s="3"/>
      <c r="O183" s="3"/>
      <c r="P183" s="3"/>
      <c r="Q183" s="3"/>
      <c r="R183" s="3"/>
      <c r="S183" s="3"/>
      <c r="T183" s="3"/>
      <c r="U183" s="3"/>
      <c r="V183" s="3"/>
      <c r="W183" s="3"/>
      <c r="X183" s="3"/>
      <c r="Y183" s="3"/>
      <c r="Z183" s="3"/>
      <c r="AA183" s="3"/>
      <c r="AB183" s="3"/>
      <c r="AC183" s="3"/>
      <c r="AD183" s="3"/>
      <c r="AE183" s="3"/>
      <c r="AF183" s="3"/>
      <c r="AG183" s="3"/>
      <c r="AH183" s="3"/>
      <c r="AI183" s="3"/>
      <c r="AJ183" s="3"/>
      <c r="AK183" s="3"/>
      <c r="AL183" s="3"/>
      <c r="AM183" s="3"/>
      <c r="AN183" s="3"/>
      <c r="AO183" s="3"/>
      <c r="AP183" s="3"/>
      <c r="AQ183" s="3"/>
      <c r="AR183" s="3"/>
      <c r="AS183" s="3"/>
      <c r="AT183" s="3"/>
      <c r="AU183" s="3"/>
      <c r="AV183" s="3"/>
      <c r="AW183" s="3"/>
      <c r="AX183" s="3"/>
      <c r="AY183" s="3"/>
      <c r="AZ183" s="3"/>
      <c r="BA183" s="3"/>
      <c r="BB183" s="3"/>
      <c r="BC183" s="3"/>
      <c r="BD183" s="3"/>
    </row>
    <row r="184" spans="1:56" x14ac:dyDescent="0.25">
      <c r="A184" s="16"/>
      <c r="B184" s="16"/>
      <c r="C184" s="16"/>
      <c r="D184" s="16"/>
      <c r="E184" s="3"/>
      <c r="F184" s="3"/>
      <c r="G184" s="3"/>
      <c r="H184" s="3"/>
      <c r="I184" s="3"/>
      <c r="J184" s="3"/>
      <c r="K184" s="3"/>
      <c r="L184" s="3"/>
      <c r="N184" s="3"/>
      <c r="O184" s="3"/>
      <c r="P184" s="3"/>
      <c r="Q184" s="3"/>
      <c r="R184" s="3"/>
      <c r="S184" s="3"/>
      <c r="T184" s="3"/>
      <c r="U184" s="3"/>
      <c r="V184" s="3"/>
      <c r="W184" s="3"/>
      <c r="X184" s="3"/>
      <c r="Y184" s="3"/>
      <c r="Z184" s="3"/>
      <c r="AA184" s="3"/>
      <c r="AB184" s="3"/>
      <c r="AC184" s="3"/>
      <c r="AD184" s="3"/>
      <c r="AE184" s="3"/>
      <c r="AF184" s="3"/>
      <c r="AG184" s="3"/>
      <c r="AH184" s="3"/>
      <c r="AI184" s="3"/>
      <c r="AJ184" s="3"/>
      <c r="AK184" s="3"/>
      <c r="AL184" s="3"/>
      <c r="AM184" s="3"/>
      <c r="AN184" s="3"/>
      <c r="AO184" s="3"/>
      <c r="AP184" s="3"/>
      <c r="AQ184" s="3"/>
      <c r="AR184" s="3"/>
      <c r="AS184" s="3"/>
      <c r="AT184" s="3"/>
      <c r="AU184" s="3"/>
      <c r="AV184" s="3"/>
      <c r="AW184" s="3"/>
      <c r="AX184" s="3"/>
      <c r="AY184" s="3"/>
      <c r="AZ184" s="3"/>
      <c r="BA184" s="3"/>
      <c r="BB184" s="3"/>
      <c r="BC184" s="3"/>
      <c r="BD184" s="3"/>
    </row>
    <row r="185" spans="1:56" x14ac:dyDescent="0.25">
      <c r="A185" s="16"/>
      <c r="B185" s="16"/>
      <c r="C185" s="16"/>
      <c r="D185" s="16"/>
      <c r="E185" s="3"/>
      <c r="F185" s="3"/>
      <c r="G185" s="3"/>
      <c r="H185" s="3"/>
      <c r="I185" s="3"/>
      <c r="J185" s="3"/>
      <c r="K185" s="3"/>
      <c r="L185" s="3"/>
      <c r="N185" s="3"/>
      <c r="O185" s="3"/>
      <c r="P185" s="3"/>
      <c r="Q185" s="3"/>
      <c r="R185" s="3"/>
      <c r="S185" s="3"/>
      <c r="T185" s="3"/>
      <c r="U185" s="3"/>
      <c r="V185" s="3"/>
      <c r="W185" s="3"/>
      <c r="X185" s="3"/>
      <c r="Y185" s="3"/>
      <c r="Z185" s="3"/>
      <c r="AA185" s="3"/>
      <c r="AB185" s="3"/>
      <c r="AC185" s="3"/>
      <c r="AD185" s="3"/>
      <c r="AE185" s="3"/>
      <c r="AF185" s="3"/>
      <c r="AG185" s="3"/>
      <c r="AH185" s="3"/>
      <c r="AI185" s="3"/>
      <c r="AJ185" s="3"/>
      <c r="AK185" s="3"/>
      <c r="AL185" s="3"/>
      <c r="AM185" s="3"/>
      <c r="AN185" s="3"/>
      <c r="AO185" s="3"/>
      <c r="AP185" s="3"/>
      <c r="AQ185" s="3"/>
      <c r="AR185" s="3"/>
      <c r="AS185" s="3"/>
      <c r="AT185" s="3"/>
      <c r="AU185" s="3"/>
      <c r="AV185" s="3"/>
      <c r="AW185" s="3"/>
      <c r="AX185" s="3"/>
      <c r="AY185" s="3"/>
      <c r="AZ185" s="3"/>
      <c r="BA185" s="3"/>
      <c r="BB185" s="3"/>
      <c r="BC185" s="3"/>
      <c r="BD185" s="3"/>
    </row>
    <row r="186" spans="1:56" x14ac:dyDescent="0.25">
      <c r="A186" s="16"/>
      <c r="B186" s="16"/>
      <c r="C186" s="16"/>
      <c r="D186" s="16"/>
      <c r="E186" s="3"/>
      <c r="F186" s="3"/>
      <c r="G186" s="3"/>
      <c r="H186" s="3"/>
      <c r="I186" s="3"/>
      <c r="J186" s="3"/>
      <c r="K186" s="3"/>
      <c r="L186" s="3"/>
      <c r="N186" s="3"/>
      <c r="O186" s="3"/>
      <c r="P186" s="3"/>
      <c r="Q186" s="3"/>
      <c r="R186" s="3"/>
      <c r="S186" s="3"/>
      <c r="T186" s="3"/>
      <c r="U186" s="3"/>
      <c r="V186" s="3"/>
      <c r="W186" s="3"/>
      <c r="X186" s="3"/>
      <c r="Y186" s="3"/>
      <c r="Z186" s="3"/>
      <c r="AA186" s="3"/>
      <c r="AB186" s="3"/>
      <c r="AC186" s="3"/>
      <c r="AD186" s="3"/>
      <c r="AE186" s="3"/>
      <c r="AF186" s="3"/>
      <c r="AG186" s="3"/>
      <c r="AH186" s="3"/>
      <c r="AI186" s="3"/>
      <c r="AJ186" s="3"/>
      <c r="AK186" s="3"/>
      <c r="AL186" s="3"/>
      <c r="AM186" s="3"/>
      <c r="AN186" s="3"/>
      <c r="AO186" s="3"/>
      <c r="AP186" s="3"/>
      <c r="AQ186" s="3"/>
      <c r="AR186" s="3"/>
      <c r="AS186" s="3"/>
      <c r="AT186" s="3"/>
      <c r="AU186" s="3"/>
      <c r="AV186" s="3"/>
      <c r="AW186" s="3"/>
      <c r="AX186" s="3"/>
      <c r="AY186" s="3"/>
      <c r="AZ186" s="3"/>
      <c r="BA186" s="3"/>
      <c r="BB186" s="3"/>
      <c r="BC186" s="3"/>
      <c r="BD186" s="3"/>
    </row>
    <row r="187" spans="1:56" x14ac:dyDescent="0.25">
      <c r="A187" s="16"/>
      <c r="B187" s="16"/>
      <c r="C187" s="16"/>
      <c r="D187" s="16"/>
      <c r="E187" s="3"/>
      <c r="F187" s="3"/>
      <c r="G187" s="3"/>
      <c r="H187" s="3"/>
      <c r="I187" s="3"/>
      <c r="J187" s="3"/>
      <c r="K187" s="3"/>
      <c r="L187" s="3"/>
      <c r="N187" s="3"/>
      <c r="O187" s="3"/>
      <c r="P187" s="3"/>
      <c r="Q187" s="3"/>
      <c r="R187" s="3"/>
      <c r="S187" s="3"/>
      <c r="T187" s="3"/>
      <c r="U187" s="3"/>
      <c r="V187" s="3"/>
      <c r="W187" s="3"/>
      <c r="X187" s="3"/>
      <c r="Y187" s="3"/>
      <c r="Z187" s="3"/>
      <c r="AA187" s="3"/>
      <c r="AB187" s="3"/>
      <c r="AC187" s="3"/>
      <c r="AD187" s="3"/>
      <c r="AE187" s="3"/>
      <c r="AF187" s="3"/>
      <c r="AG187" s="3"/>
      <c r="AH187" s="3"/>
      <c r="AI187" s="3"/>
      <c r="AJ187" s="3"/>
      <c r="AK187" s="3"/>
      <c r="AL187" s="3"/>
      <c r="AM187" s="3"/>
      <c r="AN187" s="3"/>
      <c r="AO187" s="3"/>
      <c r="AP187" s="3"/>
      <c r="AQ187" s="3"/>
      <c r="AR187" s="3"/>
      <c r="AS187" s="3"/>
      <c r="AT187" s="3"/>
      <c r="AU187" s="3"/>
      <c r="AV187" s="3"/>
      <c r="AW187" s="3"/>
      <c r="AX187" s="3"/>
      <c r="AY187" s="3"/>
      <c r="AZ187" s="3"/>
      <c r="BA187" s="3"/>
      <c r="BB187" s="3"/>
      <c r="BC187" s="3"/>
      <c r="BD187" s="3"/>
    </row>
    <row r="188" spans="1:56" x14ac:dyDescent="0.25">
      <c r="A188" s="16"/>
      <c r="B188" s="16"/>
      <c r="C188" s="16"/>
      <c r="D188" s="16"/>
      <c r="E188" s="3"/>
      <c r="F188" s="3"/>
      <c r="G188" s="3"/>
      <c r="H188" s="3"/>
      <c r="I188" s="3"/>
      <c r="J188" s="3"/>
      <c r="K188" s="3"/>
      <c r="L188" s="3"/>
      <c r="N188" s="3"/>
      <c r="O188" s="3"/>
      <c r="P188" s="3"/>
      <c r="Q188" s="3"/>
      <c r="R188" s="3"/>
      <c r="S188" s="3"/>
      <c r="T188" s="3"/>
      <c r="U188" s="3"/>
      <c r="V188" s="3"/>
      <c r="W188" s="3"/>
      <c r="X188" s="3"/>
      <c r="Y188" s="3"/>
      <c r="Z188" s="3"/>
      <c r="AA188" s="3"/>
      <c r="AB188" s="3"/>
      <c r="AC188" s="3"/>
      <c r="AD188" s="3"/>
      <c r="AE188" s="3"/>
      <c r="AF188" s="3"/>
      <c r="AG188" s="3"/>
      <c r="AH188" s="3"/>
      <c r="AI188" s="3"/>
      <c r="AJ188" s="3"/>
      <c r="AK188" s="3"/>
      <c r="AL188" s="3"/>
      <c r="AM188" s="3"/>
      <c r="AN188" s="3"/>
      <c r="AO188" s="3"/>
      <c r="AP188" s="3"/>
      <c r="AQ188" s="3"/>
      <c r="AR188" s="3"/>
      <c r="AS188" s="3"/>
      <c r="AT188" s="3"/>
      <c r="AU188" s="3"/>
      <c r="AV188" s="3"/>
      <c r="AW188" s="3"/>
      <c r="AX188" s="3"/>
      <c r="AY188" s="3"/>
      <c r="AZ188" s="3"/>
      <c r="BA188" s="3"/>
      <c r="BB188" s="3"/>
      <c r="BC188" s="3"/>
      <c r="BD188" s="3"/>
    </row>
    <row r="189" spans="1:56" x14ac:dyDescent="0.25">
      <c r="A189" s="16"/>
      <c r="B189" s="16"/>
      <c r="C189" s="16"/>
      <c r="D189" s="16"/>
      <c r="E189" s="3"/>
      <c r="F189" s="3"/>
      <c r="G189" s="3"/>
      <c r="H189" s="3"/>
      <c r="I189" s="3"/>
      <c r="J189" s="3"/>
      <c r="K189" s="3"/>
      <c r="L189" s="3"/>
      <c r="N189" s="3"/>
      <c r="O189" s="3"/>
      <c r="P189" s="3"/>
      <c r="Q189" s="3"/>
      <c r="R189" s="3"/>
      <c r="S189" s="3"/>
      <c r="T189" s="3"/>
      <c r="U189" s="3"/>
      <c r="V189" s="3"/>
      <c r="W189" s="3"/>
      <c r="X189" s="3"/>
      <c r="Y189" s="3"/>
      <c r="Z189" s="3"/>
      <c r="AA189" s="3"/>
      <c r="AB189" s="3"/>
      <c r="AC189" s="3"/>
      <c r="AD189" s="3"/>
      <c r="AE189" s="3"/>
      <c r="AF189" s="3"/>
      <c r="AG189" s="3"/>
      <c r="AH189" s="3"/>
      <c r="AI189" s="3"/>
      <c r="AJ189" s="3"/>
      <c r="AK189" s="3"/>
      <c r="AL189" s="3"/>
      <c r="AM189" s="3"/>
      <c r="AN189" s="3"/>
      <c r="AO189" s="3"/>
      <c r="AP189" s="3"/>
      <c r="AQ189" s="3"/>
      <c r="AR189" s="3"/>
      <c r="AS189" s="3"/>
      <c r="AT189" s="3"/>
      <c r="AU189" s="3"/>
      <c r="AV189" s="3"/>
      <c r="AW189" s="3"/>
      <c r="AX189" s="3"/>
      <c r="AY189" s="3"/>
      <c r="AZ189" s="3"/>
      <c r="BA189" s="3"/>
      <c r="BB189" s="3"/>
      <c r="BC189" s="3"/>
      <c r="BD189" s="3"/>
    </row>
    <row r="190" spans="1:56" x14ac:dyDescent="0.25">
      <c r="A190" s="16"/>
      <c r="B190" s="16"/>
      <c r="C190" s="16"/>
      <c r="D190" s="16"/>
      <c r="E190" s="3"/>
      <c r="F190" s="3"/>
      <c r="G190" s="3"/>
      <c r="H190" s="3"/>
      <c r="I190" s="3"/>
      <c r="J190" s="3"/>
      <c r="K190" s="3"/>
      <c r="L190" s="3"/>
      <c r="N190" s="3"/>
      <c r="O190" s="3"/>
      <c r="P190" s="3"/>
      <c r="Q190" s="3"/>
      <c r="R190" s="3"/>
      <c r="S190" s="3"/>
      <c r="T190" s="3"/>
      <c r="U190" s="3"/>
      <c r="V190" s="3"/>
      <c r="W190" s="3"/>
      <c r="X190" s="3"/>
      <c r="Y190" s="3"/>
      <c r="Z190" s="3"/>
      <c r="AA190" s="3"/>
      <c r="AB190" s="3"/>
      <c r="AC190" s="3"/>
      <c r="AD190" s="3"/>
      <c r="AE190" s="3"/>
      <c r="AF190" s="3"/>
      <c r="AG190" s="3"/>
      <c r="AH190" s="3"/>
      <c r="AI190" s="3"/>
      <c r="AJ190" s="3"/>
      <c r="AK190" s="3"/>
      <c r="AL190" s="3"/>
      <c r="AM190" s="3"/>
      <c r="AN190" s="3"/>
      <c r="AO190" s="3"/>
      <c r="AP190" s="3"/>
      <c r="AQ190" s="3"/>
      <c r="AR190" s="3"/>
      <c r="AS190" s="3"/>
      <c r="AT190" s="3"/>
      <c r="AU190" s="3"/>
      <c r="AV190" s="3"/>
      <c r="AW190" s="3"/>
      <c r="AX190" s="3"/>
      <c r="AY190" s="3"/>
      <c r="AZ190" s="3"/>
      <c r="BA190" s="3"/>
      <c r="BB190" s="3"/>
      <c r="BC190" s="3"/>
      <c r="BD190" s="3"/>
    </row>
    <row r="191" spans="1:56" x14ac:dyDescent="0.25">
      <c r="A191" s="16"/>
      <c r="B191" s="16"/>
      <c r="C191" s="16"/>
      <c r="D191" s="16"/>
      <c r="E191" s="3"/>
      <c r="F191" s="3"/>
      <c r="G191" s="3"/>
      <c r="H191" s="3"/>
      <c r="I191" s="3"/>
      <c r="J191" s="3"/>
      <c r="K191" s="3"/>
      <c r="L191" s="3"/>
      <c r="N191" s="3"/>
      <c r="O191" s="3"/>
      <c r="P191" s="3"/>
      <c r="Q191" s="3"/>
      <c r="R191" s="3"/>
      <c r="S191" s="3"/>
      <c r="T191" s="3"/>
      <c r="U191" s="3"/>
      <c r="V191" s="3"/>
      <c r="W191" s="3"/>
      <c r="X191" s="3"/>
      <c r="Y191" s="3"/>
      <c r="Z191" s="3"/>
      <c r="AA191" s="3"/>
      <c r="AB191" s="3"/>
      <c r="AC191" s="3"/>
      <c r="AD191" s="3"/>
      <c r="AE191" s="3"/>
      <c r="AF191" s="3"/>
      <c r="AG191" s="3"/>
      <c r="AH191" s="3"/>
      <c r="AI191" s="3"/>
      <c r="AJ191" s="3"/>
      <c r="AK191" s="3"/>
      <c r="AL191" s="3"/>
      <c r="AM191" s="3"/>
      <c r="AN191" s="3"/>
      <c r="AO191" s="3"/>
      <c r="AP191" s="3"/>
      <c r="AQ191" s="3"/>
      <c r="AR191" s="3"/>
      <c r="AS191" s="3"/>
      <c r="AT191" s="3"/>
      <c r="AU191" s="3"/>
      <c r="AV191" s="3"/>
      <c r="AW191" s="3"/>
      <c r="AX191" s="3"/>
      <c r="AY191" s="3"/>
      <c r="AZ191" s="3"/>
      <c r="BA191" s="3"/>
      <c r="BB191" s="3"/>
      <c r="BC191" s="3"/>
      <c r="BD191" s="3"/>
    </row>
    <row r="192" spans="1:56" x14ac:dyDescent="0.25">
      <c r="A192" s="16"/>
      <c r="B192" s="16"/>
      <c r="C192" s="16"/>
      <c r="D192" s="16"/>
      <c r="E192" s="3"/>
      <c r="F192" s="3"/>
      <c r="G192" s="3"/>
      <c r="H192" s="3"/>
      <c r="I192" s="3"/>
      <c r="J192" s="3"/>
      <c r="K192" s="3"/>
      <c r="L192" s="3"/>
      <c r="N192" s="3"/>
      <c r="O192" s="3"/>
      <c r="P192" s="3"/>
      <c r="Q192" s="3"/>
      <c r="R192" s="3"/>
      <c r="S192" s="3"/>
      <c r="T192" s="3"/>
      <c r="U192" s="3"/>
      <c r="V192" s="3"/>
      <c r="W192" s="3"/>
      <c r="X192" s="3"/>
      <c r="Y192" s="3"/>
      <c r="Z192" s="3"/>
      <c r="AA192" s="3"/>
      <c r="AB192" s="3"/>
      <c r="AC192" s="3"/>
      <c r="AD192" s="3"/>
      <c r="AE192" s="3"/>
      <c r="AF192" s="3"/>
      <c r="AG192" s="3"/>
      <c r="AH192" s="3"/>
      <c r="AI192" s="3"/>
      <c r="AJ192" s="3"/>
      <c r="AK192" s="3"/>
      <c r="AL192" s="3"/>
      <c r="AM192" s="3"/>
      <c r="AN192" s="3"/>
      <c r="AO192" s="3"/>
      <c r="AP192" s="3"/>
      <c r="AQ192" s="3"/>
      <c r="AR192" s="3"/>
      <c r="AS192" s="3"/>
      <c r="AT192" s="3"/>
      <c r="AU192" s="3"/>
      <c r="AV192" s="3"/>
      <c r="AW192" s="3"/>
      <c r="AX192" s="3"/>
      <c r="AY192" s="3"/>
      <c r="AZ192" s="3"/>
      <c r="BA192" s="3"/>
      <c r="BB192" s="3"/>
      <c r="BC192" s="3"/>
      <c r="BD192" s="3"/>
    </row>
    <row r="193" spans="1:56" x14ac:dyDescent="0.25">
      <c r="A193" s="16"/>
      <c r="B193" s="16"/>
      <c r="C193" s="16"/>
      <c r="D193" s="16"/>
      <c r="E193" s="3"/>
      <c r="F193" s="3"/>
      <c r="G193" s="3"/>
      <c r="H193" s="3"/>
      <c r="I193" s="3"/>
      <c r="J193" s="3"/>
      <c r="K193" s="3"/>
      <c r="L193" s="3"/>
      <c r="N193" s="3"/>
      <c r="O193" s="3"/>
      <c r="P193" s="3"/>
      <c r="Q193" s="3"/>
      <c r="R193" s="3"/>
      <c r="S193" s="3"/>
      <c r="T193" s="3"/>
      <c r="U193" s="3"/>
      <c r="V193" s="3"/>
      <c r="W193" s="3"/>
      <c r="X193" s="3"/>
      <c r="Y193" s="3"/>
      <c r="Z193" s="3"/>
      <c r="AA193" s="3"/>
      <c r="AB193" s="3"/>
      <c r="AC193" s="3"/>
      <c r="AD193" s="3"/>
      <c r="AE193" s="3"/>
      <c r="AF193" s="3"/>
      <c r="AG193" s="3"/>
      <c r="AH193" s="3"/>
      <c r="AI193" s="3"/>
      <c r="AJ193" s="3"/>
      <c r="AK193" s="3"/>
      <c r="AL193" s="3"/>
      <c r="AM193" s="3"/>
      <c r="AN193" s="3"/>
      <c r="AO193" s="3"/>
      <c r="AP193" s="3"/>
      <c r="AQ193" s="3"/>
      <c r="AR193" s="3"/>
      <c r="AS193" s="3"/>
      <c r="AT193" s="3"/>
      <c r="AU193" s="3"/>
      <c r="AV193" s="3"/>
      <c r="AW193" s="3"/>
      <c r="AX193" s="3"/>
      <c r="AY193" s="3"/>
      <c r="AZ193" s="3"/>
      <c r="BA193" s="3"/>
      <c r="BB193" s="3"/>
      <c r="BC193" s="3"/>
      <c r="BD193" s="3"/>
    </row>
    <row r="194" spans="1:56" x14ac:dyDescent="0.25">
      <c r="A194" s="16"/>
      <c r="B194" s="16"/>
      <c r="C194" s="16"/>
      <c r="D194" s="16"/>
      <c r="E194" s="3"/>
      <c r="F194" s="3"/>
      <c r="G194" s="3"/>
      <c r="H194" s="3"/>
      <c r="I194" s="3"/>
      <c r="J194" s="3"/>
      <c r="K194" s="3"/>
      <c r="L194" s="3"/>
      <c r="N194" s="3"/>
      <c r="O194" s="3"/>
      <c r="P194" s="3"/>
      <c r="Q194" s="3"/>
      <c r="R194" s="3"/>
      <c r="S194" s="3"/>
      <c r="T194" s="3"/>
      <c r="U194" s="3"/>
      <c r="V194" s="3"/>
      <c r="W194" s="3"/>
      <c r="X194" s="3"/>
      <c r="Y194" s="3"/>
      <c r="Z194" s="3"/>
      <c r="AA194" s="3"/>
      <c r="AB194" s="3"/>
      <c r="AC194" s="3"/>
      <c r="AD194" s="3"/>
      <c r="AE194" s="3"/>
      <c r="AF194" s="3"/>
      <c r="AG194" s="3"/>
      <c r="AH194" s="3"/>
      <c r="AI194" s="3"/>
      <c r="AJ194" s="3"/>
      <c r="AK194" s="3"/>
      <c r="AL194" s="3"/>
      <c r="AM194" s="3"/>
      <c r="AN194" s="3"/>
      <c r="AO194" s="3"/>
      <c r="AP194" s="3"/>
      <c r="AQ194" s="3"/>
      <c r="AR194" s="3"/>
      <c r="AS194" s="3"/>
      <c r="AT194" s="3"/>
      <c r="AU194" s="3"/>
      <c r="AV194" s="3"/>
      <c r="AW194" s="3"/>
      <c r="AX194" s="3"/>
      <c r="AY194" s="3"/>
      <c r="AZ194" s="3"/>
      <c r="BA194" s="3"/>
      <c r="BB194" s="3"/>
      <c r="BC194" s="3"/>
      <c r="BD194" s="3"/>
    </row>
    <row r="195" spans="1:56" x14ac:dyDescent="0.25">
      <c r="A195" s="16"/>
      <c r="B195" s="16"/>
      <c r="C195" s="16"/>
      <c r="D195" s="16"/>
      <c r="E195" s="3"/>
      <c r="F195" s="3"/>
      <c r="G195" s="3"/>
      <c r="H195" s="3"/>
      <c r="I195" s="3"/>
      <c r="J195" s="3"/>
      <c r="K195" s="3"/>
      <c r="L195" s="3"/>
      <c r="N195" s="3"/>
      <c r="O195" s="3"/>
      <c r="P195" s="3"/>
      <c r="Q195" s="3"/>
      <c r="R195" s="3"/>
      <c r="S195" s="3"/>
      <c r="T195" s="3"/>
      <c r="U195" s="3"/>
      <c r="V195" s="3"/>
      <c r="W195" s="3"/>
      <c r="X195" s="3"/>
      <c r="Y195" s="3"/>
      <c r="Z195" s="3"/>
      <c r="AA195" s="3"/>
      <c r="AB195" s="3"/>
      <c r="AC195" s="3"/>
      <c r="AD195" s="3"/>
      <c r="AE195" s="3"/>
      <c r="AF195" s="3"/>
      <c r="AG195" s="3"/>
      <c r="AH195" s="3"/>
      <c r="AI195" s="3"/>
      <c r="AJ195" s="3"/>
      <c r="AK195" s="3"/>
      <c r="AL195" s="3"/>
      <c r="AM195" s="3"/>
      <c r="AN195" s="3"/>
      <c r="AO195" s="3"/>
      <c r="AP195" s="3"/>
      <c r="AQ195" s="3"/>
      <c r="AR195" s="3"/>
      <c r="AS195" s="3"/>
      <c r="AT195" s="3"/>
      <c r="AU195" s="3"/>
      <c r="AV195" s="3"/>
      <c r="AW195" s="3"/>
      <c r="AX195" s="3"/>
      <c r="AY195" s="3"/>
      <c r="AZ195" s="3"/>
      <c r="BA195" s="3"/>
      <c r="BB195" s="3"/>
      <c r="BC195" s="3"/>
      <c r="BD195" s="3"/>
    </row>
    <row r="196" spans="1:56" x14ac:dyDescent="0.25">
      <c r="A196" s="16"/>
      <c r="B196" s="16"/>
      <c r="C196" s="16"/>
      <c r="D196" s="16"/>
      <c r="E196" s="3"/>
      <c r="F196" s="3"/>
      <c r="G196" s="3"/>
      <c r="H196" s="3"/>
      <c r="I196" s="3"/>
      <c r="J196" s="3"/>
      <c r="K196" s="3"/>
      <c r="L196" s="3"/>
      <c r="N196" s="3"/>
      <c r="O196" s="3"/>
      <c r="P196" s="3"/>
      <c r="Q196" s="3"/>
      <c r="R196" s="3"/>
      <c r="S196" s="3"/>
      <c r="T196" s="3"/>
      <c r="U196" s="3"/>
      <c r="V196" s="3"/>
      <c r="W196" s="3"/>
      <c r="X196" s="3"/>
      <c r="Y196" s="3"/>
      <c r="Z196" s="3"/>
      <c r="AA196" s="3"/>
      <c r="AB196" s="3"/>
      <c r="AC196" s="3"/>
      <c r="AD196" s="3"/>
      <c r="AE196" s="3"/>
      <c r="AF196" s="3"/>
      <c r="AG196" s="3"/>
      <c r="AH196" s="3"/>
      <c r="AI196" s="3"/>
      <c r="AJ196" s="3"/>
      <c r="AK196" s="3"/>
      <c r="AL196" s="3"/>
      <c r="AM196" s="3"/>
      <c r="AN196" s="3"/>
      <c r="AO196" s="3"/>
      <c r="AP196" s="3"/>
      <c r="AQ196" s="3"/>
      <c r="AR196" s="3"/>
      <c r="AS196" s="3"/>
      <c r="AT196" s="3"/>
      <c r="AU196" s="3"/>
      <c r="AV196" s="3"/>
      <c r="AW196" s="3"/>
      <c r="AX196" s="3"/>
      <c r="AY196" s="3"/>
      <c r="AZ196" s="3"/>
      <c r="BA196" s="3"/>
      <c r="BB196" s="3"/>
      <c r="BC196" s="3"/>
      <c r="BD196" s="3"/>
    </row>
    <row r="197" spans="1:56" x14ac:dyDescent="0.25">
      <c r="A197" s="16"/>
      <c r="B197" s="16"/>
      <c r="C197" s="16"/>
      <c r="D197" s="16"/>
      <c r="E197" s="3"/>
      <c r="F197" s="3"/>
      <c r="G197" s="3"/>
      <c r="H197" s="3"/>
      <c r="I197" s="3"/>
      <c r="J197" s="3"/>
      <c r="K197" s="3"/>
      <c r="L197" s="3"/>
      <c r="N197" s="3"/>
      <c r="O197" s="3"/>
      <c r="P197" s="3"/>
      <c r="Q197" s="3"/>
      <c r="R197" s="3"/>
      <c r="S197" s="3"/>
      <c r="T197" s="3"/>
      <c r="U197" s="3"/>
      <c r="V197" s="3"/>
      <c r="W197" s="3"/>
      <c r="X197" s="3"/>
      <c r="Y197" s="3"/>
      <c r="Z197" s="3"/>
      <c r="AA197" s="3"/>
      <c r="AB197" s="3"/>
      <c r="AC197" s="3"/>
      <c r="AD197" s="3"/>
      <c r="AE197" s="3"/>
      <c r="AF197" s="3"/>
      <c r="AG197" s="3"/>
      <c r="AH197" s="3"/>
      <c r="AI197" s="3"/>
      <c r="AJ197" s="3"/>
      <c r="AK197" s="3"/>
      <c r="AL197" s="3"/>
      <c r="AM197" s="3"/>
      <c r="AN197" s="3"/>
      <c r="AO197" s="3"/>
      <c r="AP197" s="3"/>
      <c r="AQ197" s="3"/>
      <c r="AR197" s="3"/>
      <c r="AS197" s="3"/>
      <c r="AT197" s="3"/>
      <c r="AU197" s="3"/>
      <c r="AV197" s="3"/>
      <c r="AW197" s="3"/>
      <c r="AX197" s="3"/>
      <c r="AY197" s="3"/>
      <c r="AZ197" s="3"/>
      <c r="BA197" s="3"/>
      <c r="BB197" s="3"/>
      <c r="BC197" s="3"/>
      <c r="BD197" s="3"/>
    </row>
    <row r="198" spans="1:56" x14ac:dyDescent="0.25">
      <c r="A198" s="16"/>
      <c r="B198" s="16"/>
      <c r="C198" s="16"/>
      <c r="D198" s="16"/>
      <c r="E198" s="3"/>
      <c r="F198" s="3"/>
      <c r="G198" s="3"/>
      <c r="H198" s="3"/>
      <c r="I198" s="3"/>
      <c r="J198" s="3"/>
      <c r="K198" s="3"/>
      <c r="L198" s="3"/>
      <c r="N198" s="3"/>
      <c r="O198" s="3"/>
      <c r="P198" s="3"/>
      <c r="Q198" s="3"/>
      <c r="R198" s="3"/>
      <c r="S198" s="3"/>
      <c r="T198" s="3"/>
      <c r="U198" s="3"/>
      <c r="V198" s="3"/>
      <c r="W198" s="3"/>
      <c r="X198" s="3"/>
      <c r="Y198" s="3"/>
      <c r="Z198" s="3"/>
      <c r="AA198" s="3"/>
      <c r="AB198" s="3"/>
      <c r="AC198" s="3"/>
      <c r="AD198" s="3"/>
      <c r="AE198" s="3"/>
      <c r="AF198" s="3"/>
      <c r="AG198" s="3"/>
      <c r="AH198" s="3"/>
      <c r="AI198" s="3"/>
      <c r="AJ198" s="3"/>
      <c r="AK198" s="3"/>
      <c r="AL198" s="3"/>
      <c r="AM198" s="3"/>
      <c r="AN198" s="3"/>
      <c r="AO198" s="3"/>
      <c r="AP198" s="3"/>
      <c r="AQ198" s="3"/>
      <c r="AR198" s="3"/>
      <c r="AS198" s="3"/>
      <c r="AT198" s="3"/>
      <c r="AU198" s="3"/>
      <c r="AV198" s="3"/>
      <c r="AW198" s="3"/>
      <c r="AX198" s="3"/>
      <c r="AY198" s="3"/>
      <c r="AZ198" s="3"/>
      <c r="BA198" s="3"/>
      <c r="BB198" s="3"/>
      <c r="BC198" s="3"/>
      <c r="BD198" s="3"/>
    </row>
    <row r="199" spans="1:56" x14ac:dyDescent="0.25">
      <c r="A199" s="16"/>
      <c r="B199" s="16"/>
      <c r="C199" s="16"/>
      <c r="D199" s="16"/>
      <c r="E199" s="3"/>
      <c r="F199" s="3"/>
      <c r="G199" s="3"/>
      <c r="H199" s="3"/>
      <c r="I199" s="3"/>
      <c r="J199" s="3"/>
      <c r="K199" s="3"/>
      <c r="L199" s="3"/>
      <c r="N199" s="3"/>
      <c r="O199" s="3"/>
      <c r="P199" s="3"/>
      <c r="Q199" s="3"/>
      <c r="R199" s="3"/>
      <c r="S199" s="3"/>
      <c r="T199" s="3"/>
      <c r="U199" s="3"/>
      <c r="V199" s="3"/>
      <c r="W199" s="3"/>
      <c r="X199" s="3"/>
      <c r="Y199" s="3"/>
      <c r="Z199" s="3"/>
      <c r="AA199" s="3"/>
      <c r="AB199" s="3"/>
      <c r="AC199" s="3"/>
      <c r="AD199" s="3"/>
      <c r="AE199" s="3"/>
      <c r="AF199" s="3"/>
      <c r="AG199" s="3"/>
      <c r="AH199" s="3"/>
      <c r="AI199" s="3"/>
      <c r="AJ199" s="3"/>
      <c r="AK199" s="3"/>
      <c r="AL199" s="3"/>
      <c r="AM199" s="3"/>
      <c r="AN199" s="3"/>
      <c r="AO199" s="3"/>
      <c r="AP199" s="3"/>
      <c r="AQ199" s="3"/>
      <c r="AR199" s="3"/>
      <c r="AS199" s="3"/>
      <c r="AT199" s="3"/>
      <c r="AU199" s="3"/>
      <c r="AV199" s="3"/>
      <c r="AW199" s="3"/>
      <c r="AX199" s="3"/>
      <c r="AY199" s="3"/>
      <c r="AZ199" s="3"/>
      <c r="BA199" s="3"/>
      <c r="BB199" s="3"/>
      <c r="BC199" s="3"/>
      <c r="BD199" s="3"/>
    </row>
    <row r="200" spans="1:56" x14ac:dyDescent="0.25">
      <c r="A200" s="16"/>
      <c r="B200" s="16"/>
      <c r="C200" s="16"/>
      <c r="D200" s="16"/>
      <c r="E200" s="3"/>
      <c r="F200" s="3"/>
      <c r="G200" s="3"/>
      <c r="H200" s="3"/>
      <c r="I200" s="3"/>
      <c r="J200" s="3"/>
      <c r="K200" s="3"/>
      <c r="L200" s="3"/>
      <c r="N200" s="3"/>
      <c r="O200" s="3"/>
      <c r="P200" s="3"/>
      <c r="Q200" s="3"/>
      <c r="R200" s="3"/>
      <c r="S200" s="3"/>
      <c r="T200" s="3"/>
      <c r="U200" s="3"/>
      <c r="V200" s="3"/>
      <c r="W200" s="3"/>
      <c r="X200" s="3"/>
      <c r="Y200" s="3"/>
      <c r="Z200" s="3"/>
      <c r="AA200" s="3"/>
      <c r="AB200" s="3"/>
      <c r="AC200" s="3"/>
      <c r="AD200" s="3"/>
      <c r="AE200" s="3"/>
      <c r="AF200" s="3"/>
      <c r="AG200" s="3"/>
      <c r="AH200" s="3"/>
      <c r="AI200" s="3"/>
      <c r="AJ200" s="3"/>
      <c r="AK200" s="3"/>
      <c r="AL200" s="3"/>
      <c r="AM200" s="3"/>
      <c r="AN200" s="3"/>
      <c r="AO200" s="3"/>
      <c r="AP200" s="3"/>
      <c r="AQ200" s="3"/>
      <c r="AR200" s="3"/>
      <c r="AS200" s="3"/>
      <c r="AT200" s="3"/>
      <c r="AU200" s="3"/>
      <c r="AV200" s="3"/>
      <c r="AW200" s="3"/>
      <c r="AX200" s="3"/>
      <c r="AY200" s="3"/>
      <c r="AZ200" s="3"/>
      <c r="BA200" s="3"/>
      <c r="BB200" s="3"/>
      <c r="BC200" s="3"/>
      <c r="BD200" s="3"/>
    </row>
    <row r="201" spans="1:56" x14ac:dyDescent="0.25">
      <c r="A201" s="16"/>
      <c r="B201" s="16"/>
      <c r="C201" s="16"/>
      <c r="D201" s="16"/>
      <c r="E201" s="3"/>
      <c r="F201" s="3"/>
      <c r="G201" s="3"/>
      <c r="H201" s="3"/>
      <c r="I201" s="3"/>
      <c r="J201" s="3"/>
      <c r="K201" s="3"/>
      <c r="L201" s="3"/>
      <c r="N201" s="3"/>
      <c r="O201" s="3"/>
      <c r="P201" s="3"/>
      <c r="Q201" s="3"/>
      <c r="R201" s="3"/>
      <c r="S201" s="3"/>
      <c r="T201" s="3"/>
      <c r="U201" s="3"/>
      <c r="V201" s="3"/>
      <c r="W201" s="3"/>
      <c r="X201" s="3"/>
      <c r="Y201" s="3"/>
      <c r="Z201" s="3"/>
      <c r="AA201" s="3"/>
      <c r="AB201" s="3"/>
      <c r="AC201" s="3"/>
      <c r="AD201" s="3"/>
      <c r="AE201" s="3"/>
      <c r="AF201" s="3"/>
      <c r="AG201" s="3"/>
      <c r="AH201" s="3"/>
      <c r="AI201" s="3"/>
      <c r="AJ201" s="3"/>
      <c r="AK201" s="3"/>
      <c r="AL201" s="3"/>
      <c r="AM201" s="3"/>
      <c r="AN201" s="3"/>
      <c r="AO201" s="3"/>
      <c r="AP201" s="3"/>
      <c r="AQ201" s="3"/>
      <c r="AR201" s="3"/>
      <c r="AS201" s="3"/>
      <c r="AT201" s="3"/>
      <c r="AU201" s="3"/>
      <c r="AV201" s="3"/>
      <c r="AW201" s="3"/>
      <c r="AX201" s="3"/>
      <c r="AY201" s="3"/>
      <c r="AZ201" s="3"/>
      <c r="BA201" s="3"/>
      <c r="BB201" s="3"/>
      <c r="BC201" s="3"/>
      <c r="BD201" s="3"/>
    </row>
    <row r="202" spans="1:56" x14ac:dyDescent="0.25">
      <c r="A202" s="16"/>
      <c r="B202" s="16"/>
      <c r="C202" s="16"/>
      <c r="D202" s="16"/>
      <c r="E202" s="3"/>
      <c r="F202" s="3"/>
      <c r="G202" s="3"/>
      <c r="H202" s="3"/>
      <c r="I202" s="3"/>
      <c r="J202" s="3"/>
      <c r="K202" s="3"/>
      <c r="L202" s="3"/>
      <c r="N202" s="3"/>
      <c r="O202" s="3"/>
      <c r="P202" s="3"/>
      <c r="Q202" s="3"/>
      <c r="R202" s="3"/>
      <c r="S202" s="3"/>
      <c r="T202" s="3"/>
      <c r="U202" s="3"/>
      <c r="V202" s="3"/>
      <c r="W202" s="3"/>
      <c r="X202" s="3"/>
      <c r="Y202" s="3"/>
      <c r="Z202" s="3"/>
      <c r="AA202" s="3"/>
      <c r="AB202" s="3"/>
      <c r="AC202" s="3"/>
      <c r="AD202" s="3"/>
      <c r="AE202" s="3"/>
      <c r="AF202" s="3"/>
      <c r="AG202" s="3"/>
      <c r="AH202" s="3"/>
      <c r="AI202" s="3"/>
      <c r="AJ202" s="3"/>
      <c r="AK202" s="3"/>
      <c r="AL202" s="3"/>
      <c r="AM202" s="3"/>
      <c r="AN202" s="3"/>
      <c r="AO202" s="3"/>
      <c r="AP202" s="3"/>
      <c r="AQ202" s="3"/>
      <c r="AR202" s="3"/>
      <c r="AS202" s="3"/>
      <c r="AT202" s="3"/>
      <c r="AU202" s="3"/>
      <c r="AV202" s="3"/>
      <c r="AW202" s="3"/>
      <c r="AX202" s="3"/>
      <c r="AY202" s="3"/>
      <c r="AZ202" s="3"/>
      <c r="BA202" s="3"/>
      <c r="BB202" s="3"/>
      <c r="BC202" s="3"/>
      <c r="BD202" s="3"/>
    </row>
    <row r="203" spans="1:56" x14ac:dyDescent="0.25">
      <c r="A203" s="16"/>
      <c r="B203" s="16"/>
      <c r="C203" s="16"/>
      <c r="D203" s="16"/>
      <c r="E203" s="3"/>
      <c r="F203" s="3"/>
      <c r="G203" s="3"/>
      <c r="H203" s="3"/>
      <c r="I203" s="3"/>
      <c r="J203" s="3"/>
      <c r="K203" s="3"/>
      <c r="L203" s="3"/>
      <c r="N203" s="3"/>
      <c r="O203" s="3"/>
      <c r="P203" s="3"/>
      <c r="Q203" s="3"/>
      <c r="R203" s="3"/>
      <c r="S203" s="3"/>
      <c r="T203" s="3"/>
      <c r="U203" s="3"/>
      <c r="V203" s="3"/>
      <c r="W203" s="3"/>
      <c r="X203" s="3"/>
      <c r="Y203" s="3"/>
      <c r="Z203" s="3"/>
      <c r="AA203" s="3"/>
      <c r="AB203" s="3"/>
      <c r="AC203" s="3"/>
      <c r="AD203" s="3"/>
      <c r="AE203" s="3"/>
      <c r="AF203" s="3"/>
      <c r="AG203" s="3"/>
      <c r="AH203" s="3"/>
      <c r="AI203" s="3"/>
      <c r="AJ203" s="3"/>
      <c r="AK203" s="3"/>
      <c r="AL203" s="3"/>
      <c r="AM203" s="3"/>
      <c r="AN203" s="3"/>
      <c r="AO203" s="3"/>
      <c r="AP203" s="3"/>
      <c r="AQ203" s="3"/>
      <c r="AR203" s="3"/>
      <c r="AS203" s="3"/>
      <c r="AT203" s="3"/>
      <c r="AU203" s="3"/>
      <c r="AV203" s="3"/>
      <c r="AW203" s="3"/>
      <c r="AX203" s="3"/>
      <c r="AY203" s="3"/>
      <c r="AZ203" s="3"/>
      <c r="BA203" s="3"/>
      <c r="BB203" s="3"/>
      <c r="BC203" s="3"/>
      <c r="BD203" s="3"/>
    </row>
    <row r="204" spans="1:56" x14ac:dyDescent="0.25">
      <c r="A204" s="16"/>
      <c r="B204" s="16"/>
      <c r="C204" s="16"/>
      <c r="D204" s="16"/>
      <c r="E204" s="3"/>
      <c r="F204" s="3"/>
      <c r="G204" s="3"/>
      <c r="H204" s="3"/>
      <c r="I204" s="3"/>
      <c r="J204" s="3"/>
      <c r="K204" s="3"/>
      <c r="L204" s="3"/>
      <c r="N204" s="3"/>
      <c r="O204" s="3"/>
      <c r="P204" s="3"/>
      <c r="Q204" s="3"/>
      <c r="R204" s="3"/>
      <c r="S204" s="3"/>
      <c r="T204" s="3"/>
      <c r="U204" s="3"/>
      <c r="V204" s="3"/>
      <c r="W204" s="3"/>
      <c r="X204" s="3"/>
      <c r="Y204" s="3"/>
      <c r="Z204" s="3"/>
      <c r="AA204" s="3"/>
      <c r="AB204" s="3"/>
      <c r="AC204" s="3"/>
      <c r="AD204" s="3"/>
      <c r="AE204" s="3"/>
      <c r="AF204" s="3"/>
      <c r="AG204" s="3"/>
      <c r="AH204" s="3"/>
      <c r="AI204" s="3"/>
      <c r="AJ204" s="3"/>
      <c r="AK204" s="3"/>
      <c r="AL204" s="3"/>
      <c r="AM204" s="3"/>
      <c r="AN204" s="3"/>
      <c r="AO204" s="3"/>
      <c r="AP204" s="3"/>
      <c r="AQ204" s="3"/>
      <c r="AR204" s="3"/>
      <c r="AS204" s="3"/>
      <c r="AT204" s="3"/>
      <c r="AU204" s="3"/>
      <c r="AV204" s="3"/>
      <c r="AW204" s="3"/>
      <c r="AX204" s="3"/>
      <c r="AY204" s="3"/>
      <c r="AZ204" s="3"/>
      <c r="BA204" s="3"/>
      <c r="BB204" s="3"/>
      <c r="BC204" s="3"/>
      <c r="BD204" s="3"/>
    </row>
    <row r="205" spans="1:56" x14ac:dyDescent="0.25">
      <c r="A205" s="16"/>
      <c r="B205" s="16"/>
      <c r="C205" s="16"/>
      <c r="D205" s="16"/>
      <c r="E205" s="3"/>
      <c r="F205" s="3"/>
      <c r="G205" s="3"/>
      <c r="H205" s="3"/>
      <c r="I205" s="3"/>
      <c r="J205" s="3"/>
      <c r="K205" s="3"/>
      <c r="L205" s="3"/>
      <c r="N205" s="3"/>
      <c r="O205" s="3"/>
      <c r="P205" s="3"/>
      <c r="Q205" s="3"/>
      <c r="R205" s="3"/>
      <c r="S205" s="3"/>
      <c r="T205" s="3"/>
      <c r="U205" s="3"/>
      <c r="V205" s="3"/>
      <c r="W205" s="3"/>
      <c r="X205" s="3"/>
      <c r="Y205" s="3"/>
      <c r="Z205" s="3"/>
      <c r="AA205" s="3"/>
      <c r="AB205" s="3"/>
      <c r="AC205" s="3"/>
      <c r="AD205" s="3"/>
      <c r="AE205" s="3"/>
      <c r="AF205" s="3"/>
      <c r="AG205" s="3"/>
      <c r="AH205" s="3"/>
      <c r="AI205" s="3"/>
      <c r="AJ205" s="3"/>
      <c r="AK205" s="3"/>
      <c r="AL205" s="3"/>
      <c r="AM205" s="3"/>
      <c r="AN205" s="3"/>
      <c r="AO205" s="3"/>
      <c r="AP205" s="3"/>
      <c r="AQ205" s="3"/>
      <c r="AR205" s="3"/>
      <c r="AS205" s="3"/>
      <c r="AT205" s="3"/>
      <c r="AU205" s="3"/>
      <c r="AV205" s="3"/>
      <c r="AW205" s="3"/>
      <c r="AX205" s="3"/>
      <c r="AY205" s="3"/>
      <c r="AZ205" s="3"/>
      <c r="BA205" s="3"/>
      <c r="BB205" s="3"/>
      <c r="BC205" s="3"/>
      <c r="BD205" s="3"/>
    </row>
    <row r="206" spans="1:56" x14ac:dyDescent="0.25">
      <c r="A206" s="16"/>
      <c r="B206" s="16"/>
      <c r="C206" s="16"/>
      <c r="D206" s="16"/>
      <c r="E206" s="3"/>
      <c r="F206" s="3"/>
      <c r="G206" s="3"/>
      <c r="H206" s="3"/>
      <c r="I206" s="3"/>
      <c r="J206" s="3"/>
      <c r="K206" s="3"/>
      <c r="L206" s="3"/>
      <c r="N206" s="3"/>
      <c r="O206" s="3"/>
      <c r="P206" s="3"/>
      <c r="Q206" s="3"/>
      <c r="R206" s="3"/>
      <c r="S206" s="3"/>
      <c r="T206" s="3"/>
      <c r="U206" s="3"/>
      <c r="V206" s="3"/>
      <c r="W206" s="3"/>
      <c r="X206" s="3"/>
      <c r="Y206" s="3"/>
      <c r="Z206" s="3"/>
      <c r="AA206" s="3"/>
      <c r="AB206" s="3"/>
      <c r="AC206" s="3"/>
      <c r="AD206" s="3"/>
      <c r="AE206" s="3"/>
      <c r="AF206" s="3"/>
      <c r="AG206" s="3"/>
      <c r="AH206" s="3"/>
      <c r="AI206" s="3"/>
      <c r="AJ206" s="3"/>
      <c r="AK206" s="3"/>
      <c r="AL206" s="3"/>
      <c r="AM206" s="3"/>
      <c r="AN206" s="3"/>
      <c r="AO206" s="3"/>
      <c r="AP206" s="3"/>
      <c r="AQ206" s="3"/>
      <c r="AR206" s="3"/>
      <c r="AS206" s="3"/>
      <c r="AT206" s="3"/>
      <c r="AU206" s="3"/>
      <c r="AV206" s="3"/>
      <c r="AW206" s="3"/>
      <c r="AX206" s="3"/>
      <c r="AY206" s="3"/>
      <c r="AZ206" s="3"/>
      <c r="BA206" s="3"/>
      <c r="BB206" s="3"/>
      <c r="BC206" s="3"/>
      <c r="BD206" s="3"/>
    </row>
    <row r="207" spans="1:56" x14ac:dyDescent="0.25">
      <c r="A207" s="16"/>
      <c r="B207" s="16"/>
      <c r="C207" s="16"/>
      <c r="D207" s="16"/>
      <c r="E207" s="3"/>
      <c r="F207" s="3"/>
      <c r="G207" s="3"/>
      <c r="H207" s="3"/>
      <c r="I207" s="3"/>
      <c r="J207" s="3"/>
      <c r="K207" s="3"/>
      <c r="L207" s="3"/>
      <c r="N207" s="3"/>
      <c r="O207" s="3"/>
      <c r="P207" s="3"/>
      <c r="Q207" s="3"/>
      <c r="R207" s="3"/>
      <c r="S207" s="3"/>
      <c r="T207" s="3"/>
      <c r="U207" s="3"/>
      <c r="V207" s="3"/>
      <c r="W207" s="3"/>
      <c r="X207" s="3"/>
      <c r="Y207" s="3"/>
      <c r="Z207" s="3"/>
      <c r="AA207" s="3"/>
      <c r="AB207" s="3"/>
      <c r="AC207" s="3"/>
      <c r="AD207" s="3"/>
      <c r="AE207" s="3"/>
      <c r="AF207" s="3"/>
      <c r="AG207" s="3"/>
      <c r="AH207" s="3"/>
      <c r="AI207" s="3"/>
      <c r="AJ207" s="3"/>
      <c r="AK207" s="3"/>
      <c r="AL207" s="3"/>
      <c r="AM207" s="3"/>
      <c r="AN207" s="3"/>
      <c r="AO207" s="3"/>
      <c r="AP207" s="3"/>
      <c r="AQ207" s="3"/>
      <c r="AR207" s="3"/>
      <c r="AS207" s="3"/>
      <c r="AT207" s="3"/>
      <c r="AU207" s="3"/>
      <c r="AV207" s="3"/>
      <c r="AW207" s="3"/>
      <c r="AX207" s="3"/>
      <c r="AY207" s="3"/>
      <c r="AZ207" s="3"/>
      <c r="BA207" s="3"/>
      <c r="BB207" s="3"/>
      <c r="BC207" s="3"/>
      <c r="BD207" s="3"/>
    </row>
    <row r="208" spans="1:56" x14ac:dyDescent="0.25">
      <c r="A208" s="16"/>
      <c r="B208" s="16"/>
      <c r="C208" s="16"/>
      <c r="D208" s="16"/>
      <c r="E208" s="3"/>
      <c r="F208" s="3"/>
      <c r="G208" s="3"/>
      <c r="H208" s="3"/>
      <c r="I208" s="3"/>
      <c r="J208" s="3"/>
      <c r="K208" s="3"/>
      <c r="L208" s="3"/>
      <c r="N208" s="3"/>
      <c r="O208" s="3"/>
      <c r="P208" s="3"/>
      <c r="Q208" s="3"/>
      <c r="R208" s="3"/>
      <c r="S208" s="3"/>
      <c r="T208" s="3"/>
      <c r="U208" s="3"/>
      <c r="V208" s="3"/>
      <c r="W208" s="3"/>
      <c r="X208" s="3"/>
      <c r="Y208" s="3"/>
      <c r="Z208" s="3"/>
      <c r="AA208" s="3"/>
      <c r="AB208" s="3"/>
      <c r="AC208" s="3"/>
      <c r="AD208" s="3"/>
      <c r="AE208" s="3"/>
      <c r="AF208" s="3"/>
      <c r="AG208" s="3"/>
      <c r="AH208" s="3"/>
      <c r="AI208" s="3"/>
      <c r="AJ208" s="3"/>
      <c r="AK208" s="3"/>
      <c r="AL208" s="3"/>
      <c r="AM208" s="3"/>
      <c r="AN208" s="3"/>
      <c r="AO208" s="3"/>
      <c r="AP208" s="3"/>
      <c r="AQ208" s="3"/>
      <c r="AR208" s="3"/>
      <c r="AS208" s="3"/>
      <c r="AT208" s="3"/>
      <c r="AU208" s="3"/>
      <c r="AV208" s="3"/>
      <c r="AW208" s="3"/>
      <c r="AX208" s="3"/>
      <c r="AY208" s="3"/>
      <c r="AZ208" s="3"/>
      <c r="BA208" s="3"/>
      <c r="BB208" s="3"/>
      <c r="BC208" s="3"/>
      <c r="BD208" s="3"/>
    </row>
    <row r="209" spans="1:56" x14ac:dyDescent="0.25">
      <c r="A209" s="16"/>
      <c r="B209" s="16"/>
      <c r="C209" s="16"/>
      <c r="D209" s="16"/>
      <c r="E209" s="3"/>
      <c r="F209" s="3"/>
      <c r="G209" s="3"/>
      <c r="H209" s="3"/>
      <c r="I209" s="3"/>
      <c r="J209" s="3"/>
      <c r="K209" s="3"/>
      <c r="L209" s="3"/>
      <c r="N209" s="3"/>
      <c r="O209" s="3"/>
      <c r="P209" s="3"/>
      <c r="Q209" s="3"/>
      <c r="R209" s="3"/>
      <c r="S209" s="3"/>
      <c r="T209" s="3"/>
      <c r="U209" s="3"/>
      <c r="V209" s="3"/>
      <c r="W209" s="3"/>
      <c r="X209" s="3"/>
      <c r="Y209" s="3"/>
      <c r="Z209" s="3"/>
      <c r="AA209" s="3"/>
      <c r="AB209" s="3"/>
      <c r="AC209" s="3"/>
      <c r="AD209" s="3"/>
      <c r="AE209" s="3"/>
      <c r="AF209" s="3"/>
      <c r="AG209" s="3"/>
      <c r="AH209" s="3"/>
      <c r="AI209" s="3"/>
      <c r="AJ209" s="3"/>
      <c r="AK209" s="3"/>
      <c r="AL209" s="3"/>
      <c r="AM209" s="3"/>
      <c r="AN209" s="3"/>
      <c r="AO209" s="3"/>
      <c r="AP209" s="3"/>
      <c r="AQ209" s="3"/>
      <c r="AR209" s="3"/>
      <c r="AS209" s="3"/>
      <c r="AT209" s="3"/>
      <c r="AU209" s="3"/>
      <c r="AV209" s="3"/>
      <c r="AW209" s="3"/>
      <c r="AX209" s="3"/>
      <c r="AY209" s="3"/>
      <c r="AZ209" s="3"/>
      <c r="BA209" s="3"/>
      <c r="BB209" s="3"/>
      <c r="BC209" s="3"/>
      <c r="BD209" s="3"/>
    </row>
    <row r="210" spans="1:56" x14ac:dyDescent="0.25">
      <c r="A210" s="16"/>
      <c r="B210" s="16"/>
      <c r="C210" s="16"/>
      <c r="D210" s="16"/>
      <c r="E210" s="3"/>
      <c r="F210" s="3"/>
      <c r="G210" s="3"/>
      <c r="H210" s="3"/>
      <c r="I210" s="3"/>
      <c r="J210" s="3"/>
      <c r="K210" s="3"/>
      <c r="L210" s="3"/>
      <c r="N210" s="3"/>
      <c r="O210" s="3"/>
      <c r="P210" s="3"/>
      <c r="Q210" s="3"/>
      <c r="R210" s="3"/>
      <c r="S210" s="3"/>
      <c r="T210" s="3"/>
      <c r="U210" s="3"/>
      <c r="V210" s="3"/>
      <c r="W210" s="3"/>
      <c r="X210" s="3"/>
      <c r="Y210" s="3"/>
      <c r="Z210" s="3"/>
      <c r="AA210" s="3"/>
      <c r="AB210" s="3"/>
      <c r="AC210" s="3"/>
      <c r="AD210" s="3"/>
      <c r="AE210" s="3"/>
      <c r="AF210" s="3"/>
      <c r="AG210" s="3"/>
      <c r="AH210" s="3"/>
      <c r="AI210" s="3"/>
      <c r="AJ210" s="3"/>
      <c r="AK210" s="3"/>
      <c r="AL210" s="3"/>
      <c r="AM210" s="3"/>
      <c r="AN210" s="3"/>
      <c r="AO210" s="3"/>
      <c r="AP210" s="3"/>
      <c r="AQ210" s="3"/>
      <c r="AR210" s="3"/>
      <c r="AS210" s="3"/>
      <c r="AT210" s="3"/>
      <c r="AU210" s="3"/>
      <c r="AV210" s="3"/>
      <c r="AW210" s="3"/>
      <c r="AX210" s="3"/>
      <c r="AY210" s="3"/>
      <c r="AZ210" s="3"/>
      <c r="BA210" s="3"/>
      <c r="BB210" s="3"/>
      <c r="BC210" s="3"/>
      <c r="BD210" s="3"/>
    </row>
    <row r="211" spans="1:56" x14ac:dyDescent="0.25">
      <c r="A211" s="16"/>
      <c r="B211" s="16"/>
      <c r="C211" s="16"/>
      <c r="D211" s="16"/>
      <c r="E211" s="3"/>
      <c r="F211" s="3"/>
      <c r="G211" s="3"/>
      <c r="H211" s="3"/>
      <c r="I211" s="3"/>
      <c r="J211" s="3"/>
      <c r="K211" s="3"/>
      <c r="L211" s="3"/>
      <c r="N211" s="3"/>
      <c r="O211" s="3"/>
      <c r="P211" s="3"/>
      <c r="Q211" s="3"/>
      <c r="R211" s="3"/>
      <c r="S211" s="3"/>
      <c r="T211" s="3"/>
      <c r="U211" s="3"/>
      <c r="V211" s="3"/>
      <c r="W211" s="3"/>
      <c r="X211" s="3"/>
      <c r="Y211" s="3"/>
      <c r="Z211" s="3"/>
      <c r="AA211" s="3"/>
      <c r="AB211" s="3"/>
      <c r="AC211" s="3"/>
      <c r="AD211" s="3"/>
      <c r="AE211" s="3"/>
      <c r="AF211" s="3"/>
      <c r="AG211" s="3"/>
      <c r="AH211" s="3"/>
      <c r="AI211" s="3"/>
      <c r="AJ211" s="3"/>
      <c r="AK211" s="3"/>
      <c r="AL211" s="3"/>
      <c r="AM211" s="3"/>
      <c r="AN211" s="3"/>
      <c r="AO211" s="3"/>
      <c r="AP211" s="3"/>
      <c r="AQ211" s="3"/>
      <c r="AR211" s="3"/>
      <c r="AS211" s="3"/>
      <c r="AT211" s="3"/>
      <c r="AU211" s="3"/>
      <c r="AV211" s="3"/>
      <c r="AW211" s="3"/>
      <c r="AX211" s="3"/>
      <c r="AY211" s="3"/>
      <c r="AZ211" s="3"/>
      <c r="BA211" s="3"/>
      <c r="BB211" s="3"/>
      <c r="BC211" s="3"/>
      <c r="BD211" s="3"/>
    </row>
    <row r="212" spans="1:56" x14ac:dyDescent="0.25">
      <c r="A212" s="16"/>
      <c r="B212" s="16"/>
      <c r="C212" s="16"/>
      <c r="D212" s="16"/>
      <c r="E212" s="3"/>
      <c r="F212" s="3"/>
      <c r="G212" s="3"/>
      <c r="H212" s="3"/>
      <c r="I212" s="3"/>
      <c r="J212" s="3"/>
      <c r="K212" s="3"/>
      <c r="L212" s="3"/>
      <c r="N212" s="3"/>
      <c r="O212" s="3"/>
      <c r="P212" s="3"/>
      <c r="Q212" s="3"/>
      <c r="R212" s="3"/>
      <c r="S212" s="3"/>
      <c r="T212" s="3"/>
      <c r="U212" s="3"/>
      <c r="V212" s="3"/>
      <c r="W212" s="3"/>
      <c r="X212" s="3"/>
      <c r="Y212" s="3"/>
      <c r="Z212" s="3"/>
      <c r="AA212" s="3"/>
      <c r="AB212" s="3"/>
      <c r="AC212" s="3"/>
      <c r="AD212" s="3"/>
      <c r="AE212" s="3"/>
      <c r="AF212" s="3"/>
      <c r="AG212" s="3"/>
      <c r="AH212" s="3"/>
      <c r="AI212" s="3"/>
      <c r="AJ212" s="3"/>
      <c r="AK212" s="3"/>
      <c r="AL212" s="3"/>
      <c r="AM212" s="3"/>
      <c r="AN212" s="3"/>
      <c r="AO212" s="3"/>
      <c r="AP212" s="3"/>
      <c r="AQ212" s="3"/>
      <c r="AR212" s="3"/>
      <c r="AS212" s="3"/>
      <c r="AT212" s="3"/>
      <c r="AU212" s="3"/>
      <c r="AV212" s="3"/>
      <c r="AW212" s="3"/>
      <c r="AX212" s="3"/>
      <c r="AY212" s="3"/>
      <c r="AZ212" s="3"/>
      <c r="BA212" s="3"/>
      <c r="BB212" s="3"/>
      <c r="BC212" s="3"/>
      <c r="BD212" s="3"/>
    </row>
    <row r="213" spans="1:56" x14ac:dyDescent="0.25">
      <c r="A213" s="16"/>
      <c r="B213" s="16"/>
      <c r="C213" s="16"/>
      <c r="D213" s="16"/>
      <c r="E213" s="3"/>
      <c r="F213" s="3"/>
      <c r="G213" s="3"/>
      <c r="H213" s="3"/>
      <c r="I213" s="3"/>
      <c r="J213" s="3"/>
      <c r="K213" s="3"/>
      <c r="L213" s="3"/>
      <c r="N213" s="3"/>
      <c r="O213" s="3"/>
      <c r="P213" s="3"/>
      <c r="Q213" s="3"/>
      <c r="R213" s="3"/>
      <c r="S213" s="3"/>
      <c r="T213" s="3"/>
      <c r="U213" s="3"/>
      <c r="V213" s="3"/>
      <c r="W213" s="3"/>
      <c r="X213" s="3"/>
      <c r="Y213" s="3"/>
      <c r="Z213" s="3"/>
      <c r="AA213" s="3"/>
      <c r="AB213" s="3"/>
      <c r="AC213" s="3"/>
      <c r="AD213" s="3"/>
      <c r="AE213" s="3"/>
      <c r="AF213" s="3"/>
      <c r="AG213" s="3"/>
      <c r="AH213" s="3"/>
      <c r="AI213" s="3"/>
      <c r="AJ213" s="3"/>
      <c r="AK213" s="3"/>
      <c r="AL213" s="3"/>
      <c r="AM213" s="3"/>
      <c r="AN213" s="3"/>
      <c r="AO213" s="3"/>
      <c r="AP213" s="3"/>
      <c r="AQ213" s="3"/>
      <c r="AR213" s="3"/>
      <c r="AS213" s="3"/>
      <c r="AT213" s="3"/>
      <c r="AU213" s="3"/>
      <c r="AV213" s="3"/>
      <c r="AW213" s="3"/>
      <c r="AX213" s="3"/>
      <c r="AY213" s="3"/>
      <c r="AZ213" s="3"/>
      <c r="BA213" s="3"/>
      <c r="BB213" s="3"/>
      <c r="BC213" s="3"/>
      <c r="BD213" s="3"/>
    </row>
    <row r="214" spans="1:56" x14ac:dyDescent="0.25">
      <c r="A214" s="16"/>
      <c r="B214" s="16"/>
      <c r="C214" s="16"/>
      <c r="D214" s="16"/>
      <c r="E214" s="3"/>
      <c r="F214" s="3"/>
      <c r="G214" s="3"/>
      <c r="H214" s="3"/>
      <c r="I214" s="3"/>
      <c r="J214" s="3"/>
      <c r="K214" s="3"/>
      <c r="L214" s="3"/>
      <c r="N214" s="3"/>
      <c r="O214" s="3"/>
      <c r="P214" s="3"/>
      <c r="Q214" s="3"/>
      <c r="R214" s="3"/>
      <c r="S214" s="3"/>
      <c r="T214" s="3"/>
      <c r="U214" s="3"/>
      <c r="V214" s="3"/>
      <c r="W214" s="3"/>
      <c r="X214" s="3"/>
      <c r="Y214" s="3"/>
      <c r="Z214" s="3"/>
      <c r="AA214" s="3"/>
      <c r="AB214" s="3"/>
      <c r="AC214" s="3"/>
      <c r="AD214" s="3"/>
      <c r="AE214" s="3"/>
      <c r="AF214" s="3"/>
      <c r="AG214" s="3"/>
      <c r="AH214" s="3"/>
      <c r="AI214" s="3"/>
      <c r="AJ214" s="3"/>
      <c r="AK214" s="3"/>
      <c r="AL214" s="3"/>
      <c r="AM214" s="3"/>
      <c r="AN214" s="3"/>
      <c r="AO214" s="3"/>
      <c r="AP214" s="3"/>
      <c r="AQ214" s="3"/>
      <c r="AR214" s="3"/>
      <c r="AS214" s="3"/>
      <c r="AT214" s="3"/>
      <c r="AU214" s="3"/>
      <c r="AV214" s="3"/>
      <c r="AW214" s="3"/>
      <c r="AX214" s="3"/>
      <c r="AY214" s="3"/>
      <c r="AZ214" s="3"/>
      <c r="BA214" s="3"/>
      <c r="BB214" s="3"/>
      <c r="BC214" s="3"/>
      <c r="BD214" s="3"/>
    </row>
    <row r="215" spans="1:56" x14ac:dyDescent="0.25">
      <c r="A215" s="16"/>
      <c r="B215" s="16"/>
      <c r="C215" s="16"/>
      <c r="D215" s="16"/>
      <c r="E215" s="3"/>
      <c r="F215" s="3"/>
      <c r="G215" s="3"/>
      <c r="H215" s="3"/>
      <c r="I215" s="3"/>
      <c r="J215" s="3"/>
      <c r="K215" s="3"/>
      <c r="L215" s="3"/>
      <c r="N215" s="3"/>
      <c r="O215" s="3"/>
      <c r="P215" s="3"/>
      <c r="Q215" s="3"/>
      <c r="R215" s="3"/>
      <c r="S215" s="3"/>
      <c r="T215" s="3"/>
      <c r="U215" s="3"/>
      <c r="V215" s="3"/>
      <c r="W215" s="3"/>
      <c r="X215" s="3"/>
      <c r="Y215" s="3"/>
      <c r="Z215" s="3"/>
      <c r="AA215" s="3"/>
      <c r="AB215" s="3"/>
      <c r="AC215" s="3"/>
      <c r="AD215" s="3"/>
      <c r="AE215" s="3"/>
      <c r="AF215" s="3"/>
      <c r="AG215" s="3"/>
      <c r="AH215" s="3"/>
      <c r="AI215" s="3"/>
      <c r="AJ215" s="3"/>
      <c r="AK215" s="3"/>
      <c r="AL215" s="3"/>
      <c r="AM215" s="3"/>
      <c r="AN215" s="3"/>
      <c r="AO215" s="3"/>
      <c r="AP215" s="3"/>
      <c r="AQ215" s="3"/>
      <c r="AR215" s="3"/>
      <c r="AS215" s="3"/>
      <c r="AT215" s="3"/>
      <c r="AU215" s="3"/>
      <c r="AV215" s="3"/>
      <c r="AW215" s="3"/>
      <c r="AX215" s="3"/>
      <c r="AY215" s="3"/>
      <c r="AZ215" s="3"/>
      <c r="BA215" s="3"/>
      <c r="BB215" s="3"/>
      <c r="BC215" s="3"/>
      <c r="BD215" s="3"/>
    </row>
    <row r="216" spans="1:56" x14ac:dyDescent="0.25">
      <c r="A216" s="16"/>
      <c r="B216" s="16"/>
      <c r="C216" s="16"/>
      <c r="D216" s="16"/>
      <c r="E216" s="3"/>
      <c r="F216" s="3"/>
      <c r="G216" s="3"/>
      <c r="H216" s="3"/>
      <c r="I216" s="3"/>
      <c r="J216" s="3"/>
      <c r="K216" s="3"/>
      <c r="L216" s="3"/>
      <c r="N216" s="3"/>
      <c r="O216" s="3"/>
      <c r="P216" s="3"/>
      <c r="Q216" s="3"/>
      <c r="R216" s="3"/>
      <c r="S216" s="3"/>
      <c r="T216" s="3"/>
      <c r="U216" s="3"/>
      <c r="V216" s="3"/>
      <c r="W216" s="3"/>
      <c r="X216" s="3"/>
      <c r="Y216" s="3"/>
      <c r="Z216" s="3"/>
      <c r="AA216" s="3"/>
      <c r="AB216" s="3"/>
      <c r="AC216" s="3"/>
      <c r="AD216" s="3"/>
      <c r="AE216" s="3"/>
      <c r="AF216" s="3"/>
      <c r="AG216" s="3"/>
      <c r="AH216" s="3"/>
      <c r="AI216" s="3"/>
      <c r="AJ216" s="3"/>
      <c r="AK216" s="3"/>
      <c r="AL216" s="3"/>
      <c r="AM216" s="3"/>
      <c r="AN216" s="3"/>
      <c r="AO216" s="3"/>
      <c r="AP216" s="3"/>
      <c r="AQ216" s="3"/>
      <c r="AR216" s="3"/>
      <c r="AS216" s="3"/>
      <c r="AT216" s="3"/>
      <c r="AU216" s="3"/>
      <c r="AV216" s="3"/>
      <c r="AW216" s="3"/>
      <c r="AX216" s="3"/>
      <c r="AY216" s="3"/>
      <c r="AZ216" s="3"/>
      <c r="BA216" s="3"/>
      <c r="BB216" s="3"/>
      <c r="BC216" s="3"/>
      <c r="BD216" s="3"/>
    </row>
    <row r="217" spans="1:56" x14ac:dyDescent="0.25">
      <c r="A217" s="16"/>
      <c r="B217" s="16"/>
      <c r="C217" s="16"/>
      <c r="D217" s="16"/>
      <c r="E217" s="3"/>
      <c r="F217" s="3"/>
      <c r="G217" s="3"/>
      <c r="H217" s="3"/>
      <c r="I217" s="3"/>
      <c r="J217" s="3"/>
      <c r="K217" s="3"/>
      <c r="L217" s="3"/>
      <c r="N217" s="3"/>
      <c r="O217" s="3"/>
      <c r="P217" s="3"/>
      <c r="Q217" s="3"/>
      <c r="R217" s="3"/>
      <c r="S217" s="3"/>
      <c r="T217" s="3"/>
      <c r="U217" s="3"/>
      <c r="V217" s="3"/>
      <c r="W217" s="3"/>
      <c r="X217" s="3"/>
      <c r="Y217" s="3"/>
      <c r="Z217" s="3"/>
      <c r="AA217" s="3"/>
      <c r="AB217" s="3"/>
      <c r="AC217" s="3"/>
      <c r="AD217" s="3"/>
      <c r="AE217" s="3"/>
      <c r="AF217" s="3"/>
      <c r="AG217" s="3"/>
      <c r="AH217" s="3"/>
      <c r="AI217" s="3"/>
      <c r="AJ217" s="3"/>
      <c r="AK217" s="3"/>
      <c r="AL217" s="3"/>
      <c r="AM217" s="3"/>
      <c r="AN217" s="3"/>
      <c r="AO217" s="3"/>
      <c r="AP217" s="3"/>
      <c r="AQ217" s="3"/>
      <c r="AR217" s="3"/>
      <c r="AS217" s="3"/>
      <c r="AT217" s="3"/>
      <c r="AU217" s="3"/>
      <c r="AV217" s="3"/>
      <c r="AW217" s="3"/>
      <c r="AX217" s="3"/>
      <c r="AY217" s="3"/>
      <c r="AZ217" s="3"/>
      <c r="BA217" s="3"/>
      <c r="BB217" s="3"/>
      <c r="BC217" s="3"/>
      <c r="BD217" s="3"/>
    </row>
    <row r="218" spans="1:56" x14ac:dyDescent="0.25">
      <c r="A218" s="16"/>
      <c r="B218" s="16"/>
      <c r="C218" s="16"/>
      <c r="D218" s="16"/>
      <c r="E218" s="3"/>
      <c r="F218" s="3"/>
      <c r="G218" s="3"/>
      <c r="H218" s="3"/>
      <c r="I218" s="3"/>
      <c r="J218" s="3"/>
      <c r="K218" s="3"/>
      <c r="L218" s="3"/>
      <c r="N218" s="3"/>
      <c r="O218" s="3"/>
      <c r="P218" s="3"/>
      <c r="Q218" s="3"/>
      <c r="R218" s="3"/>
      <c r="S218" s="3"/>
      <c r="T218" s="3"/>
      <c r="U218" s="3"/>
      <c r="V218" s="3"/>
      <c r="W218" s="3"/>
      <c r="X218" s="3"/>
      <c r="Y218" s="3"/>
      <c r="Z218" s="3"/>
      <c r="AA218" s="3"/>
      <c r="AB218" s="3"/>
      <c r="AC218" s="3"/>
      <c r="AD218" s="3"/>
      <c r="AE218" s="3"/>
      <c r="AF218" s="3"/>
      <c r="AG218" s="3"/>
      <c r="AH218" s="3"/>
      <c r="AI218" s="3"/>
      <c r="AJ218" s="3"/>
      <c r="AK218" s="3"/>
      <c r="AL218" s="3"/>
      <c r="AM218" s="3"/>
      <c r="AN218" s="3"/>
      <c r="AO218" s="3"/>
      <c r="AP218" s="3"/>
      <c r="AQ218" s="3"/>
      <c r="AR218" s="3"/>
      <c r="AS218" s="3"/>
      <c r="AT218" s="3"/>
      <c r="AU218" s="3"/>
      <c r="AV218" s="3"/>
      <c r="AW218" s="3"/>
      <c r="AX218" s="3"/>
      <c r="AY218" s="3"/>
      <c r="AZ218" s="3"/>
      <c r="BA218" s="3"/>
      <c r="BB218" s="3"/>
      <c r="BC218" s="3"/>
      <c r="BD218" s="3"/>
    </row>
    <row r="219" spans="1:56" x14ac:dyDescent="0.25">
      <c r="A219" s="16"/>
      <c r="B219" s="16"/>
      <c r="C219" s="16"/>
      <c r="D219" s="16"/>
      <c r="E219" s="3"/>
      <c r="F219" s="3"/>
      <c r="G219" s="3"/>
      <c r="H219" s="3"/>
      <c r="I219" s="3"/>
      <c r="J219" s="3"/>
      <c r="K219" s="3"/>
      <c r="L219" s="3"/>
      <c r="N219" s="3"/>
      <c r="O219" s="3"/>
      <c r="P219" s="3"/>
      <c r="Q219" s="3"/>
      <c r="R219" s="3"/>
      <c r="S219" s="3"/>
      <c r="T219" s="3"/>
      <c r="U219" s="3"/>
      <c r="V219" s="3"/>
      <c r="W219" s="3"/>
      <c r="X219" s="3"/>
      <c r="Y219" s="3"/>
      <c r="Z219" s="3"/>
      <c r="AA219" s="3"/>
      <c r="AB219" s="3"/>
      <c r="AC219" s="3"/>
      <c r="AD219" s="3"/>
      <c r="AE219" s="3"/>
      <c r="AF219" s="3"/>
      <c r="AG219" s="3"/>
      <c r="AH219" s="3"/>
      <c r="AI219" s="3"/>
      <c r="AJ219" s="3"/>
      <c r="AK219" s="3"/>
      <c r="AL219" s="3"/>
      <c r="AM219" s="3"/>
      <c r="AN219" s="3"/>
      <c r="AO219" s="3"/>
      <c r="AP219" s="3"/>
      <c r="AQ219" s="3"/>
      <c r="AR219" s="3"/>
      <c r="AS219" s="3"/>
      <c r="AT219" s="3"/>
      <c r="AU219" s="3"/>
      <c r="AV219" s="3"/>
      <c r="AW219" s="3"/>
      <c r="AX219" s="3"/>
      <c r="AY219" s="3"/>
      <c r="AZ219" s="3"/>
      <c r="BA219" s="3"/>
      <c r="BB219" s="3"/>
      <c r="BC219" s="3"/>
      <c r="BD219" s="3"/>
    </row>
    <row r="220" spans="1:56" x14ac:dyDescent="0.25">
      <c r="A220" s="16"/>
      <c r="B220" s="16"/>
      <c r="C220" s="16"/>
      <c r="D220" s="16"/>
      <c r="E220" s="3"/>
      <c r="F220" s="3"/>
      <c r="G220" s="3"/>
      <c r="H220" s="3"/>
      <c r="I220" s="3"/>
      <c r="J220" s="3"/>
      <c r="K220" s="3"/>
      <c r="L220" s="3"/>
      <c r="N220" s="3"/>
      <c r="O220" s="3"/>
      <c r="P220" s="3"/>
      <c r="Q220" s="3"/>
      <c r="R220" s="3"/>
      <c r="S220" s="3"/>
      <c r="T220" s="3"/>
      <c r="U220" s="3"/>
      <c r="V220" s="3"/>
      <c r="W220" s="3"/>
      <c r="X220" s="3"/>
      <c r="Y220" s="3"/>
      <c r="Z220" s="3"/>
      <c r="AA220" s="3"/>
      <c r="AB220" s="3"/>
      <c r="AC220" s="3"/>
      <c r="AD220" s="3"/>
      <c r="AE220" s="3"/>
      <c r="AF220" s="3"/>
      <c r="AG220" s="3"/>
      <c r="AH220" s="3"/>
      <c r="AI220" s="3"/>
      <c r="AJ220" s="3"/>
      <c r="AK220" s="3"/>
      <c r="AL220" s="3"/>
      <c r="AM220" s="3"/>
      <c r="AN220" s="3"/>
      <c r="AO220" s="3"/>
      <c r="AP220" s="3"/>
      <c r="AQ220" s="3"/>
      <c r="AR220" s="3"/>
      <c r="AS220" s="3"/>
      <c r="AT220" s="3"/>
      <c r="AU220" s="3"/>
      <c r="AV220" s="3"/>
      <c r="AW220" s="3"/>
      <c r="AX220" s="3"/>
      <c r="AY220" s="3"/>
      <c r="AZ220" s="3"/>
      <c r="BA220" s="3"/>
      <c r="BB220" s="3"/>
      <c r="BC220" s="3"/>
      <c r="BD220" s="3"/>
    </row>
    <row r="221" spans="1:56" x14ac:dyDescent="0.25">
      <c r="A221" s="16"/>
      <c r="B221" s="16"/>
      <c r="C221" s="16"/>
      <c r="D221" s="16"/>
      <c r="E221" s="3"/>
      <c r="F221" s="3"/>
      <c r="G221" s="3"/>
      <c r="H221" s="3"/>
      <c r="I221" s="3"/>
      <c r="J221" s="3"/>
      <c r="K221" s="3"/>
      <c r="L221" s="3"/>
      <c r="N221" s="3"/>
      <c r="O221" s="3"/>
      <c r="P221" s="3"/>
      <c r="Q221" s="3"/>
      <c r="R221" s="3"/>
      <c r="S221" s="3"/>
      <c r="T221" s="3"/>
      <c r="U221" s="3"/>
      <c r="V221" s="3"/>
      <c r="W221" s="3"/>
      <c r="X221" s="3"/>
      <c r="Y221" s="3"/>
      <c r="Z221" s="3"/>
      <c r="AA221" s="3"/>
      <c r="AB221" s="3"/>
      <c r="AC221" s="3"/>
      <c r="AD221" s="3"/>
      <c r="AE221" s="3"/>
      <c r="AF221" s="3"/>
      <c r="AG221" s="3"/>
      <c r="AH221" s="3"/>
      <c r="AI221" s="3"/>
      <c r="AJ221" s="3"/>
      <c r="AK221" s="3"/>
      <c r="AL221" s="3"/>
      <c r="AM221" s="3"/>
      <c r="AN221" s="3"/>
      <c r="AO221" s="3"/>
      <c r="AP221" s="3"/>
      <c r="AQ221" s="3"/>
      <c r="AR221" s="3"/>
      <c r="AS221" s="3"/>
      <c r="AT221" s="3"/>
      <c r="AU221" s="3"/>
      <c r="AV221" s="3"/>
      <c r="AW221" s="3"/>
      <c r="AX221" s="3"/>
      <c r="AY221" s="3"/>
      <c r="AZ221" s="3"/>
      <c r="BA221" s="3"/>
      <c r="BB221" s="3"/>
      <c r="BC221" s="3"/>
      <c r="BD221" s="3"/>
    </row>
    <row r="222" spans="1:56" x14ac:dyDescent="0.25">
      <c r="A222" s="16"/>
      <c r="B222" s="16"/>
      <c r="C222" s="16"/>
      <c r="D222" s="16"/>
      <c r="E222" s="3"/>
      <c r="F222" s="3"/>
      <c r="G222" s="3"/>
      <c r="H222" s="3"/>
      <c r="I222" s="3"/>
      <c r="J222" s="3"/>
      <c r="K222" s="3"/>
      <c r="L222" s="3"/>
      <c r="N222" s="3"/>
      <c r="O222" s="3"/>
      <c r="P222" s="3"/>
      <c r="Q222" s="3"/>
      <c r="R222" s="3"/>
      <c r="S222" s="3"/>
      <c r="T222" s="3"/>
      <c r="U222" s="3"/>
      <c r="V222" s="3"/>
      <c r="W222" s="3"/>
      <c r="X222" s="3"/>
      <c r="Y222" s="3"/>
      <c r="Z222" s="3"/>
      <c r="AA222" s="3"/>
      <c r="AB222" s="3"/>
      <c r="AC222" s="3"/>
      <c r="AD222" s="3"/>
      <c r="AE222" s="3"/>
      <c r="AF222" s="3"/>
      <c r="AG222" s="3"/>
      <c r="AH222" s="3"/>
      <c r="AI222" s="3"/>
      <c r="AJ222" s="3"/>
      <c r="AK222" s="3"/>
      <c r="AL222" s="3"/>
      <c r="AM222" s="3"/>
      <c r="AN222" s="3"/>
      <c r="AO222" s="3"/>
      <c r="AP222" s="3"/>
      <c r="AQ222" s="3"/>
      <c r="AR222" s="3"/>
      <c r="AS222" s="3"/>
      <c r="AT222" s="3"/>
      <c r="AU222" s="3"/>
      <c r="AV222" s="3"/>
      <c r="AW222" s="3"/>
      <c r="AX222" s="3"/>
      <c r="AY222" s="3"/>
      <c r="AZ222" s="3"/>
      <c r="BA222" s="3"/>
      <c r="BB222" s="3"/>
      <c r="BC222" s="3"/>
      <c r="BD222" s="3"/>
    </row>
    <row r="223" spans="1:56" x14ac:dyDescent="0.25">
      <c r="A223" s="16"/>
      <c r="B223" s="16"/>
      <c r="C223" s="16"/>
      <c r="D223" s="16"/>
      <c r="E223" s="3"/>
      <c r="F223" s="3"/>
      <c r="G223" s="3"/>
      <c r="H223" s="3"/>
      <c r="I223" s="3"/>
      <c r="J223" s="3"/>
      <c r="K223" s="3"/>
      <c r="L223" s="3"/>
      <c r="N223" s="3"/>
      <c r="O223" s="3"/>
      <c r="P223" s="3"/>
      <c r="Q223" s="3"/>
      <c r="R223" s="3"/>
      <c r="S223" s="3"/>
      <c r="T223" s="3"/>
      <c r="U223" s="3"/>
      <c r="V223" s="3"/>
      <c r="W223" s="3"/>
      <c r="X223" s="3"/>
      <c r="Y223" s="3"/>
      <c r="Z223" s="3"/>
      <c r="AA223" s="3"/>
      <c r="AB223" s="3"/>
      <c r="AC223" s="3"/>
      <c r="AD223" s="3"/>
      <c r="AE223" s="3"/>
      <c r="AF223" s="3"/>
      <c r="AG223" s="3"/>
      <c r="AH223" s="3"/>
      <c r="AI223" s="3"/>
      <c r="AJ223" s="3"/>
      <c r="AK223" s="3"/>
      <c r="AL223" s="3"/>
      <c r="AM223" s="3"/>
      <c r="AN223" s="3"/>
      <c r="AO223" s="3"/>
      <c r="AP223" s="3"/>
      <c r="AQ223" s="3"/>
      <c r="AR223" s="3"/>
      <c r="AS223" s="3"/>
      <c r="AT223" s="3"/>
      <c r="AU223" s="3"/>
      <c r="AV223" s="3"/>
      <c r="AW223" s="3"/>
      <c r="AX223" s="3"/>
      <c r="AY223" s="3"/>
      <c r="AZ223" s="3"/>
      <c r="BA223" s="3"/>
      <c r="BB223" s="3"/>
      <c r="BC223" s="3"/>
      <c r="BD223" s="3"/>
    </row>
    <row r="224" spans="1:56" x14ac:dyDescent="0.25">
      <c r="A224" s="16"/>
      <c r="B224" s="16"/>
      <c r="C224" s="16"/>
      <c r="D224" s="16"/>
      <c r="E224" s="3"/>
      <c r="F224" s="3"/>
      <c r="G224" s="3"/>
      <c r="H224" s="3"/>
      <c r="I224" s="3"/>
      <c r="J224" s="3"/>
      <c r="K224" s="3"/>
      <c r="L224" s="3"/>
      <c r="N224" s="3"/>
      <c r="O224" s="3"/>
      <c r="P224" s="3"/>
      <c r="Q224" s="3"/>
      <c r="R224" s="3"/>
      <c r="S224" s="3"/>
      <c r="T224" s="3"/>
      <c r="U224" s="3"/>
      <c r="V224" s="3"/>
      <c r="W224" s="3"/>
      <c r="X224" s="3"/>
      <c r="Y224" s="3"/>
      <c r="Z224" s="3"/>
      <c r="AA224" s="3"/>
      <c r="AB224" s="3"/>
      <c r="AC224" s="3"/>
      <c r="AD224" s="3"/>
      <c r="AE224" s="3"/>
      <c r="AF224" s="3"/>
      <c r="AG224" s="3"/>
      <c r="AH224" s="3"/>
      <c r="AI224" s="3"/>
      <c r="AJ224" s="3"/>
      <c r="AK224" s="3"/>
      <c r="AL224" s="3"/>
      <c r="AM224" s="3"/>
      <c r="AN224" s="3"/>
      <c r="AO224" s="3"/>
      <c r="AP224" s="3"/>
      <c r="AQ224" s="3"/>
      <c r="AR224" s="3"/>
      <c r="AS224" s="3"/>
      <c r="AT224" s="3"/>
      <c r="AU224" s="3"/>
      <c r="AV224" s="3"/>
      <c r="AW224" s="3"/>
      <c r="AX224" s="3"/>
      <c r="AY224" s="3"/>
      <c r="AZ224" s="3"/>
      <c r="BA224" s="3"/>
      <c r="BB224" s="3"/>
      <c r="BC224" s="3"/>
      <c r="BD224" s="3"/>
    </row>
    <row r="225" spans="1:56" x14ac:dyDescent="0.25">
      <c r="A225" s="16"/>
      <c r="B225" s="16"/>
      <c r="C225" s="16"/>
      <c r="D225" s="16"/>
      <c r="E225" s="3"/>
      <c r="F225" s="3"/>
      <c r="G225" s="3"/>
      <c r="H225" s="3"/>
      <c r="I225" s="3"/>
      <c r="J225" s="3"/>
      <c r="K225" s="3"/>
      <c r="L225" s="3"/>
      <c r="N225" s="3"/>
      <c r="O225" s="3"/>
      <c r="P225" s="3"/>
      <c r="Q225" s="3"/>
      <c r="R225" s="3"/>
      <c r="S225" s="3"/>
      <c r="T225" s="3"/>
      <c r="U225" s="3"/>
      <c r="V225" s="3"/>
      <c r="W225" s="3"/>
      <c r="X225" s="3"/>
      <c r="Y225" s="3"/>
      <c r="Z225" s="3"/>
      <c r="AA225" s="3"/>
      <c r="AB225" s="3"/>
      <c r="AC225" s="3"/>
      <c r="AD225" s="3"/>
      <c r="AE225" s="3"/>
      <c r="AF225" s="3"/>
      <c r="AG225" s="3"/>
      <c r="AH225" s="3"/>
      <c r="AI225" s="3"/>
      <c r="AJ225" s="3"/>
      <c r="AK225" s="3"/>
      <c r="AL225" s="3"/>
      <c r="AM225" s="3"/>
      <c r="AN225" s="3"/>
      <c r="AO225" s="3"/>
      <c r="AP225" s="3"/>
      <c r="AQ225" s="3"/>
      <c r="AR225" s="3"/>
      <c r="AS225" s="3"/>
      <c r="AT225" s="3"/>
      <c r="AU225" s="3"/>
      <c r="AV225" s="3"/>
      <c r="AW225" s="3"/>
      <c r="AX225" s="3"/>
      <c r="AY225" s="3"/>
      <c r="AZ225" s="3"/>
      <c r="BA225" s="3"/>
      <c r="BB225" s="3"/>
      <c r="BC225" s="3"/>
      <c r="BD225" s="3"/>
    </row>
    <row r="226" spans="1:56" x14ac:dyDescent="0.25">
      <c r="A226" s="16"/>
      <c r="B226" s="16"/>
      <c r="C226" s="16"/>
      <c r="D226" s="16"/>
      <c r="E226" s="3"/>
      <c r="F226" s="3"/>
      <c r="G226" s="3"/>
      <c r="H226" s="3"/>
      <c r="I226" s="3"/>
      <c r="J226" s="3"/>
      <c r="K226" s="3"/>
      <c r="L226" s="3"/>
      <c r="N226" s="3"/>
      <c r="O226" s="3"/>
      <c r="P226" s="3"/>
      <c r="Q226" s="3"/>
      <c r="R226" s="3"/>
      <c r="S226" s="3"/>
      <c r="T226" s="3"/>
      <c r="U226" s="3"/>
      <c r="V226" s="3"/>
      <c r="W226" s="3"/>
      <c r="X226" s="3"/>
      <c r="Y226" s="3"/>
      <c r="Z226" s="3"/>
      <c r="AA226" s="3"/>
      <c r="AB226" s="3"/>
      <c r="AC226" s="3"/>
      <c r="AD226" s="3"/>
      <c r="AE226" s="3"/>
      <c r="AF226" s="3"/>
      <c r="AG226" s="3"/>
      <c r="AH226" s="3"/>
      <c r="AI226" s="3"/>
      <c r="AJ226" s="3"/>
      <c r="AK226" s="3"/>
      <c r="AL226" s="3"/>
      <c r="AM226" s="3"/>
      <c r="AN226" s="3"/>
      <c r="AO226" s="3"/>
      <c r="AP226" s="3"/>
      <c r="AQ226" s="3"/>
      <c r="AR226" s="3"/>
      <c r="AS226" s="3"/>
      <c r="AT226" s="3"/>
      <c r="AU226" s="3"/>
      <c r="AV226" s="3"/>
      <c r="AW226" s="3"/>
      <c r="AX226" s="3"/>
      <c r="AY226" s="3"/>
      <c r="AZ226" s="3"/>
      <c r="BA226" s="3"/>
      <c r="BB226" s="3"/>
      <c r="BC226" s="3"/>
      <c r="BD226" s="3"/>
    </row>
    <row r="227" spans="1:56" x14ac:dyDescent="0.25">
      <c r="A227" s="16"/>
      <c r="B227" s="16"/>
      <c r="C227" s="16"/>
      <c r="D227" s="16"/>
      <c r="E227" s="3"/>
      <c r="F227" s="3"/>
      <c r="G227" s="3"/>
      <c r="H227" s="3"/>
      <c r="I227" s="3"/>
      <c r="J227" s="3"/>
      <c r="K227" s="3"/>
      <c r="L227" s="3"/>
      <c r="N227" s="3"/>
      <c r="O227" s="3"/>
      <c r="P227" s="3"/>
      <c r="Q227" s="3"/>
      <c r="R227" s="3"/>
      <c r="S227" s="3"/>
      <c r="T227" s="3"/>
      <c r="U227" s="3"/>
      <c r="V227" s="3"/>
      <c r="W227" s="3"/>
      <c r="X227" s="3"/>
      <c r="Y227" s="3"/>
      <c r="Z227" s="3"/>
      <c r="AA227" s="3"/>
      <c r="AB227" s="3"/>
      <c r="AC227" s="3"/>
      <c r="AD227" s="3"/>
      <c r="AE227" s="3"/>
      <c r="AF227" s="3"/>
      <c r="AG227" s="3"/>
      <c r="AH227" s="3"/>
      <c r="AI227" s="3"/>
      <c r="AJ227" s="3"/>
      <c r="AK227" s="3"/>
      <c r="AL227" s="3"/>
      <c r="AM227" s="3"/>
      <c r="AN227" s="3"/>
      <c r="AO227" s="3"/>
      <c r="AP227" s="3"/>
      <c r="AQ227" s="3"/>
      <c r="AR227" s="3"/>
      <c r="AS227" s="3"/>
      <c r="AT227" s="3"/>
      <c r="AU227" s="3"/>
      <c r="AV227" s="3"/>
      <c r="AW227" s="3"/>
      <c r="AX227" s="3"/>
      <c r="AY227" s="3"/>
      <c r="AZ227" s="3"/>
      <c r="BA227" s="3"/>
      <c r="BB227" s="3"/>
      <c r="BC227" s="3"/>
      <c r="BD227" s="3"/>
    </row>
    <row r="228" spans="1:56" x14ac:dyDescent="0.25">
      <c r="A228" s="16"/>
      <c r="B228" s="16"/>
      <c r="C228" s="16"/>
      <c r="D228" s="16"/>
      <c r="E228" s="3"/>
      <c r="F228" s="3"/>
      <c r="G228" s="3"/>
      <c r="H228" s="3"/>
      <c r="I228" s="3"/>
      <c r="J228" s="3"/>
      <c r="K228" s="3"/>
      <c r="L228" s="3"/>
      <c r="N228" s="3"/>
      <c r="O228" s="3"/>
      <c r="P228" s="3"/>
      <c r="Q228" s="3"/>
      <c r="R228" s="3"/>
      <c r="S228" s="3"/>
      <c r="T228" s="3"/>
      <c r="U228" s="3"/>
      <c r="V228" s="3"/>
      <c r="W228" s="3"/>
      <c r="X228" s="3"/>
      <c r="Y228" s="3"/>
      <c r="Z228" s="3"/>
      <c r="AA228" s="3"/>
      <c r="AB228" s="3"/>
      <c r="AC228" s="3"/>
      <c r="AD228" s="3"/>
      <c r="AE228" s="3"/>
      <c r="AF228" s="3"/>
      <c r="AG228" s="3"/>
      <c r="AH228" s="3"/>
      <c r="AI228" s="3"/>
      <c r="AJ228" s="3"/>
      <c r="AK228" s="3"/>
      <c r="AL228" s="3"/>
      <c r="AM228" s="3"/>
      <c r="AN228" s="3"/>
      <c r="AO228" s="3"/>
      <c r="AP228" s="3"/>
      <c r="AQ228" s="3"/>
      <c r="AR228" s="3"/>
      <c r="AS228" s="3"/>
      <c r="AT228" s="3"/>
      <c r="AU228" s="3"/>
      <c r="AV228" s="3"/>
      <c r="AW228" s="3"/>
      <c r="AX228" s="3"/>
      <c r="AY228" s="3"/>
      <c r="AZ228" s="3"/>
      <c r="BA228" s="3"/>
      <c r="BB228" s="3"/>
      <c r="BC228" s="3"/>
      <c r="BD228" s="3"/>
    </row>
    <row r="229" spans="1:56" x14ac:dyDescent="0.25">
      <c r="A229" s="16"/>
      <c r="B229" s="16"/>
      <c r="C229" s="16"/>
      <c r="D229" s="16"/>
      <c r="E229" s="3"/>
      <c r="F229" s="3"/>
      <c r="G229" s="3"/>
      <c r="H229" s="3"/>
      <c r="I229" s="3"/>
      <c r="J229" s="3"/>
      <c r="K229" s="3"/>
      <c r="L229" s="3"/>
      <c r="N229" s="3"/>
      <c r="O229" s="3"/>
      <c r="P229" s="3"/>
      <c r="Q229" s="3"/>
      <c r="R229" s="3"/>
      <c r="S229" s="3"/>
      <c r="T229" s="3"/>
      <c r="U229" s="3"/>
      <c r="V229" s="3"/>
      <c r="W229" s="3"/>
      <c r="X229" s="3"/>
      <c r="Y229" s="3"/>
      <c r="Z229" s="3"/>
      <c r="AA229" s="3"/>
      <c r="AB229" s="3"/>
      <c r="AC229" s="3"/>
      <c r="AD229" s="3"/>
      <c r="AE229" s="3"/>
      <c r="AF229" s="3"/>
      <c r="AG229" s="3"/>
      <c r="AH229" s="3"/>
      <c r="AI229" s="3"/>
      <c r="AJ229" s="3"/>
      <c r="AK229" s="3"/>
      <c r="AL229" s="3"/>
      <c r="AM229" s="3"/>
      <c r="AN229" s="3"/>
      <c r="AO229" s="3"/>
      <c r="AP229" s="3"/>
      <c r="AQ229" s="3"/>
      <c r="AR229" s="3"/>
      <c r="AS229" s="3"/>
      <c r="AT229" s="3"/>
      <c r="AU229" s="3"/>
      <c r="AV229" s="3"/>
      <c r="AW229" s="3"/>
      <c r="AX229" s="3"/>
      <c r="AY229" s="3"/>
      <c r="AZ229" s="3"/>
      <c r="BA229" s="3"/>
      <c r="BB229" s="3"/>
      <c r="BC229" s="3"/>
      <c r="BD229" s="3"/>
    </row>
    <row r="230" spans="1:56" x14ac:dyDescent="0.25">
      <c r="A230" s="16"/>
      <c r="B230" s="16"/>
      <c r="C230" s="16"/>
      <c r="D230" s="16"/>
      <c r="E230" s="3"/>
      <c r="F230" s="3"/>
      <c r="G230" s="3"/>
      <c r="H230" s="3"/>
      <c r="I230" s="3"/>
      <c r="J230" s="3"/>
      <c r="K230" s="3"/>
      <c r="L230" s="3"/>
      <c r="N230" s="3"/>
      <c r="O230" s="3"/>
      <c r="P230" s="3"/>
      <c r="Q230" s="3"/>
      <c r="R230" s="3"/>
      <c r="S230" s="3"/>
      <c r="T230" s="3"/>
      <c r="U230" s="3"/>
      <c r="V230" s="3"/>
      <c r="W230" s="3"/>
      <c r="X230" s="3"/>
      <c r="Y230" s="3"/>
      <c r="Z230" s="3"/>
      <c r="AA230" s="3"/>
      <c r="AB230" s="3"/>
      <c r="AC230" s="3"/>
      <c r="AD230" s="3"/>
      <c r="AE230" s="3"/>
      <c r="AF230" s="3"/>
      <c r="AG230" s="3"/>
      <c r="AH230" s="3"/>
      <c r="AI230" s="3"/>
      <c r="AJ230" s="3"/>
      <c r="AK230" s="3"/>
      <c r="AL230" s="3"/>
      <c r="AM230" s="3"/>
      <c r="AN230" s="3"/>
      <c r="AO230" s="3"/>
      <c r="AP230" s="3"/>
      <c r="AQ230" s="3"/>
      <c r="AR230" s="3"/>
      <c r="AS230" s="3"/>
      <c r="AT230" s="3"/>
      <c r="AU230" s="3"/>
      <c r="AV230" s="3"/>
      <c r="AW230" s="3"/>
      <c r="AX230" s="3"/>
      <c r="AY230" s="3"/>
      <c r="AZ230" s="3"/>
      <c r="BA230" s="3"/>
      <c r="BB230" s="3"/>
      <c r="BC230" s="3"/>
      <c r="BD230" s="3"/>
    </row>
    <row r="231" spans="1:56" x14ac:dyDescent="0.25">
      <c r="A231" s="16"/>
      <c r="B231" s="16"/>
      <c r="C231" s="16"/>
      <c r="D231" s="16"/>
      <c r="E231" s="3"/>
      <c r="F231" s="3"/>
      <c r="G231" s="3"/>
      <c r="H231" s="3"/>
      <c r="I231" s="3"/>
      <c r="J231" s="3"/>
      <c r="K231" s="3"/>
      <c r="L231" s="3"/>
      <c r="N231" s="3"/>
      <c r="O231" s="3"/>
      <c r="P231" s="3"/>
      <c r="Q231" s="3"/>
      <c r="R231" s="3"/>
      <c r="S231" s="3"/>
      <c r="T231" s="3"/>
      <c r="U231" s="3"/>
      <c r="V231" s="3"/>
      <c r="W231" s="3"/>
      <c r="X231" s="3"/>
      <c r="Y231" s="3"/>
      <c r="Z231" s="3"/>
      <c r="AA231" s="3"/>
      <c r="AB231" s="3"/>
      <c r="AC231" s="3"/>
      <c r="AD231" s="3"/>
      <c r="AE231" s="3"/>
      <c r="AF231" s="3"/>
      <c r="AG231" s="3"/>
      <c r="AH231" s="3"/>
      <c r="AI231" s="3"/>
      <c r="AJ231" s="3"/>
      <c r="AK231" s="3"/>
      <c r="AL231" s="3"/>
      <c r="AM231" s="3"/>
      <c r="AN231" s="3"/>
      <c r="AO231" s="3"/>
      <c r="AP231" s="3"/>
      <c r="AQ231" s="3"/>
      <c r="AR231" s="3"/>
      <c r="AS231" s="3"/>
      <c r="AT231" s="3"/>
      <c r="AU231" s="3"/>
      <c r="AV231" s="3"/>
      <c r="AW231" s="3"/>
      <c r="AX231" s="3"/>
      <c r="AY231" s="3"/>
      <c r="AZ231" s="3"/>
      <c r="BA231" s="3"/>
      <c r="BB231" s="3"/>
      <c r="BC231" s="3"/>
      <c r="BD231" s="3"/>
    </row>
    <row r="232" spans="1:56" x14ac:dyDescent="0.25">
      <c r="A232" s="16"/>
      <c r="B232" s="16"/>
      <c r="C232" s="16"/>
      <c r="D232" s="16"/>
      <c r="E232" s="3"/>
      <c r="F232" s="3"/>
      <c r="G232" s="3"/>
      <c r="H232" s="3"/>
      <c r="I232" s="3"/>
      <c r="J232" s="3"/>
      <c r="K232" s="3"/>
      <c r="L232" s="3"/>
      <c r="N232" s="3"/>
      <c r="O232" s="3"/>
      <c r="P232" s="3"/>
      <c r="Q232" s="3"/>
      <c r="R232" s="3"/>
      <c r="S232" s="3"/>
      <c r="T232" s="3"/>
      <c r="U232" s="3"/>
      <c r="V232" s="3"/>
      <c r="W232" s="3"/>
      <c r="X232" s="3"/>
      <c r="Y232" s="3"/>
      <c r="Z232" s="3"/>
      <c r="AA232" s="3"/>
      <c r="AB232" s="3"/>
      <c r="AC232" s="3"/>
      <c r="AD232" s="3"/>
      <c r="AE232" s="3"/>
      <c r="AF232" s="3"/>
      <c r="AG232" s="3"/>
      <c r="AH232" s="3"/>
      <c r="AI232" s="3"/>
      <c r="AJ232" s="3"/>
      <c r="AK232" s="3"/>
      <c r="AL232" s="3"/>
      <c r="AM232" s="3"/>
      <c r="AN232" s="3"/>
      <c r="AO232" s="3"/>
      <c r="AP232" s="3"/>
      <c r="AQ232" s="3"/>
      <c r="AR232" s="3"/>
      <c r="AS232" s="3"/>
      <c r="AT232" s="3"/>
      <c r="AU232" s="3"/>
      <c r="AV232" s="3"/>
      <c r="AW232" s="3"/>
      <c r="AX232" s="3"/>
      <c r="AY232" s="3"/>
      <c r="AZ232" s="3"/>
      <c r="BA232" s="3"/>
      <c r="BB232" s="3"/>
      <c r="BC232" s="3"/>
      <c r="BD232" s="3"/>
    </row>
    <row r="233" spans="1:56" x14ac:dyDescent="0.25">
      <c r="A233" s="16"/>
      <c r="B233" s="16"/>
      <c r="C233" s="16"/>
      <c r="D233" s="16"/>
      <c r="E233" s="3"/>
      <c r="F233" s="3"/>
      <c r="G233" s="3"/>
      <c r="H233" s="3"/>
      <c r="I233" s="3"/>
      <c r="J233" s="3"/>
      <c r="K233" s="3"/>
      <c r="L233" s="3"/>
      <c r="N233" s="3"/>
      <c r="O233" s="3"/>
      <c r="P233" s="3"/>
      <c r="Q233" s="3"/>
      <c r="R233" s="3"/>
      <c r="S233" s="3"/>
      <c r="T233" s="3"/>
      <c r="U233" s="3"/>
      <c r="V233" s="3"/>
      <c r="W233" s="3"/>
      <c r="X233" s="3"/>
      <c r="Y233" s="3"/>
      <c r="Z233" s="3"/>
      <c r="AA233" s="3"/>
      <c r="AB233" s="3"/>
      <c r="AC233" s="3"/>
      <c r="AD233" s="3"/>
      <c r="AE233" s="3"/>
      <c r="AF233" s="3"/>
      <c r="AG233" s="3"/>
      <c r="AH233" s="3"/>
      <c r="AI233" s="3"/>
      <c r="AJ233" s="3"/>
      <c r="AK233" s="3"/>
      <c r="AL233" s="3"/>
      <c r="AM233" s="3"/>
      <c r="AN233" s="3"/>
      <c r="AO233" s="3"/>
      <c r="AP233" s="3"/>
      <c r="AQ233" s="3"/>
      <c r="AR233" s="3"/>
      <c r="AS233" s="3"/>
      <c r="AT233" s="3"/>
      <c r="AU233" s="3"/>
      <c r="AV233" s="3"/>
      <c r="AW233" s="3"/>
      <c r="AX233" s="3"/>
      <c r="AY233" s="3"/>
      <c r="AZ233" s="3"/>
      <c r="BA233" s="3"/>
      <c r="BB233" s="3"/>
      <c r="BC233" s="3"/>
      <c r="BD233" s="3"/>
    </row>
    <row r="234" spans="1:56" x14ac:dyDescent="0.25">
      <c r="A234" s="16"/>
      <c r="B234" s="16"/>
      <c r="C234" s="16"/>
      <c r="D234" s="16"/>
      <c r="E234" s="3"/>
      <c r="F234" s="3"/>
      <c r="G234" s="3"/>
      <c r="H234" s="3"/>
      <c r="I234" s="3"/>
      <c r="J234" s="3"/>
      <c r="K234" s="3"/>
      <c r="L234" s="3"/>
      <c r="N234" s="3"/>
      <c r="O234" s="3"/>
      <c r="P234" s="3"/>
      <c r="Q234" s="3"/>
      <c r="R234" s="3"/>
      <c r="S234" s="3"/>
      <c r="T234" s="3"/>
      <c r="U234" s="3"/>
      <c r="V234" s="3"/>
      <c r="W234" s="3"/>
      <c r="X234" s="3"/>
      <c r="Y234" s="3"/>
      <c r="Z234" s="3"/>
      <c r="AA234" s="3"/>
      <c r="AB234" s="3"/>
      <c r="AC234" s="3"/>
      <c r="AD234" s="3"/>
      <c r="AE234" s="3"/>
      <c r="AF234" s="3"/>
      <c r="AG234" s="3"/>
      <c r="AH234" s="3"/>
      <c r="AI234" s="3"/>
      <c r="AJ234" s="3"/>
      <c r="AK234" s="3"/>
      <c r="AL234" s="3"/>
      <c r="AM234" s="3"/>
      <c r="AN234" s="3"/>
      <c r="AO234" s="3"/>
      <c r="AP234" s="3"/>
      <c r="AQ234" s="3"/>
      <c r="AR234" s="3"/>
      <c r="AS234" s="3"/>
      <c r="AT234" s="3"/>
      <c r="AU234" s="3"/>
      <c r="AV234" s="3"/>
      <c r="AW234" s="3"/>
      <c r="AX234" s="3"/>
      <c r="AY234" s="3"/>
      <c r="AZ234" s="3"/>
      <c r="BA234" s="3"/>
      <c r="BB234" s="3"/>
      <c r="BC234" s="3"/>
      <c r="BD234" s="3"/>
    </row>
    <row r="235" spans="1:56" x14ac:dyDescent="0.25">
      <c r="A235" s="16"/>
      <c r="B235" s="16"/>
      <c r="C235" s="16"/>
      <c r="D235" s="16"/>
      <c r="E235" s="3"/>
      <c r="F235" s="3"/>
      <c r="G235" s="3"/>
      <c r="H235" s="3"/>
      <c r="I235" s="3"/>
      <c r="J235" s="3"/>
      <c r="K235" s="3"/>
      <c r="L235" s="3"/>
      <c r="N235" s="3"/>
      <c r="O235" s="3"/>
      <c r="P235" s="3"/>
      <c r="Q235" s="3"/>
      <c r="R235" s="3"/>
      <c r="S235" s="3"/>
      <c r="T235" s="3"/>
      <c r="U235" s="3"/>
      <c r="V235" s="3"/>
      <c r="W235" s="3"/>
      <c r="X235" s="3"/>
      <c r="Y235" s="3"/>
      <c r="Z235" s="3"/>
      <c r="AA235" s="3"/>
      <c r="AB235" s="3"/>
      <c r="AC235" s="3"/>
      <c r="AD235" s="3"/>
      <c r="AE235" s="3"/>
      <c r="AF235" s="3"/>
      <c r="AG235" s="3"/>
      <c r="AH235" s="3"/>
      <c r="AI235" s="3"/>
      <c r="AJ235" s="3"/>
      <c r="AK235" s="3"/>
      <c r="AL235" s="3"/>
      <c r="AM235" s="3"/>
      <c r="AN235" s="3"/>
      <c r="AO235" s="3"/>
      <c r="AP235" s="3"/>
      <c r="AQ235" s="3"/>
      <c r="AR235" s="3"/>
      <c r="AS235" s="3"/>
      <c r="AT235" s="3"/>
      <c r="AU235" s="3"/>
      <c r="AV235" s="3"/>
      <c r="AW235" s="3"/>
      <c r="AX235" s="3"/>
      <c r="AY235" s="3"/>
      <c r="AZ235" s="3"/>
      <c r="BA235" s="3"/>
      <c r="BB235" s="3"/>
      <c r="BC235" s="3"/>
      <c r="BD235" s="3"/>
    </row>
    <row r="236" spans="1:56" x14ac:dyDescent="0.25">
      <c r="A236" s="16"/>
      <c r="B236" s="16"/>
      <c r="C236" s="16"/>
      <c r="D236" s="16"/>
      <c r="E236" s="3"/>
      <c r="F236" s="3"/>
      <c r="G236" s="3"/>
      <c r="H236" s="3"/>
      <c r="I236" s="3"/>
      <c r="J236" s="3"/>
      <c r="K236" s="3"/>
      <c r="L236" s="3"/>
      <c r="N236" s="3"/>
      <c r="O236" s="3"/>
      <c r="P236" s="3"/>
      <c r="Q236" s="3"/>
      <c r="R236" s="3"/>
      <c r="S236" s="3"/>
      <c r="T236" s="3"/>
      <c r="U236" s="3"/>
      <c r="V236" s="3"/>
      <c r="W236" s="3"/>
      <c r="X236" s="3"/>
      <c r="Y236" s="3"/>
      <c r="Z236" s="3"/>
      <c r="AA236" s="3"/>
      <c r="AB236" s="3"/>
      <c r="AC236" s="3"/>
      <c r="AD236" s="3"/>
      <c r="AE236" s="3"/>
      <c r="AF236" s="3"/>
      <c r="AG236" s="3"/>
      <c r="AH236" s="3"/>
      <c r="AI236" s="3"/>
      <c r="AJ236" s="3"/>
      <c r="AK236" s="3"/>
      <c r="AL236" s="3"/>
      <c r="AM236" s="3"/>
      <c r="AN236" s="3"/>
      <c r="AO236" s="3"/>
      <c r="AP236" s="3"/>
      <c r="AQ236" s="3"/>
      <c r="AR236" s="3"/>
      <c r="AS236" s="3"/>
      <c r="AT236" s="3"/>
      <c r="AU236" s="3"/>
      <c r="AV236" s="3"/>
      <c r="AW236" s="3"/>
      <c r="AX236" s="3"/>
      <c r="AY236" s="3"/>
      <c r="AZ236" s="3"/>
      <c r="BA236" s="3"/>
      <c r="BB236" s="3"/>
      <c r="BC236" s="3"/>
      <c r="BD236" s="3"/>
    </row>
    <row r="237" spans="1:56" x14ac:dyDescent="0.25">
      <c r="A237" s="16"/>
      <c r="B237" s="16"/>
      <c r="C237" s="16"/>
      <c r="D237" s="16"/>
      <c r="E237" s="3"/>
      <c r="F237" s="3"/>
      <c r="G237" s="3"/>
      <c r="H237" s="3"/>
      <c r="I237" s="3"/>
      <c r="J237" s="3"/>
      <c r="K237" s="3"/>
      <c r="L237" s="3"/>
      <c r="N237" s="3"/>
      <c r="O237" s="3"/>
      <c r="P237" s="3"/>
      <c r="Q237" s="3"/>
      <c r="R237" s="3"/>
      <c r="S237" s="3"/>
      <c r="T237" s="3"/>
      <c r="U237" s="3"/>
      <c r="V237" s="3"/>
      <c r="W237" s="3"/>
      <c r="X237" s="3"/>
      <c r="Y237" s="3"/>
      <c r="Z237" s="3"/>
      <c r="AA237" s="3"/>
      <c r="AB237" s="3"/>
      <c r="AC237" s="3"/>
      <c r="AD237" s="3"/>
      <c r="AE237" s="3"/>
      <c r="AF237" s="3"/>
      <c r="AG237" s="3"/>
      <c r="AH237" s="3"/>
      <c r="AI237" s="3"/>
      <c r="AJ237" s="3"/>
      <c r="AK237" s="3"/>
      <c r="AL237" s="3"/>
      <c r="AM237" s="3"/>
      <c r="AN237" s="3"/>
      <c r="AO237" s="3"/>
      <c r="AP237" s="3"/>
      <c r="AQ237" s="3"/>
      <c r="AR237" s="3"/>
      <c r="AS237" s="3"/>
      <c r="AT237" s="3"/>
      <c r="AU237" s="3"/>
      <c r="AV237" s="3"/>
      <c r="AW237" s="3"/>
      <c r="AX237" s="3"/>
      <c r="AY237" s="3"/>
      <c r="AZ237" s="3"/>
      <c r="BA237" s="3"/>
      <c r="BB237" s="3"/>
      <c r="BC237" s="3"/>
      <c r="BD237" s="3"/>
    </row>
    <row r="238" spans="1:56" x14ac:dyDescent="0.25">
      <c r="A238" s="16"/>
      <c r="B238" s="16"/>
      <c r="C238" s="16"/>
      <c r="D238" s="16"/>
      <c r="E238" s="3"/>
      <c r="F238" s="3"/>
      <c r="G238" s="3"/>
      <c r="H238" s="3"/>
      <c r="I238" s="3"/>
      <c r="J238" s="3"/>
      <c r="K238" s="3"/>
      <c r="L238" s="3"/>
      <c r="N238" s="3"/>
      <c r="O238" s="3"/>
      <c r="P238" s="3"/>
      <c r="Q238" s="3"/>
      <c r="R238" s="3"/>
      <c r="S238" s="3"/>
      <c r="T238" s="3"/>
      <c r="U238" s="3"/>
      <c r="V238" s="3"/>
      <c r="W238" s="3"/>
      <c r="X238" s="3"/>
      <c r="Y238" s="3"/>
      <c r="Z238" s="3"/>
      <c r="AA238" s="3"/>
      <c r="AB238" s="3"/>
      <c r="AC238" s="3"/>
      <c r="AD238" s="3"/>
      <c r="AE238" s="3"/>
      <c r="AF238" s="3"/>
      <c r="AG238" s="3"/>
      <c r="AH238" s="3"/>
      <c r="AI238" s="3"/>
      <c r="AJ238" s="3"/>
      <c r="AK238" s="3"/>
      <c r="AL238" s="3"/>
      <c r="AM238" s="3"/>
      <c r="AN238" s="3"/>
      <c r="AO238" s="3"/>
      <c r="AP238" s="3"/>
      <c r="AQ238" s="3"/>
      <c r="AR238" s="3"/>
      <c r="AS238" s="3"/>
      <c r="AT238" s="3"/>
      <c r="AU238" s="3"/>
      <c r="AV238" s="3"/>
      <c r="AW238" s="3"/>
      <c r="AX238" s="3"/>
      <c r="AY238" s="3"/>
      <c r="AZ238" s="3"/>
      <c r="BA238" s="3"/>
      <c r="BB238" s="3"/>
      <c r="BC238" s="3"/>
      <c r="BD238" s="3"/>
    </row>
    <row r="239" spans="1:56" x14ac:dyDescent="0.25">
      <c r="A239" s="16"/>
      <c r="B239" s="16"/>
      <c r="C239" s="16"/>
      <c r="D239" s="16"/>
      <c r="E239" s="3"/>
      <c r="F239" s="3"/>
      <c r="G239" s="3"/>
      <c r="H239" s="3"/>
      <c r="I239" s="3"/>
      <c r="J239" s="3"/>
      <c r="K239" s="3"/>
      <c r="L239" s="3"/>
      <c r="N239" s="3"/>
      <c r="O239" s="3"/>
      <c r="P239" s="3"/>
      <c r="Q239" s="3"/>
      <c r="R239" s="3"/>
      <c r="S239" s="3"/>
      <c r="T239" s="3"/>
      <c r="U239" s="3"/>
      <c r="V239" s="3"/>
      <c r="W239" s="3"/>
      <c r="X239" s="3"/>
      <c r="Y239" s="3"/>
      <c r="Z239" s="3"/>
      <c r="AA239" s="3"/>
      <c r="AB239" s="3"/>
      <c r="AC239" s="3"/>
      <c r="AD239" s="3"/>
      <c r="AE239" s="3"/>
      <c r="AF239" s="3"/>
      <c r="AG239" s="3"/>
      <c r="AH239" s="3"/>
      <c r="AI239" s="3"/>
      <c r="AJ239" s="3"/>
      <c r="AK239" s="3"/>
      <c r="AL239" s="3"/>
      <c r="AM239" s="3"/>
      <c r="AN239" s="3"/>
      <c r="AO239" s="3"/>
      <c r="AP239" s="3"/>
      <c r="AQ239" s="3"/>
      <c r="AR239" s="3"/>
      <c r="AS239" s="3"/>
      <c r="AT239" s="3"/>
      <c r="AU239" s="3"/>
      <c r="AV239" s="3"/>
      <c r="AW239" s="3"/>
      <c r="AX239" s="3"/>
      <c r="AY239" s="3"/>
      <c r="AZ239" s="3"/>
      <c r="BA239" s="3"/>
      <c r="BB239" s="3"/>
      <c r="BC239" s="3"/>
      <c r="BD239" s="3"/>
    </row>
    <row r="240" spans="1:56" x14ac:dyDescent="0.25">
      <c r="A240" s="16"/>
      <c r="B240" s="16"/>
      <c r="C240" s="16"/>
      <c r="D240" s="16"/>
      <c r="E240" s="3"/>
      <c r="F240" s="3"/>
      <c r="G240" s="3"/>
      <c r="H240" s="3"/>
      <c r="I240" s="3"/>
      <c r="J240" s="3"/>
      <c r="K240" s="3"/>
      <c r="L240" s="3"/>
      <c r="N240" s="3"/>
      <c r="O240" s="3"/>
      <c r="P240" s="3"/>
      <c r="Q240" s="3"/>
      <c r="R240" s="3"/>
      <c r="S240" s="3"/>
      <c r="T240" s="3"/>
      <c r="U240" s="3"/>
      <c r="V240" s="3"/>
      <c r="W240" s="3"/>
      <c r="X240" s="3"/>
      <c r="Y240" s="3"/>
      <c r="Z240" s="3"/>
      <c r="AA240" s="3"/>
      <c r="AB240" s="3"/>
      <c r="AC240" s="3"/>
      <c r="AD240" s="3"/>
      <c r="AE240" s="3"/>
      <c r="AF240" s="3"/>
      <c r="AG240" s="3"/>
      <c r="AH240" s="3"/>
      <c r="AI240" s="3"/>
      <c r="AJ240" s="3"/>
      <c r="AK240" s="3"/>
      <c r="AL240" s="3"/>
      <c r="AM240" s="3"/>
      <c r="AN240" s="3"/>
      <c r="AO240" s="3"/>
      <c r="AP240" s="3"/>
      <c r="AQ240" s="3"/>
      <c r="AR240" s="3"/>
      <c r="AS240" s="3"/>
      <c r="AT240" s="3"/>
      <c r="AU240" s="3"/>
      <c r="AV240" s="3"/>
      <c r="AW240" s="3"/>
      <c r="AX240" s="3"/>
      <c r="AY240" s="3"/>
      <c r="AZ240" s="3"/>
      <c r="BA240" s="3"/>
      <c r="BB240" s="3"/>
      <c r="BC240" s="3"/>
      <c r="BD240" s="3"/>
    </row>
    <row r="241" spans="1:56" x14ac:dyDescent="0.25">
      <c r="A241" s="16"/>
      <c r="B241" s="16"/>
      <c r="C241" s="16"/>
      <c r="D241" s="16"/>
      <c r="E241" s="3"/>
      <c r="F241" s="3"/>
      <c r="G241" s="3"/>
      <c r="H241" s="3"/>
      <c r="I241" s="3"/>
      <c r="J241" s="3"/>
      <c r="K241" s="3"/>
      <c r="L241" s="3"/>
      <c r="N241" s="3"/>
      <c r="O241" s="3"/>
      <c r="P241" s="3"/>
      <c r="Q241" s="3"/>
      <c r="R241" s="3"/>
      <c r="S241" s="3"/>
      <c r="T241" s="3"/>
      <c r="U241" s="3"/>
      <c r="V241" s="3"/>
      <c r="W241" s="3"/>
      <c r="X241" s="3"/>
      <c r="Y241" s="3"/>
      <c r="Z241" s="3"/>
      <c r="AA241" s="3"/>
      <c r="AB241" s="3"/>
      <c r="AC241" s="3"/>
      <c r="AD241" s="3"/>
      <c r="AE241" s="3"/>
      <c r="AF241" s="3"/>
      <c r="AG241" s="3"/>
      <c r="AH241" s="3"/>
      <c r="AI241" s="3"/>
      <c r="AJ241" s="3"/>
      <c r="AK241" s="3"/>
      <c r="AL241" s="3"/>
      <c r="AM241" s="3"/>
      <c r="AN241" s="3"/>
      <c r="AO241" s="3"/>
      <c r="AP241" s="3"/>
      <c r="AQ241" s="3"/>
      <c r="AR241" s="3"/>
      <c r="AS241" s="3"/>
      <c r="AT241" s="3"/>
      <c r="AU241" s="3"/>
      <c r="AV241" s="3"/>
      <c r="AW241" s="3"/>
      <c r="AX241" s="3"/>
      <c r="AY241" s="3"/>
      <c r="AZ241" s="3"/>
      <c r="BA241" s="3"/>
      <c r="BB241" s="3"/>
      <c r="BC241" s="3"/>
      <c r="BD241" s="3"/>
    </row>
    <row r="242" spans="1:56" x14ac:dyDescent="0.25">
      <c r="A242" s="16"/>
      <c r="B242" s="16"/>
      <c r="C242" s="16"/>
      <c r="D242" s="16"/>
      <c r="E242" s="3"/>
      <c r="F242" s="3"/>
      <c r="G242" s="3"/>
      <c r="H242" s="3"/>
      <c r="I242" s="3"/>
      <c r="J242" s="3"/>
      <c r="K242" s="3"/>
      <c r="L242" s="3"/>
      <c r="N242" s="3"/>
      <c r="O242" s="3"/>
      <c r="P242" s="3"/>
      <c r="Q242" s="3"/>
      <c r="R242" s="3"/>
      <c r="S242" s="3"/>
      <c r="T242" s="3"/>
      <c r="U242" s="3"/>
      <c r="V242" s="3"/>
      <c r="W242" s="3"/>
      <c r="X242" s="3"/>
      <c r="Y242" s="3"/>
      <c r="Z242" s="3"/>
      <c r="AA242" s="3"/>
      <c r="AB242" s="3"/>
      <c r="AC242" s="3"/>
      <c r="AD242" s="3"/>
      <c r="AE242" s="3"/>
      <c r="AF242" s="3"/>
      <c r="AG242" s="3"/>
      <c r="AH242" s="3"/>
      <c r="AI242" s="3"/>
      <c r="AJ242" s="3"/>
      <c r="AK242" s="3"/>
      <c r="AL242" s="3"/>
      <c r="AM242" s="3"/>
      <c r="AN242" s="3"/>
      <c r="AO242" s="3"/>
      <c r="AP242" s="3"/>
      <c r="AQ242" s="3"/>
      <c r="AR242" s="3"/>
      <c r="AS242" s="3"/>
      <c r="AT242" s="3"/>
      <c r="AU242" s="3"/>
      <c r="AV242" s="3"/>
      <c r="AW242" s="3"/>
      <c r="AX242" s="3"/>
      <c r="AY242" s="3"/>
      <c r="AZ242" s="3"/>
      <c r="BA242" s="3"/>
      <c r="BB242" s="3"/>
      <c r="BC242" s="3"/>
      <c r="BD242" s="3"/>
    </row>
    <row r="243" spans="1:56" x14ac:dyDescent="0.25">
      <c r="A243" s="16"/>
      <c r="B243" s="16"/>
      <c r="C243" s="16"/>
      <c r="D243" s="16"/>
      <c r="E243" s="3"/>
      <c r="F243" s="3"/>
      <c r="G243" s="3"/>
      <c r="H243" s="3"/>
      <c r="I243" s="3"/>
      <c r="J243" s="3"/>
      <c r="K243" s="3"/>
      <c r="L243" s="3"/>
      <c r="N243" s="3"/>
      <c r="O243" s="3"/>
      <c r="P243" s="3"/>
      <c r="Q243" s="3"/>
      <c r="R243" s="3"/>
      <c r="S243" s="3"/>
      <c r="T243" s="3"/>
      <c r="U243" s="3"/>
      <c r="V243" s="3"/>
      <c r="W243" s="3"/>
      <c r="X243" s="3"/>
      <c r="Y243" s="3"/>
      <c r="Z243" s="3"/>
      <c r="AA243" s="3"/>
      <c r="AB243" s="3"/>
      <c r="AC243" s="3"/>
      <c r="AD243" s="3"/>
      <c r="AE243" s="3"/>
      <c r="AF243" s="3"/>
      <c r="AG243" s="3"/>
      <c r="AH243" s="3"/>
      <c r="AI243" s="3"/>
      <c r="AJ243" s="3"/>
      <c r="AK243" s="3"/>
      <c r="AL243" s="3"/>
      <c r="AM243" s="3"/>
      <c r="AN243" s="3"/>
      <c r="AO243" s="3"/>
      <c r="AP243" s="3"/>
      <c r="AQ243" s="3"/>
      <c r="AR243" s="3"/>
      <c r="AS243" s="3"/>
      <c r="AT243" s="3"/>
      <c r="AU243" s="3"/>
      <c r="AV243" s="3"/>
      <c r="AW243" s="3"/>
      <c r="AX243" s="3"/>
      <c r="AY243" s="3"/>
      <c r="AZ243" s="3"/>
      <c r="BA243" s="3"/>
      <c r="BB243" s="3"/>
      <c r="BC243" s="3"/>
      <c r="BD243" s="3"/>
    </row>
    <row r="244" spans="1:56" x14ac:dyDescent="0.25">
      <c r="A244" s="16"/>
      <c r="B244" s="16"/>
      <c r="C244" s="16"/>
      <c r="D244" s="16"/>
      <c r="E244" s="3"/>
      <c r="F244" s="3"/>
      <c r="G244" s="3"/>
      <c r="H244" s="3"/>
      <c r="I244" s="3"/>
      <c r="J244" s="3"/>
      <c r="K244" s="3"/>
      <c r="L244" s="3"/>
      <c r="N244" s="3"/>
      <c r="O244" s="3"/>
      <c r="P244" s="3"/>
      <c r="Q244" s="3"/>
      <c r="R244" s="3"/>
      <c r="S244" s="3"/>
      <c r="T244" s="3"/>
      <c r="U244" s="3"/>
      <c r="V244" s="3"/>
      <c r="W244" s="3"/>
      <c r="X244" s="3"/>
      <c r="Y244" s="3"/>
      <c r="Z244" s="3"/>
      <c r="AA244" s="3"/>
      <c r="AB244" s="3"/>
      <c r="AC244" s="3"/>
      <c r="AD244" s="3"/>
      <c r="AE244" s="3"/>
      <c r="AF244" s="3"/>
      <c r="AG244" s="3"/>
      <c r="AH244" s="3"/>
      <c r="AI244" s="3"/>
      <c r="AJ244" s="3"/>
      <c r="AK244" s="3"/>
      <c r="AL244" s="3"/>
      <c r="AM244" s="3"/>
      <c r="AN244" s="3"/>
      <c r="AO244" s="3"/>
      <c r="AP244" s="3"/>
      <c r="AQ244" s="3"/>
      <c r="AR244" s="3"/>
      <c r="AS244" s="3"/>
      <c r="AT244" s="3"/>
      <c r="AU244" s="3"/>
      <c r="AV244" s="3"/>
      <c r="AW244" s="3"/>
      <c r="AX244" s="3"/>
      <c r="AY244" s="3"/>
      <c r="AZ244" s="3"/>
      <c r="BA244" s="3"/>
      <c r="BB244" s="3"/>
      <c r="BC244" s="3"/>
      <c r="BD244" s="3"/>
    </row>
    <row r="245" spans="1:56" x14ac:dyDescent="0.25">
      <c r="A245" s="16"/>
      <c r="B245" s="16"/>
      <c r="C245" s="16"/>
      <c r="D245" s="16"/>
      <c r="E245" s="3"/>
      <c r="F245" s="3"/>
      <c r="G245" s="3"/>
      <c r="H245" s="3"/>
      <c r="I245" s="3"/>
      <c r="J245" s="3"/>
      <c r="K245" s="3"/>
      <c r="L245" s="3"/>
      <c r="N245" s="3"/>
      <c r="O245" s="3"/>
      <c r="P245" s="3"/>
      <c r="Q245" s="3"/>
      <c r="R245" s="3"/>
      <c r="S245" s="3"/>
      <c r="T245" s="3"/>
      <c r="U245" s="3"/>
      <c r="V245" s="3"/>
      <c r="W245" s="3"/>
      <c r="X245" s="3"/>
      <c r="Y245" s="3"/>
      <c r="Z245" s="3"/>
      <c r="AA245" s="3"/>
      <c r="AB245" s="3"/>
      <c r="AC245" s="3"/>
      <c r="AD245" s="3"/>
      <c r="AE245" s="3"/>
      <c r="AF245" s="3"/>
      <c r="AG245" s="3"/>
      <c r="AH245" s="3"/>
      <c r="AI245" s="3"/>
      <c r="AJ245" s="3"/>
      <c r="AK245" s="3"/>
      <c r="AL245" s="3"/>
      <c r="AM245" s="3"/>
      <c r="AN245" s="3"/>
      <c r="AO245" s="3"/>
      <c r="AP245" s="3"/>
      <c r="AQ245" s="3"/>
      <c r="AR245" s="3"/>
      <c r="AS245" s="3"/>
      <c r="AT245" s="3"/>
      <c r="AU245" s="3"/>
      <c r="AV245" s="3"/>
      <c r="AW245" s="3"/>
      <c r="AX245" s="3"/>
      <c r="AY245" s="3"/>
      <c r="AZ245" s="3"/>
      <c r="BA245" s="3"/>
      <c r="BB245" s="3"/>
      <c r="BC245" s="3"/>
      <c r="BD245" s="3"/>
    </row>
    <row r="246" spans="1:56" x14ac:dyDescent="0.25">
      <c r="A246" s="16"/>
      <c r="B246" s="16"/>
      <c r="C246" s="16"/>
      <c r="D246" s="16"/>
      <c r="E246" s="3"/>
      <c r="F246" s="3"/>
      <c r="G246" s="3"/>
      <c r="H246" s="3"/>
      <c r="I246" s="3"/>
      <c r="J246" s="3"/>
      <c r="K246" s="3"/>
      <c r="L246" s="3"/>
      <c r="N246" s="3"/>
      <c r="O246" s="3"/>
      <c r="P246" s="3"/>
      <c r="Q246" s="3"/>
      <c r="R246" s="3"/>
      <c r="S246" s="3"/>
      <c r="T246" s="3"/>
      <c r="U246" s="3"/>
      <c r="V246" s="3"/>
      <c r="W246" s="3"/>
      <c r="X246" s="3"/>
      <c r="Y246" s="3"/>
      <c r="Z246" s="3"/>
      <c r="AA246" s="3"/>
      <c r="AB246" s="3"/>
      <c r="AC246" s="3"/>
      <c r="AD246" s="3"/>
      <c r="AE246" s="3"/>
      <c r="AF246" s="3"/>
      <c r="AG246" s="3"/>
      <c r="AH246" s="3"/>
      <c r="AI246" s="3"/>
      <c r="AJ246" s="3"/>
      <c r="AK246" s="3"/>
      <c r="AL246" s="3"/>
      <c r="AM246" s="3"/>
      <c r="AN246" s="3"/>
      <c r="AO246" s="3"/>
      <c r="AP246" s="3"/>
      <c r="AQ246" s="3"/>
      <c r="AR246" s="3"/>
      <c r="AS246" s="3"/>
      <c r="AT246" s="3"/>
      <c r="AU246" s="3"/>
      <c r="AV246" s="3"/>
      <c r="AW246" s="3"/>
      <c r="AX246" s="3"/>
      <c r="AY246" s="3"/>
      <c r="AZ246" s="3"/>
      <c r="BA246" s="3"/>
      <c r="BB246" s="3"/>
      <c r="BC246" s="3"/>
      <c r="BD246" s="3"/>
    </row>
    <row r="247" spans="1:56" x14ac:dyDescent="0.25">
      <c r="A247" s="16"/>
      <c r="B247" s="16"/>
      <c r="C247" s="16"/>
      <c r="D247" s="16"/>
      <c r="E247" s="3"/>
      <c r="F247" s="3"/>
      <c r="G247" s="3"/>
      <c r="H247" s="3"/>
      <c r="I247" s="3"/>
      <c r="J247" s="3"/>
      <c r="K247" s="3"/>
      <c r="L247" s="3"/>
      <c r="N247" s="3"/>
      <c r="O247" s="3"/>
      <c r="P247" s="3"/>
      <c r="Q247" s="3"/>
      <c r="R247" s="3"/>
      <c r="S247" s="3"/>
      <c r="T247" s="3"/>
      <c r="U247" s="3"/>
      <c r="V247" s="3"/>
      <c r="W247" s="3"/>
      <c r="X247" s="3"/>
      <c r="Y247" s="3"/>
      <c r="Z247" s="3"/>
      <c r="AA247" s="3"/>
      <c r="AB247" s="3"/>
      <c r="AC247" s="3"/>
      <c r="AD247" s="3"/>
      <c r="AE247" s="3"/>
      <c r="AF247" s="3"/>
      <c r="AG247" s="3"/>
      <c r="AH247" s="3"/>
      <c r="AI247" s="3"/>
      <c r="AJ247" s="3"/>
      <c r="AK247" s="3"/>
      <c r="AL247" s="3"/>
      <c r="AM247" s="3"/>
      <c r="AN247" s="3"/>
      <c r="AO247" s="3"/>
      <c r="AP247" s="3"/>
      <c r="AQ247" s="3"/>
      <c r="AR247" s="3"/>
      <c r="AS247" s="3"/>
      <c r="AT247" s="3"/>
      <c r="AU247" s="3"/>
      <c r="AV247" s="3"/>
      <c r="AW247" s="3"/>
      <c r="AX247" s="3"/>
      <c r="AY247" s="3"/>
      <c r="AZ247" s="3"/>
      <c r="BA247" s="3"/>
      <c r="BB247" s="3"/>
      <c r="BC247" s="3"/>
      <c r="BD247" s="3"/>
    </row>
    <row r="248" spans="1:56" x14ac:dyDescent="0.25">
      <c r="A248" s="16"/>
      <c r="B248" s="16"/>
      <c r="C248" s="16"/>
      <c r="D248" s="16"/>
      <c r="G248" s="3"/>
      <c r="H248" s="3"/>
      <c r="I248" s="3"/>
      <c r="J248" s="3"/>
      <c r="K248" s="3"/>
      <c r="L248" s="3"/>
      <c r="N248" s="3"/>
      <c r="O248" s="3"/>
      <c r="P248" s="3"/>
      <c r="Q248" s="3"/>
      <c r="R248" s="3"/>
      <c r="S248" s="3"/>
      <c r="T248" s="3"/>
      <c r="U248" s="3"/>
      <c r="V248" s="3"/>
      <c r="W248" s="3"/>
      <c r="X248" s="3"/>
      <c r="Y248" s="3"/>
      <c r="Z248" s="3"/>
      <c r="AA248" s="3"/>
      <c r="AB248" s="3"/>
      <c r="AC248" s="3"/>
      <c r="AD248" s="3"/>
      <c r="AE248" s="3"/>
      <c r="AF248" s="3"/>
      <c r="AG248" s="3"/>
      <c r="AH248" s="3"/>
      <c r="AI248" s="3"/>
      <c r="AJ248" s="3"/>
      <c r="AK248" s="3"/>
      <c r="AL248" s="3"/>
      <c r="AM248" s="3"/>
      <c r="AN248" s="3"/>
      <c r="AO248" s="3"/>
      <c r="AP248" s="3"/>
      <c r="AQ248" s="3"/>
      <c r="AR248" s="3"/>
      <c r="AS248" s="3"/>
      <c r="AT248" s="3"/>
      <c r="AU248" s="3"/>
      <c r="AV248" s="3"/>
      <c r="AW248" s="3"/>
      <c r="AX248" s="3"/>
      <c r="AY248" s="3"/>
      <c r="AZ248" s="3"/>
      <c r="BA248" s="3"/>
      <c r="BB248" s="3"/>
      <c r="BC248" s="3"/>
      <c r="BD248" s="3"/>
    </row>
    <row r="249" spans="1:56" x14ac:dyDescent="0.25">
      <c r="A249" s="16"/>
      <c r="B249" s="16"/>
      <c r="C249" s="16"/>
      <c r="D249" s="16"/>
      <c r="G249" s="3"/>
      <c r="H249" s="3"/>
      <c r="I249" s="3"/>
      <c r="J249" s="3"/>
      <c r="K249" s="3"/>
      <c r="L249" s="3"/>
      <c r="N249" s="3"/>
      <c r="O249" s="3"/>
      <c r="P249" s="3"/>
      <c r="Q249" s="3"/>
      <c r="R249" s="3"/>
      <c r="S249" s="3"/>
      <c r="T249" s="3"/>
      <c r="U249" s="3"/>
      <c r="V249" s="3"/>
      <c r="W249" s="3"/>
      <c r="X249" s="3"/>
      <c r="Y249" s="3"/>
      <c r="Z249" s="3"/>
      <c r="AA249" s="3"/>
      <c r="AB249" s="3"/>
      <c r="AC249" s="3"/>
      <c r="AD249" s="3"/>
      <c r="AE249" s="3"/>
      <c r="AF249" s="3"/>
      <c r="AG249" s="3"/>
      <c r="AH249" s="3"/>
      <c r="AI249" s="3"/>
      <c r="AJ249" s="3"/>
      <c r="AK249" s="3"/>
      <c r="AL249" s="3"/>
      <c r="AM249" s="3"/>
      <c r="AN249" s="3"/>
      <c r="AO249" s="3"/>
      <c r="AP249" s="3"/>
      <c r="AQ249" s="3"/>
      <c r="AR249" s="3"/>
      <c r="AS249" s="3"/>
      <c r="AT249" s="3"/>
      <c r="AU249" s="3"/>
      <c r="AV249" s="3"/>
      <c r="AW249" s="3"/>
      <c r="AX249" s="3"/>
      <c r="AY249" s="3"/>
      <c r="AZ249" s="3"/>
      <c r="BA249" s="3"/>
      <c r="BB249" s="3"/>
      <c r="BC249" s="3"/>
      <c r="BD249" s="3"/>
    </row>
    <row r="250" spans="1:56" x14ac:dyDescent="0.25">
      <c r="A250" s="16"/>
      <c r="B250" s="16"/>
      <c r="C250" s="16"/>
      <c r="D250" s="16"/>
      <c r="M250"/>
    </row>
    <row r="251" spans="1:56" x14ac:dyDescent="0.25">
      <c r="A251" s="16"/>
      <c r="B251" s="16"/>
      <c r="C251" s="16"/>
      <c r="D251" s="16"/>
      <c r="M251"/>
    </row>
    <row r="252" spans="1:56" x14ac:dyDescent="0.25">
      <c r="A252" s="16"/>
      <c r="B252" s="16"/>
      <c r="C252" s="16"/>
      <c r="D252" s="16"/>
    </row>
    <row r="253" spans="1:56" x14ac:dyDescent="0.25">
      <c r="A253" s="16"/>
      <c r="B253" s="16"/>
      <c r="C253" s="16"/>
      <c r="D253" s="16"/>
    </row>
    <row r="254" spans="1:56" x14ac:dyDescent="0.25">
      <c r="A254" s="16"/>
      <c r="B254" s="16"/>
      <c r="C254" s="16"/>
      <c r="D254" s="16"/>
    </row>
    <row r="255" spans="1:56" x14ac:dyDescent="0.25">
      <c r="A255" s="16"/>
      <c r="B255" s="16"/>
      <c r="C255" s="16"/>
      <c r="D255" s="16"/>
    </row>
    <row r="256" spans="1:56" x14ac:dyDescent="0.25">
      <c r="A256" s="16"/>
      <c r="B256" s="16"/>
      <c r="C256" s="16"/>
      <c r="D256" s="16"/>
    </row>
    <row r="257" spans="1:4" x14ac:dyDescent="0.25">
      <c r="A257" s="16"/>
      <c r="B257" s="16"/>
      <c r="C257" s="16"/>
      <c r="D257" s="16"/>
    </row>
    <row r="258" spans="1:4" x14ac:dyDescent="0.25">
      <c r="A258" s="16"/>
      <c r="B258" s="16"/>
      <c r="C258" s="16"/>
      <c r="D258" s="16"/>
    </row>
    <row r="259" spans="1:4" x14ac:dyDescent="0.25">
      <c r="A259" s="16"/>
      <c r="B259" s="16"/>
      <c r="C259" s="16"/>
      <c r="D259" s="16"/>
    </row>
    <row r="260" spans="1:4" x14ac:dyDescent="0.25">
      <c r="A260" s="16"/>
      <c r="B260" s="16"/>
      <c r="C260" s="16"/>
      <c r="D260" s="16"/>
    </row>
    <row r="261" spans="1:4" x14ac:dyDescent="0.25">
      <c r="A261" s="16"/>
      <c r="B261" s="16"/>
      <c r="C261" s="16"/>
      <c r="D261" s="16"/>
    </row>
    <row r="262" spans="1:4" x14ac:dyDescent="0.25">
      <c r="A262" s="16"/>
      <c r="B262" s="16"/>
      <c r="C262" s="16"/>
      <c r="D262" s="16"/>
    </row>
    <row r="263" spans="1:4" x14ac:dyDescent="0.25">
      <c r="A263" s="16"/>
      <c r="B263" s="16"/>
      <c r="C263" s="16"/>
      <c r="D263" s="16"/>
    </row>
    <row r="264" spans="1:4" x14ac:dyDescent="0.25">
      <c r="A264" s="16"/>
      <c r="B264" s="16"/>
      <c r="C264" s="16"/>
      <c r="D264" s="16"/>
    </row>
    <row r="265" spans="1:4" x14ac:dyDescent="0.25">
      <c r="A265" s="16"/>
      <c r="B265" s="16"/>
      <c r="C265" s="16"/>
      <c r="D265" s="16"/>
    </row>
    <row r="266" spans="1:4" x14ac:dyDescent="0.25">
      <c r="A266" s="16"/>
      <c r="B266" s="16"/>
      <c r="C266" s="16"/>
      <c r="D266" s="16"/>
    </row>
    <row r="267" spans="1:4" x14ac:dyDescent="0.25">
      <c r="A267" s="16"/>
      <c r="B267" s="16"/>
      <c r="C267" s="16"/>
      <c r="D267" s="16"/>
    </row>
    <row r="268" spans="1:4" x14ac:dyDescent="0.25">
      <c r="A268" s="16"/>
      <c r="B268" s="16"/>
      <c r="C268" s="16"/>
      <c r="D268" s="16"/>
    </row>
    <row r="269" spans="1:4" x14ac:dyDescent="0.25">
      <c r="A269" s="16"/>
      <c r="B269" s="16"/>
      <c r="C269" s="16"/>
      <c r="D269" s="16"/>
    </row>
    <row r="270" spans="1:4" x14ac:dyDescent="0.25">
      <c r="A270" s="16"/>
      <c r="B270" s="16"/>
      <c r="C270" s="16"/>
      <c r="D270" s="16"/>
    </row>
    <row r="271" spans="1:4" x14ac:dyDescent="0.25">
      <c r="A271" s="16"/>
      <c r="B271" s="16"/>
      <c r="C271" s="16"/>
      <c r="D271" s="16"/>
    </row>
    <row r="272" spans="1:4" x14ac:dyDescent="0.25">
      <c r="A272" s="16"/>
      <c r="B272" s="16"/>
      <c r="C272" s="16"/>
      <c r="D272" s="16"/>
    </row>
    <row r="273" spans="1:4" x14ac:dyDescent="0.25">
      <c r="A273" s="16"/>
      <c r="B273" s="16"/>
      <c r="C273" s="16"/>
      <c r="D273" s="16"/>
    </row>
    <row r="274" spans="1:4" x14ac:dyDescent="0.25">
      <c r="A274" s="16"/>
      <c r="B274" s="16"/>
      <c r="C274" s="16"/>
      <c r="D274" s="16"/>
    </row>
    <row r="275" spans="1:4" x14ac:dyDescent="0.25">
      <c r="A275" s="16"/>
      <c r="B275" s="16"/>
      <c r="C275" s="16"/>
      <c r="D275" s="16"/>
    </row>
    <row r="276" spans="1:4" x14ac:dyDescent="0.25">
      <c r="A276" s="16"/>
      <c r="B276" s="16"/>
      <c r="C276" s="16"/>
      <c r="D276" s="16"/>
    </row>
    <row r="277" spans="1:4" x14ac:dyDescent="0.25">
      <c r="A277" s="16"/>
      <c r="B277" s="16"/>
      <c r="C277" s="16"/>
      <c r="D277" s="16"/>
    </row>
    <row r="278" spans="1:4" x14ac:dyDescent="0.25">
      <c r="A278" s="16"/>
      <c r="B278" s="16"/>
      <c r="C278" s="16"/>
      <c r="D278" s="16"/>
    </row>
    <row r="279" spans="1:4" x14ac:dyDescent="0.25">
      <c r="A279" s="16"/>
      <c r="B279" s="16"/>
      <c r="C279" s="16"/>
      <c r="D279" s="16"/>
    </row>
    <row r="280" spans="1:4" x14ac:dyDescent="0.25">
      <c r="A280" s="16"/>
      <c r="B280" s="16"/>
      <c r="C280" s="16"/>
      <c r="D280" s="16"/>
    </row>
    <row r="281" spans="1:4" x14ac:dyDescent="0.25">
      <c r="A281" s="16"/>
      <c r="B281" s="16"/>
      <c r="C281" s="16"/>
      <c r="D281" s="16"/>
    </row>
    <row r="282" spans="1:4" x14ac:dyDescent="0.25">
      <c r="A282" s="16"/>
      <c r="B282" s="16"/>
      <c r="C282" s="16"/>
      <c r="D282" s="16"/>
    </row>
  </sheetData>
  <mergeCells count="20">
    <mergeCell ref="A112:D112"/>
    <mergeCell ref="A152:H152"/>
    <mergeCell ref="A40:D40"/>
    <mergeCell ref="A52:D52"/>
    <mergeCell ref="A64:D64"/>
    <mergeCell ref="A148:H148"/>
    <mergeCell ref="A149:H149"/>
    <mergeCell ref="A151:H151"/>
    <mergeCell ref="A76:D76"/>
    <mergeCell ref="A88:D88"/>
    <mergeCell ref="A100:D100"/>
    <mergeCell ref="A124:D124"/>
    <mergeCell ref="A136:D136"/>
    <mergeCell ref="A1:D1"/>
    <mergeCell ref="A28:D28"/>
    <mergeCell ref="A2:H2"/>
    <mergeCell ref="A5:D5"/>
    <mergeCell ref="A14:H14"/>
    <mergeCell ref="A16:D16"/>
    <mergeCell ref="A25:H25"/>
  </mergeCells>
  <pageMargins left="0.7" right="0.7" top="0.75" bottom="0.75" header="0.3" footer="0.3"/>
  <pageSetup orientation="portrait" horizontalDpi="1200" verticalDpi="120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0E0F21-EF2C-4793-A070-35063F1CE279}">
  <sheetPr>
    <pageSetUpPr fitToPage="1"/>
  </sheetPr>
  <dimension ref="A1:D157"/>
  <sheetViews>
    <sheetView showGridLines="0" zoomScale="90" zoomScaleNormal="90" workbookViewId="0">
      <selection activeCell="A2" sqref="A2:B2"/>
    </sheetView>
  </sheetViews>
  <sheetFormatPr defaultRowHeight="15" x14ac:dyDescent="0.25"/>
  <cols>
    <col min="1" max="1" width="26.5703125" style="1" customWidth="1"/>
    <col min="2" max="2" width="160.85546875" customWidth="1"/>
  </cols>
  <sheetData>
    <row r="1" spans="1:2" s="2" customFormat="1" ht="26.25" x14ac:dyDescent="0.25">
      <c r="A1" s="364" t="s">
        <v>489</v>
      </c>
      <c r="B1" s="364"/>
    </row>
    <row r="2" spans="1:2" s="2" customFormat="1" ht="74.25" customHeight="1" x14ac:dyDescent="0.25">
      <c r="A2" s="365" t="s">
        <v>1</v>
      </c>
      <c r="B2" s="365"/>
    </row>
    <row r="3" spans="1:2" s="2" customFormat="1" ht="48.6" customHeight="1" thickBot="1" x14ac:dyDescent="0.3">
      <c r="A3" s="6" t="s">
        <v>570</v>
      </c>
      <c r="B3" s="44"/>
    </row>
    <row r="4" spans="1:2" ht="18.75" x14ac:dyDescent="0.25">
      <c r="A4" s="9" t="s">
        <v>571</v>
      </c>
      <c r="B4" s="10" t="s">
        <v>572</v>
      </c>
    </row>
    <row r="5" spans="1:2" ht="15.75" x14ac:dyDescent="0.25">
      <c r="A5" s="92" t="s">
        <v>573</v>
      </c>
      <c r="B5" s="11" t="s">
        <v>574</v>
      </c>
    </row>
    <row r="6" spans="1:2" ht="15.75" x14ac:dyDescent="0.25">
      <c r="A6" s="92" t="s">
        <v>575</v>
      </c>
      <c r="B6" s="11" t="s">
        <v>576</v>
      </c>
    </row>
    <row r="7" spans="1:2" ht="15.75" x14ac:dyDescent="0.25">
      <c r="A7" s="92" t="s">
        <v>577</v>
      </c>
      <c r="B7" s="11" t="s">
        <v>578</v>
      </c>
    </row>
    <row r="8" spans="1:2" ht="15.75" x14ac:dyDescent="0.25">
      <c r="A8" s="92" t="s">
        <v>22</v>
      </c>
      <c r="B8" s="11" t="s">
        <v>579</v>
      </c>
    </row>
    <row r="9" spans="1:2" ht="15.75" x14ac:dyDescent="0.25">
      <c r="A9" s="92" t="s">
        <v>580</v>
      </c>
      <c r="B9" s="11" t="s">
        <v>581</v>
      </c>
    </row>
    <row r="10" spans="1:2" ht="15.75" x14ac:dyDescent="0.25">
      <c r="A10" s="92" t="s">
        <v>582</v>
      </c>
      <c r="B10" s="11" t="s">
        <v>583</v>
      </c>
    </row>
    <row r="11" spans="1:2" ht="15.75" x14ac:dyDescent="0.25">
      <c r="A11" s="92" t="s">
        <v>584</v>
      </c>
      <c r="B11" s="11" t="s">
        <v>585</v>
      </c>
    </row>
    <row r="12" spans="1:2" ht="15.75" x14ac:dyDescent="0.25">
      <c r="A12" s="92" t="s">
        <v>586</v>
      </c>
      <c r="B12" s="11" t="s">
        <v>587</v>
      </c>
    </row>
    <row r="13" spans="1:2" ht="47.25" x14ac:dyDescent="0.25">
      <c r="A13" s="92" t="s">
        <v>588</v>
      </c>
      <c r="B13" s="11" t="s">
        <v>589</v>
      </c>
    </row>
    <row r="14" spans="1:2" ht="47.25" x14ac:dyDescent="0.25">
      <c r="A14" s="92" t="s">
        <v>590</v>
      </c>
      <c r="B14" s="11" t="s">
        <v>591</v>
      </c>
    </row>
    <row r="15" spans="1:2" ht="15.75" x14ac:dyDescent="0.25">
      <c r="A15" s="92" t="s">
        <v>592</v>
      </c>
      <c r="B15" s="11" t="s">
        <v>593</v>
      </c>
    </row>
    <row r="16" spans="1:2" ht="47.25" customHeight="1" x14ac:dyDescent="0.25">
      <c r="A16" s="457" t="s">
        <v>594</v>
      </c>
      <c r="B16" s="11" t="s">
        <v>595</v>
      </c>
    </row>
    <row r="17" spans="1:2" ht="47.25" x14ac:dyDescent="0.25">
      <c r="A17" s="457"/>
      <c r="B17" s="11" t="s">
        <v>596</v>
      </c>
    </row>
    <row r="18" spans="1:2" ht="47.1" customHeight="1" x14ac:dyDescent="0.25">
      <c r="A18" s="457" t="s">
        <v>597</v>
      </c>
      <c r="B18" s="11" t="s">
        <v>598</v>
      </c>
    </row>
    <row r="19" spans="1:2" ht="47.25" x14ac:dyDescent="0.25">
      <c r="A19" s="457"/>
      <c r="B19" s="11" t="s">
        <v>599</v>
      </c>
    </row>
    <row r="20" spans="1:2" ht="31.5" x14ac:dyDescent="0.25">
      <c r="A20" s="92" t="s">
        <v>600</v>
      </c>
      <c r="B20" s="11" t="s">
        <v>928</v>
      </c>
    </row>
    <row r="21" spans="1:2" ht="15.75" x14ac:dyDescent="0.25">
      <c r="A21" s="92" t="s">
        <v>601</v>
      </c>
      <c r="B21" s="11" t="s">
        <v>602</v>
      </c>
    </row>
    <row r="22" spans="1:2" ht="15.75" x14ac:dyDescent="0.25">
      <c r="A22" s="92" t="s">
        <v>603</v>
      </c>
      <c r="B22" s="11" t="s">
        <v>604</v>
      </c>
    </row>
    <row r="23" spans="1:2" ht="15.75" x14ac:dyDescent="0.25">
      <c r="A23" s="92" t="s">
        <v>605</v>
      </c>
      <c r="B23" s="11" t="s">
        <v>606</v>
      </c>
    </row>
    <row r="24" spans="1:2" ht="31.5" x14ac:dyDescent="0.25">
      <c r="A24" s="92" t="s">
        <v>607</v>
      </c>
      <c r="B24" s="11" t="s">
        <v>608</v>
      </c>
    </row>
    <row r="25" spans="1:2" ht="31.5" x14ac:dyDescent="0.25">
      <c r="A25" s="92" t="s">
        <v>609</v>
      </c>
      <c r="B25" s="11" t="s">
        <v>610</v>
      </c>
    </row>
    <row r="26" spans="1:2" ht="15.75" x14ac:dyDescent="0.25">
      <c r="A26" s="92" t="s">
        <v>611</v>
      </c>
      <c r="B26" s="11" t="s">
        <v>612</v>
      </c>
    </row>
    <row r="27" spans="1:2" ht="15.75" x14ac:dyDescent="0.25">
      <c r="A27" s="92" t="s">
        <v>613</v>
      </c>
      <c r="B27" s="11" t="s">
        <v>614</v>
      </c>
    </row>
    <row r="28" spans="1:2" ht="15.75" x14ac:dyDescent="0.25">
      <c r="A28" s="92" t="s">
        <v>43</v>
      </c>
      <c r="B28" s="11" t="s">
        <v>615</v>
      </c>
    </row>
    <row r="29" spans="1:2" ht="15.75" x14ac:dyDescent="0.25">
      <c r="A29" s="92" t="s">
        <v>24</v>
      </c>
      <c r="B29" s="11" t="s">
        <v>616</v>
      </c>
    </row>
    <row r="30" spans="1:2" ht="15.75" x14ac:dyDescent="0.25">
      <c r="A30" s="92" t="s">
        <v>617</v>
      </c>
      <c r="B30" s="11" t="s">
        <v>618</v>
      </c>
    </row>
    <row r="31" spans="1:2" ht="15.75" x14ac:dyDescent="0.25">
      <c r="A31" s="92" t="s">
        <v>619</v>
      </c>
      <c r="B31" s="11" t="s">
        <v>620</v>
      </c>
    </row>
    <row r="32" spans="1:2" ht="31.5" x14ac:dyDescent="0.25">
      <c r="A32" s="92" t="s">
        <v>621</v>
      </c>
      <c r="B32" s="11" t="s">
        <v>622</v>
      </c>
    </row>
    <row r="33" spans="1:2" ht="15.75" x14ac:dyDescent="0.25">
      <c r="A33" s="92" t="s">
        <v>623</v>
      </c>
      <c r="B33" s="11" t="s">
        <v>624</v>
      </c>
    </row>
    <row r="34" spans="1:2" ht="31.5" x14ac:dyDescent="0.25">
      <c r="A34" s="92" t="s">
        <v>625</v>
      </c>
      <c r="B34" s="11" t="s">
        <v>626</v>
      </c>
    </row>
    <row r="35" spans="1:2" ht="15.75" x14ac:dyDescent="0.25">
      <c r="A35" s="92" t="s">
        <v>627</v>
      </c>
      <c r="B35" s="11" t="s">
        <v>628</v>
      </c>
    </row>
    <row r="36" spans="1:2" ht="31.5" x14ac:dyDescent="0.25">
      <c r="A36" s="92" t="s">
        <v>629</v>
      </c>
      <c r="B36" s="11" t="s">
        <v>630</v>
      </c>
    </row>
    <row r="37" spans="1:2" ht="15.75" x14ac:dyDescent="0.25">
      <c r="A37" s="92" t="s">
        <v>631</v>
      </c>
      <c r="B37" s="11" t="s">
        <v>632</v>
      </c>
    </row>
    <row r="38" spans="1:2" ht="15.75" x14ac:dyDescent="0.25">
      <c r="A38" s="92" t="s">
        <v>633</v>
      </c>
      <c r="B38" s="11" t="s">
        <v>634</v>
      </c>
    </row>
    <row r="39" spans="1:2" ht="15.75" x14ac:dyDescent="0.25">
      <c r="A39" s="457" t="s">
        <v>635</v>
      </c>
      <c r="B39" s="11" t="s">
        <v>636</v>
      </c>
    </row>
    <row r="40" spans="1:2" ht="15.75" x14ac:dyDescent="0.25">
      <c r="A40" s="457"/>
      <c r="B40" s="11" t="s">
        <v>637</v>
      </c>
    </row>
    <row r="41" spans="1:2" ht="47.25" x14ac:dyDescent="0.25">
      <c r="A41" s="457"/>
      <c r="B41" s="11" t="s">
        <v>638</v>
      </c>
    </row>
    <row r="42" spans="1:2" ht="47.25" x14ac:dyDescent="0.25">
      <c r="A42" s="457"/>
      <c r="B42" s="11" t="s">
        <v>639</v>
      </c>
    </row>
    <row r="43" spans="1:2" ht="15.75" x14ac:dyDescent="0.25">
      <c r="A43" s="457"/>
      <c r="B43" s="11" t="s">
        <v>640</v>
      </c>
    </row>
    <row r="44" spans="1:2" ht="15.75" x14ac:dyDescent="0.25">
      <c r="A44" s="457"/>
      <c r="B44" s="11" t="s">
        <v>641</v>
      </c>
    </row>
    <row r="45" spans="1:2" ht="15.75" x14ac:dyDescent="0.25">
      <c r="A45" s="457"/>
      <c r="B45" s="11" t="s">
        <v>642</v>
      </c>
    </row>
    <row r="46" spans="1:2" ht="15.75" x14ac:dyDescent="0.25">
      <c r="A46" s="92" t="s">
        <v>643</v>
      </c>
      <c r="B46" s="11" t="s">
        <v>644</v>
      </c>
    </row>
    <row r="47" spans="1:2" ht="31.5" x14ac:dyDescent="0.25">
      <c r="A47" s="457" t="s">
        <v>645</v>
      </c>
      <c r="B47" s="11" t="s">
        <v>646</v>
      </c>
    </row>
    <row r="48" spans="1:2" ht="15.75" x14ac:dyDescent="0.25">
      <c r="A48" s="457"/>
      <c r="B48" s="11" t="s">
        <v>647</v>
      </c>
    </row>
    <row r="49" spans="1:2" ht="15.75" x14ac:dyDescent="0.25">
      <c r="A49" s="457"/>
      <c r="B49" s="11" t="s">
        <v>648</v>
      </c>
    </row>
    <row r="50" spans="1:2" ht="15.75" customHeight="1" x14ac:dyDescent="0.25">
      <c r="A50" s="457" t="s">
        <v>929</v>
      </c>
      <c r="B50" s="45" t="s">
        <v>930</v>
      </c>
    </row>
    <row r="51" spans="1:2" ht="15.75" x14ac:dyDescent="0.25">
      <c r="A51" s="457"/>
      <c r="B51" s="11" t="s">
        <v>649</v>
      </c>
    </row>
    <row r="52" spans="1:2" ht="35.450000000000003" customHeight="1" x14ac:dyDescent="0.25">
      <c r="A52" s="457"/>
      <c r="B52" s="11" t="s">
        <v>650</v>
      </c>
    </row>
    <row r="53" spans="1:2" ht="86.25" customHeight="1" x14ac:dyDescent="0.25">
      <c r="A53" s="457"/>
      <c r="B53" s="11" t="s">
        <v>651</v>
      </c>
    </row>
    <row r="54" spans="1:2" ht="87.6" customHeight="1" x14ac:dyDescent="0.25">
      <c r="A54" s="457"/>
      <c r="B54" s="11" t="s">
        <v>652</v>
      </c>
    </row>
    <row r="55" spans="1:2" ht="31.5" x14ac:dyDescent="0.25">
      <c r="A55" s="457"/>
      <c r="B55" s="11" t="s">
        <v>653</v>
      </c>
    </row>
    <row r="56" spans="1:2" ht="78.75" x14ac:dyDescent="0.25">
      <c r="A56" s="457"/>
      <c r="B56" s="11" t="s">
        <v>654</v>
      </c>
    </row>
    <row r="57" spans="1:2" ht="15.75" x14ac:dyDescent="0.25">
      <c r="A57" s="457"/>
      <c r="B57" s="11" t="s">
        <v>655</v>
      </c>
    </row>
    <row r="58" spans="1:2" ht="31.5" x14ac:dyDescent="0.25">
      <c r="A58" s="457"/>
      <c r="B58" s="11" t="s">
        <v>656</v>
      </c>
    </row>
    <row r="59" spans="1:2" ht="15.75" x14ac:dyDescent="0.25">
      <c r="A59" s="457"/>
      <c r="B59" s="11" t="s">
        <v>657</v>
      </c>
    </row>
    <row r="60" spans="1:2" ht="15.75" customHeight="1" x14ac:dyDescent="0.25">
      <c r="A60" s="458" t="s">
        <v>931</v>
      </c>
      <c r="B60" s="46" t="s">
        <v>932</v>
      </c>
    </row>
    <row r="61" spans="1:2" ht="15.75" x14ac:dyDescent="0.25">
      <c r="A61" s="459"/>
      <c r="B61" s="47" t="s">
        <v>933</v>
      </c>
    </row>
    <row r="62" spans="1:2" ht="15.75" x14ac:dyDescent="0.25">
      <c r="A62" s="459"/>
      <c r="B62" s="47" t="s">
        <v>934</v>
      </c>
    </row>
    <row r="63" spans="1:2" ht="31.5" x14ac:dyDescent="0.25">
      <c r="A63" s="459"/>
      <c r="B63" s="48" t="s">
        <v>935</v>
      </c>
    </row>
    <row r="64" spans="1:2" ht="78.75" x14ac:dyDescent="0.25">
      <c r="A64" s="459"/>
      <c r="B64" s="48" t="s">
        <v>936</v>
      </c>
    </row>
    <row r="65" spans="1:2" ht="15.75" x14ac:dyDescent="0.25">
      <c r="A65" s="450" t="s">
        <v>937</v>
      </c>
      <c r="B65" s="45" t="s">
        <v>938</v>
      </c>
    </row>
    <row r="66" spans="1:2" ht="15.75" x14ac:dyDescent="0.25">
      <c r="A66" s="450"/>
      <c r="B66" s="11" t="s">
        <v>661</v>
      </c>
    </row>
    <row r="67" spans="1:2" ht="50.45" customHeight="1" x14ac:dyDescent="0.25">
      <c r="A67" s="450"/>
      <c r="B67" s="11" t="s">
        <v>939</v>
      </c>
    </row>
    <row r="68" spans="1:2" ht="47.25" x14ac:dyDescent="0.25">
      <c r="A68" s="450"/>
      <c r="B68" s="11" t="s">
        <v>940</v>
      </c>
    </row>
    <row r="69" spans="1:2" ht="31.5" x14ac:dyDescent="0.25">
      <c r="A69" s="450"/>
      <c r="B69" s="11" t="s">
        <v>928</v>
      </c>
    </row>
    <row r="70" spans="1:2" ht="15.75" x14ac:dyDescent="0.25">
      <c r="A70" s="450"/>
      <c r="B70" s="11" t="s">
        <v>662</v>
      </c>
    </row>
    <row r="71" spans="1:2" ht="15.75" x14ac:dyDescent="0.25">
      <c r="A71" s="450" t="s">
        <v>663</v>
      </c>
      <c r="B71" s="45" t="s">
        <v>941</v>
      </c>
    </row>
    <row r="72" spans="1:2" ht="15.75" x14ac:dyDescent="0.25">
      <c r="A72" s="450"/>
      <c r="B72" s="11" t="s">
        <v>664</v>
      </c>
    </row>
    <row r="73" spans="1:2" ht="83.45" customHeight="1" x14ac:dyDescent="0.25">
      <c r="A73" s="450"/>
      <c r="B73" s="11" t="s">
        <v>660</v>
      </c>
    </row>
    <row r="74" spans="1:2" ht="78.75" x14ac:dyDescent="0.25">
      <c r="A74" s="450"/>
      <c r="B74" s="12" t="s">
        <v>654</v>
      </c>
    </row>
    <row r="75" spans="1:2" ht="15.75" x14ac:dyDescent="0.25">
      <c r="A75" s="450"/>
      <c r="B75" s="11" t="s">
        <v>655</v>
      </c>
    </row>
    <row r="76" spans="1:2" ht="15.75" x14ac:dyDescent="0.25">
      <c r="A76" s="450"/>
      <c r="B76" s="11" t="s">
        <v>942</v>
      </c>
    </row>
    <row r="77" spans="1:2" ht="15.75" x14ac:dyDescent="0.25">
      <c r="A77" s="450"/>
      <c r="B77" s="11" t="s">
        <v>665</v>
      </c>
    </row>
    <row r="78" spans="1:2" ht="15.75" x14ac:dyDescent="0.25">
      <c r="A78" s="450"/>
      <c r="B78" s="11" t="s">
        <v>662</v>
      </c>
    </row>
    <row r="79" spans="1:2" ht="15.75" x14ac:dyDescent="0.25">
      <c r="A79" s="449" t="s">
        <v>943</v>
      </c>
      <c r="B79" s="45" t="s">
        <v>944</v>
      </c>
    </row>
    <row r="80" spans="1:2" ht="15.75" x14ac:dyDescent="0.25">
      <c r="A80" s="449"/>
      <c r="B80" s="11" t="s">
        <v>664</v>
      </c>
    </row>
    <row r="81" spans="1:2" ht="31.5" x14ac:dyDescent="0.25">
      <c r="A81" s="449"/>
      <c r="B81" s="11" t="s">
        <v>653</v>
      </c>
    </row>
    <row r="82" spans="1:2" ht="15.75" x14ac:dyDescent="0.25">
      <c r="A82" s="449"/>
      <c r="B82" s="11" t="s">
        <v>666</v>
      </c>
    </row>
    <row r="83" spans="1:2" ht="47.25" x14ac:dyDescent="0.25">
      <c r="A83" s="449"/>
      <c r="B83" s="11" t="s">
        <v>667</v>
      </c>
    </row>
    <row r="84" spans="1:2" ht="15.75" x14ac:dyDescent="0.25">
      <c r="A84" s="449"/>
      <c r="B84" s="11" t="s">
        <v>668</v>
      </c>
    </row>
    <row r="85" spans="1:2" ht="15.75" x14ac:dyDescent="0.25">
      <c r="A85" s="449"/>
      <c r="B85" s="11" t="s">
        <v>669</v>
      </c>
    </row>
    <row r="86" spans="1:2" ht="15.75" x14ac:dyDescent="0.25">
      <c r="A86" s="449"/>
      <c r="B86" s="11" t="s">
        <v>655</v>
      </c>
    </row>
    <row r="87" spans="1:2" ht="78.75" x14ac:dyDescent="0.25">
      <c r="A87" s="449"/>
      <c r="B87" s="11" t="s">
        <v>660</v>
      </c>
    </row>
    <row r="88" spans="1:2" ht="15.75" x14ac:dyDescent="0.25">
      <c r="A88" s="449"/>
      <c r="B88" s="11" t="s">
        <v>662</v>
      </c>
    </row>
    <row r="89" spans="1:2" ht="15.6" customHeight="1" x14ac:dyDescent="0.25">
      <c r="A89" s="448" t="s">
        <v>945</v>
      </c>
      <c r="B89" s="14" t="s">
        <v>946</v>
      </c>
    </row>
    <row r="90" spans="1:2" ht="15.75" x14ac:dyDescent="0.25">
      <c r="A90" s="448"/>
      <c r="B90" s="50" t="s">
        <v>932</v>
      </c>
    </row>
    <row r="91" spans="1:2" ht="15.75" x14ac:dyDescent="0.25">
      <c r="A91" s="448"/>
      <c r="B91" s="14" t="s">
        <v>664</v>
      </c>
    </row>
    <row r="92" spans="1:2" ht="15.75" x14ac:dyDescent="0.25">
      <c r="A92" s="448"/>
      <c r="B92" s="13" t="s">
        <v>947</v>
      </c>
    </row>
    <row r="93" spans="1:2" ht="63" x14ac:dyDescent="0.25">
      <c r="A93" s="448"/>
      <c r="B93" s="14" t="s">
        <v>948</v>
      </c>
    </row>
    <row r="94" spans="1:2" ht="31.5" x14ac:dyDescent="0.25">
      <c r="A94" s="448"/>
      <c r="B94" s="14" t="s">
        <v>949</v>
      </c>
    </row>
    <row r="95" spans="1:2" ht="48.95" customHeight="1" x14ac:dyDescent="0.25">
      <c r="A95" s="448"/>
      <c r="B95" s="14" t="s">
        <v>950</v>
      </c>
    </row>
    <row r="96" spans="1:2" ht="15.75" x14ac:dyDescent="0.25">
      <c r="A96" s="448"/>
      <c r="B96" s="14" t="s">
        <v>951</v>
      </c>
    </row>
    <row r="97" spans="1:2" ht="143.44999999999999" customHeight="1" x14ac:dyDescent="0.25">
      <c r="A97" s="448"/>
      <c r="B97" s="14" t="s">
        <v>952</v>
      </c>
    </row>
    <row r="98" spans="1:2" ht="66" customHeight="1" x14ac:dyDescent="0.25">
      <c r="A98" s="448"/>
      <c r="B98" s="14" t="s">
        <v>953</v>
      </c>
    </row>
    <row r="99" spans="1:2" ht="31.5" x14ac:dyDescent="0.25">
      <c r="A99" s="448" t="s">
        <v>670</v>
      </c>
      <c r="B99" s="14" t="s">
        <v>671</v>
      </c>
    </row>
    <row r="100" spans="1:2" ht="147.94999999999999" customHeight="1" x14ac:dyDescent="0.25">
      <c r="A100" s="448"/>
      <c r="B100" s="51" t="s">
        <v>954</v>
      </c>
    </row>
    <row r="101" spans="1:2" ht="15.6" customHeight="1" x14ac:dyDescent="0.25">
      <c r="A101" s="448"/>
      <c r="B101" s="14" t="s">
        <v>672</v>
      </c>
    </row>
    <row r="102" spans="1:2" ht="15.75" x14ac:dyDescent="0.25">
      <c r="A102" s="448"/>
      <c r="B102" s="52" t="s">
        <v>662</v>
      </c>
    </row>
    <row r="103" spans="1:2" ht="31.5" x14ac:dyDescent="0.25">
      <c r="A103" s="448"/>
      <c r="B103" s="53" t="s">
        <v>673</v>
      </c>
    </row>
    <row r="104" spans="1:2" ht="15.75" x14ac:dyDescent="0.25">
      <c r="A104" s="448"/>
      <c r="B104" s="14" t="s">
        <v>955</v>
      </c>
    </row>
    <row r="105" spans="1:2" ht="15.75" x14ac:dyDescent="0.25">
      <c r="A105" s="449" t="s">
        <v>674</v>
      </c>
      <c r="B105" s="14" t="s">
        <v>932</v>
      </c>
    </row>
    <row r="106" spans="1:2" ht="15.75" x14ac:dyDescent="0.25">
      <c r="A106" s="449"/>
      <c r="B106" s="49" t="s">
        <v>956</v>
      </c>
    </row>
    <row r="107" spans="1:2" ht="15.75" x14ac:dyDescent="0.25">
      <c r="A107" s="449"/>
      <c r="B107" s="47" t="s">
        <v>658</v>
      </c>
    </row>
    <row r="108" spans="1:2" ht="31.5" x14ac:dyDescent="0.25">
      <c r="A108" s="449"/>
      <c r="B108" s="48" t="s">
        <v>935</v>
      </c>
    </row>
    <row r="109" spans="1:2" ht="78.75" x14ac:dyDescent="0.25">
      <c r="A109" s="449"/>
      <c r="B109" s="48" t="s">
        <v>957</v>
      </c>
    </row>
    <row r="110" spans="1:2" ht="15.75" x14ac:dyDescent="0.25">
      <c r="A110" s="449"/>
      <c r="B110" s="11" t="s">
        <v>659</v>
      </c>
    </row>
    <row r="111" spans="1:2" ht="15.75" x14ac:dyDescent="0.25">
      <c r="A111" s="449"/>
      <c r="B111" s="14" t="s">
        <v>958</v>
      </c>
    </row>
    <row r="112" spans="1:2" ht="15.75" x14ac:dyDescent="0.25">
      <c r="A112" s="449"/>
      <c r="B112" s="14" t="s">
        <v>959</v>
      </c>
    </row>
    <row r="113" spans="1:2" ht="21" customHeight="1" x14ac:dyDescent="0.25">
      <c r="A113" s="449"/>
      <c r="B113" s="14" t="s">
        <v>960</v>
      </c>
    </row>
    <row r="114" spans="1:2" ht="31.5" x14ac:dyDescent="0.25">
      <c r="A114" s="449"/>
      <c r="B114" s="14" t="s">
        <v>675</v>
      </c>
    </row>
    <row r="115" spans="1:2" ht="15.6" customHeight="1" x14ac:dyDescent="0.25">
      <c r="A115" s="450" t="s">
        <v>676</v>
      </c>
      <c r="B115" s="12" t="s">
        <v>961</v>
      </c>
    </row>
    <row r="116" spans="1:2" ht="15.75" x14ac:dyDescent="0.25">
      <c r="A116" s="450"/>
      <c r="B116" s="13" t="s">
        <v>677</v>
      </c>
    </row>
    <row r="117" spans="1:2" ht="15.75" x14ac:dyDescent="0.25">
      <c r="A117" s="450"/>
      <c r="B117" s="13" t="s">
        <v>678</v>
      </c>
    </row>
    <row r="118" spans="1:2" ht="15.75" x14ac:dyDescent="0.25">
      <c r="A118" s="450"/>
      <c r="B118" s="13" t="s">
        <v>679</v>
      </c>
    </row>
    <row r="119" spans="1:2" ht="15.75" x14ac:dyDescent="0.25">
      <c r="A119" s="450"/>
      <c r="B119" s="13" t="s">
        <v>680</v>
      </c>
    </row>
    <row r="120" spans="1:2" ht="15.75" x14ac:dyDescent="0.25">
      <c r="A120" s="451" t="s">
        <v>681</v>
      </c>
      <c r="B120" s="13" t="s">
        <v>682</v>
      </c>
    </row>
    <row r="121" spans="1:2" ht="15.6" customHeight="1" x14ac:dyDescent="0.25">
      <c r="A121" s="452"/>
      <c r="B121" s="12" t="s">
        <v>962</v>
      </c>
    </row>
    <row r="122" spans="1:2" ht="15.75" x14ac:dyDescent="0.25">
      <c r="A122" s="452"/>
      <c r="B122" s="12" t="s">
        <v>963</v>
      </c>
    </row>
    <row r="123" spans="1:2" ht="16.5" customHeight="1" x14ac:dyDescent="0.25">
      <c r="A123" s="452"/>
      <c r="B123" s="12" t="s">
        <v>964</v>
      </c>
    </row>
    <row r="124" spans="1:2" ht="16.5" customHeight="1" x14ac:dyDescent="0.25">
      <c r="A124" s="452"/>
      <c r="B124" s="12" t="s">
        <v>683</v>
      </c>
    </row>
    <row r="125" spans="1:2" ht="16.5" customHeight="1" x14ac:dyDescent="0.25">
      <c r="A125" s="452"/>
      <c r="B125" s="13" t="s">
        <v>684</v>
      </c>
    </row>
    <row r="126" spans="1:2" ht="16.5" customHeight="1" x14ac:dyDescent="0.25">
      <c r="A126" s="452"/>
      <c r="B126" s="12" t="s">
        <v>962</v>
      </c>
    </row>
    <row r="127" spans="1:2" ht="16.5" customHeight="1" x14ac:dyDescent="0.25">
      <c r="A127" s="452"/>
      <c r="B127" s="12" t="s">
        <v>963</v>
      </c>
    </row>
    <row r="128" spans="1:2" ht="16.5" customHeight="1" x14ac:dyDescent="0.25">
      <c r="A128" s="452"/>
      <c r="B128" s="12" t="s">
        <v>964</v>
      </c>
    </row>
    <row r="129" spans="1:4" ht="16.5" customHeight="1" x14ac:dyDescent="0.25">
      <c r="A129" s="452"/>
      <c r="B129" s="12" t="s">
        <v>683</v>
      </c>
    </row>
    <row r="130" spans="1:4" ht="15.75" x14ac:dyDescent="0.25">
      <c r="A130" s="452"/>
      <c r="B130" s="13" t="s">
        <v>685</v>
      </c>
    </row>
    <row r="131" spans="1:4" ht="15.75" x14ac:dyDescent="0.25">
      <c r="A131" s="452"/>
      <c r="B131" s="12" t="s">
        <v>962</v>
      </c>
    </row>
    <row r="132" spans="1:4" ht="15.75" x14ac:dyDescent="0.25">
      <c r="A132" s="452"/>
      <c r="B132" s="12" t="s">
        <v>963</v>
      </c>
      <c r="D132" s="43"/>
    </row>
    <row r="133" spans="1:4" ht="15.75" x14ac:dyDescent="0.25">
      <c r="A133" s="452"/>
      <c r="B133" s="12" t="s">
        <v>964</v>
      </c>
    </row>
    <row r="134" spans="1:4" ht="15.75" x14ac:dyDescent="0.25">
      <c r="A134" s="452"/>
      <c r="B134" s="12" t="s">
        <v>683</v>
      </c>
    </row>
    <row r="135" spans="1:4" ht="15.75" x14ac:dyDescent="0.25">
      <c r="A135" s="452"/>
      <c r="B135" s="13" t="s">
        <v>686</v>
      </c>
    </row>
    <row r="136" spans="1:4" ht="15.75" x14ac:dyDescent="0.25">
      <c r="A136" s="452"/>
      <c r="B136" s="12" t="s">
        <v>962</v>
      </c>
    </row>
    <row r="137" spans="1:4" ht="15.75" x14ac:dyDescent="0.25">
      <c r="A137" s="452"/>
      <c r="B137" s="12" t="s">
        <v>963</v>
      </c>
    </row>
    <row r="138" spans="1:4" ht="15.75" x14ac:dyDescent="0.25">
      <c r="A138" s="452"/>
      <c r="B138" s="12" t="s">
        <v>964</v>
      </c>
    </row>
    <row r="139" spans="1:4" ht="15.75" x14ac:dyDescent="0.25">
      <c r="A139" s="452"/>
      <c r="B139" s="12" t="s">
        <v>683</v>
      </c>
    </row>
    <row r="140" spans="1:4" ht="15.75" x14ac:dyDescent="0.25">
      <c r="A140" s="452"/>
      <c r="B140" s="12" t="s">
        <v>687</v>
      </c>
    </row>
    <row r="141" spans="1:4" ht="15.75" x14ac:dyDescent="0.25">
      <c r="A141" s="452"/>
      <c r="B141" s="12" t="s">
        <v>688</v>
      </c>
    </row>
    <row r="142" spans="1:4" ht="54.6" customHeight="1" x14ac:dyDescent="0.25">
      <c r="A142" s="452"/>
      <c r="B142" s="12" t="s">
        <v>689</v>
      </c>
    </row>
    <row r="143" spans="1:4" ht="15.75" x14ac:dyDescent="0.25">
      <c r="A143" s="452"/>
      <c r="B143" s="12" t="s">
        <v>690</v>
      </c>
    </row>
    <row r="144" spans="1:4" ht="31.5" x14ac:dyDescent="0.25">
      <c r="A144" s="452"/>
      <c r="B144" s="12" t="s">
        <v>965</v>
      </c>
    </row>
    <row r="145" spans="1:2" ht="15.75" x14ac:dyDescent="0.25">
      <c r="A145" s="452"/>
      <c r="B145" s="12" t="s">
        <v>649</v>
      </c>
    </row>
    <row r="146" spans="1:2" ht="31.5" x14ac:dyDescent="0.25">
      <c r="A146" s="452"/>
      <c r="B146" s="12" t="s">
        <v>691</v>
      </c>
    </row>
    <row r="147" spans="1:2" ht="94.5" x14ac:dyDescent="0.25">
      <c r="A147" s="452"/>
      <c r="B147" s="12" t="s">
        <v>692</v>
      </c>
    </row>
    <row r="148" spans="1:2" ht="21.6" customHeight="1" x14ac:dyDescent="0.25">
      <c r="A148" s="452"/>
      <c r="B148" s="12" t="s">
        <v>693</v>
      </c>
    </row>
    <row r="149" spans="1:2" ht="54" customHeight="1" x14ac:dyDescent="0.25">
      <c r="A149" s="452"/>
      <c r="B149" s="357" t="s">
        <v>939</v>
      </c>
    </row>
    <row r="150" spans="1:2" ht="15.75" x14ac:dyDescent="0.25">
      <c r="A150" s="453"/>
      <c r="B150" s="54" t="s">
        <v>694</v>
      </c>
    </row>
    <row r="151" spans="1:2" ht="15.75" x14ac:dyDescent="0.25">
      <c r="A151" s="454" t="s">
        <v>695</v>
      </c>
      <c r="B151" s="12" t="s">
        <v>696</v>
      </c>
    </row>
    <row r="152" spans="1:2" ht="15.75" x14ac:dyDescent="0.25">
      <c r="A152" s="455"/>
      <c r="B152" s="12" t="s">
        <v>697</v>
      </c>
    </row>
    <row r="153" spans="1:2" ht="15.75" x14ac:dyDescent="0.25">
      <c r="A153" s="455"/>
      <c r="B153" s="12" t="s">
        <v>698</v>
      </c>
    </row>
    <row r="154" spans="1:2" ht="15.75" x14ac:dyDescent="0.25">
      <c r="A154" s="455"/>
      <c r="B154" s="12" t="s">
        <v>699</v>
      </c>
    </row>
    <row r="155" spans="1:2" ht="15.75" x14ac:dyDescent="0.25">
      <c r="A155" s="455"/>
      <c r="B155" s="12" t="s">
        <v>700</v>
      </c>
    </row>
    <row r="156" spans="1:2" ht="15.75" x14ac:dyDescent="0.25">
      <c r="A156" s="455"/>
      <c r="B156" s="12" t="s">
        <v>701</v>
      </c>
    </row>
    <row r="157" spans="1:2" ht="16.5" thickBot="1" x14ac:dyDescent="0.3">
      <c r="A157" s="456"/>
      <c r="B157" s="55" t="s">
        <v>702</v>
      </c>
    </row>
  </sheetData>
  <mergeCells count="17">
    <mergeCell ref="A89:A98"/>
    <mergeCell ref="A1:B1"/>
    <mergeCell ref="A2:B2"/>
    <mergeCell ref="A16:A17"/>
    <mergeCell ref="A18:A19"/>
    <mergeCell ref="A39:A45"/>
    <mergeCell ref="A47:A49"/>
    <mergeCell ref="A50:A59"/>
    <mergeCell ref="A60:A64"/>
    <mergeCell ref="A65:A70"/>
    <mergeCell ref="A71:A78"/>
    <mergeCell ref="A79:A88"/>
    <mergeCell ref="A99:A104"/>
    <mergeCell ref="A105:A114"/>
    <mergeCell ref="A115:A119"/>
    <mergeCell ref="A120:A150"/>
    <mergeCell ref="A151:A157"/>
  </mergeCells>
  <pageMargins left="0.25" right="0.25" top="0.75" bottom="0.75" header="0.3" footer="0.3"/>
  <pageSetup scale="14" fitToWidth="0"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9225b539-7b15-42b2-871d-c20cb6e17ae7" xsi:nil="true"/>
    <lcf76f155ced4ddcb4097134ff3c332f xmlns="51f64f43-848e-4f71-a29c-5b275075194e">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B2CC6643690C2D4A8E9C51BEFB2BDFED" ma:contentTypeVersion="13" ma:contentTypeDescription="Create a new document." ma:contentTypeScope="" ma:versionID="dc072f8ffc2b8bed0dac1cf55cae5fe2">
  <xsd:schema xmlns:xsd="http://www.w3.org/2001/XMLSchema" xmlns:xs="http://www.w3.org/2001/XMLSchema" xmlns:p="http://schemas.microsoft.com/office/2006/metadata/properties" xmlns:ns2="9225b539-7b15-42b2-871d-c20cb6e17ae7" xmlns:ns3="51f64f43-848e-4f71-a29c-5b275075194e" targetNamespace="http://schemas.microsoft.com/office/2006/metadata/properties" ma:root="true" ma:fieldsID="c697619c93f272d747a88d4ad0a7b381" ns2:_="" ns3:_="">
    <xsd:import namespace="9225b539-7b15-42b2-871d-c20cb6e17ae7"/>
    <xsd:import namespace="51f64f43-848e-4f71-a29c-5b275075194e"/>
    <xsd:element name="properties">
      <xsd:complexType>
        <xsd:sequence>
          <xsd:element name="documentManagement">
            <xsd:complexType>
              <xsd:all>
                <xsd:element ref="ns2:_dlc_DocId" minOccurs="0"/>
                <xsd:element ref="ns2:_dlc_DocIdUrl" minOccurs="0"/>
                <xsd:element ref="ns2:_dlc_DocIdPersistId" minOccurs="0"/>
                <xsd:element ref="ns3:lcf76f155ced4ddcb4097134ff3c332f" minOccurs="0"/>
                <xsd:element ref="ns2:TaxCatchAll" minOccurs="0"/>
                <xsd:element ref="ns3:MediaServiceDateTaken" minOccurs="0"/>
                <xsd:element ref="ns3:MediaServiceGenerationTime" minOccurs="0"/>
                <xsd:element ref="ns3:MediaServiceEventHashCode" minOccurs="0"/>
                <xsd:element ref="ns3:MediaServiceOCR" minOccurs="0"/>
                <xsd:element ref="ns3:MediaLengthInSeconds" minOccurs="0"/>
                <xsd:element ref="ns3:MediaServiceObjectDetectorVersions" minOccurs="0"/>
                <xsd:element ref="ns3:MediaServiceLocation" minOccurs="0"/>
                <xsd:element ref="ns3:MediaServiceSearchProperties" minOccurs="0"/>
                <xsd:element ref="ns3:MediaServiceMetadata" minOccurs="0"/>
                <xsd:element ref="ns3:MediaServiceFast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225b539-7b15-42b2-871d-c20cb6e17ae7"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dexed="true"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TaxCatchAll" ma:index="12" nillable="true" ma:displayName="Taxonomy Catch All Column" ma:hidden="true" ma:list="{cc4b600a-5654-43e9-bd8c-8b417a7ccf18}" ma:internalName="TaxCatchAll" ma:showField="CatchAllData" ma:web="fde1efa3-de85-4ab3-ac60-6cf1d18bfb92">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51f64f43-848e-4f71-a29c-5b275075194e" elementFormDefault="qualified">
    <xsd:import namespace="http://schemas.microsoft.com/office/2006/documentManagement/types"/>
    <xsd:import namespace="http://schemas.microsoft.com/office/infopath/2007/PartnerControls"/>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526ce853-7349-4a33-988e-bfef8f1d57f1" ma:termSetId="09814cd3-568e-fe90-9814-8d621ff8fb84" ma:anchorId="fba54fb3-c3e1-fe81-a776-ca4b69148c4d" ma:open="true" ma:isKeyword="false">
      <xsd:complexType>
        <xsd:sequence>
          <xsd:element ref="pc:Terms" minOccurs="0" maxOccurs="1"/>
        </xsd:sequence>
      </xsd:complexType>
    </xsd:element>
    <xsd:element name="MediaServiceDateTaken" ma:index="13" nillable="true" ma:displayName="MediaServiceDateTaken" ma:hidden="true" ma:internalName="MediaServiceDateTaken"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LengthInSeconds" ma:index="17" nillable="true" ma:displayName="MediaLengthInSeconds" ma:hidden="true" ma:internalName="MediaLengthInSeconds" ma:readOnly="true">
      <xsd:simpleType>
        <xsd:restriction base="dms:Unknown"/>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element name="MediaServiceLocation" ma:index="19" nillable="true" ma:displayName="Location" ma:description="" ma:indexed="true" ma:internalName="MediaServiceLocation"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element name="MediaServiceMetadata" ma:index="21" nillable="true" ma:displayName="MediaServiceMetadata" ma:hidden="true" ma:internalName="MediaServiceMetadata" ma:readOnly="true">
      <xsd:simpleType>
        <xsd:restriction base="dms:Note"/>
      </xsd:simpleType>
    </xsd:element>
    <xsd:element name="MediaServiceFastMetadata" ma:index="22" nillable="true" ma:displayName="MediaServiceFastMetadata" ma:hidden="true" ma:internalName="MediaServiceFast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spe:Receivers xmlns:spe="http://schemas.microsoft.com/sharepoint/events"/>
</file>

<file path=customXml/item5.xml><?xml version="1.0" encoding="utf-8"?>
<?mso-contentType ?>
<SharedContentType xmlns="Microsoft.SharePoint.Taxonomy.ContentTypeSync" SourceId="526ce853-7349-4a33-988e-bfef8f1d57f1" ContentTypeId="0x0101" PreviousValue="false"/>
</file>

<file path=customXml/itemProps1.xml><?xml version="1.0" encoding="utf-8"?>
<ds:datastoreItem xmlns:ds="http://schemas.openxmlformats.org/officeDocument/2006/customXml" ds:itemID="{25A08AC0-783C-4C1B-927A-AB27E36B29B1}">
  <ds:schemaRefs>
    <ds:schemaRef ds:uri="51f64f43-848e-4f71-a29c-5b275075194e"/>
    <ds:schemaRef ds:uri="http://purl.org/dc/terms/"/>
    <ds:schemaRef ds:uri="http://schemas.openxmlformats.org/package/2006/metadata/core-properties"/>
    <ds:schemaRef ds:uri="http://purl.org/dc/dcmitype/"/>
    <ds:schemaRef ds:uri="http://schemas.microsoft.com/office/infopath/2007/PartnerControls"/>
    <ds:schemaRef ds:uri="http://schemas.microsoft.com/office/2006/documentManagement/types"/>
    <ds:schemaRef ds:uri="http://purl.org/dc/elements/1.1/"/>
    <ds:schemaRef ds:uri="http://schemas.microsoft.com/office/2006/metadata/properties"/>
    <ds:schemaRef ds:uri="9225b539-7b15-42b2-871d-c20cb6e17ae7"/>
    <ds:schemaRef ds:uri="http://www.w3.org/XML/1998/namespace"/>
  </ds:schemaRefs>
</ds:datastoreItem>
</file>

<file path=customXml/itemProps2.xml><?xml version="1.0" encoding="utf-8"?>
<ds:datastoreItem xmlns:ds="http://schemas.openxmlformats.org/officeDocument/2006/customXml" ds:itemID="{8AEF2A48-5B03-4C1F-A9CC-64566AC26633}">
  <ds:schemaRefs>
    <ds:schemaRef ds:uri="http://schemas.microsoft.com/sharepoint/v3/contenttype/forms"/>
  </ds:schemaRefs>
</ds:datastoreItem>
</file>

<file path=customXml/itemProps3.xml><?xml version="1.0" encoding="utf-8"?>
<ds:datastoreItem xmlns:ds="http://schemas.openxmlformats.org/officeDocument/2006/customXml" ds:itemID="{AB0CF468-4D8F-4BE5-A029-FB848B876C0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225b539-7b15-42b2-871d-c20cb6e17ae7"/>
    <ds:schemaRef ds:uri="51f64f43-848e-4f71-a29c-5b27507519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30BE8E65-FD12-4628-97D5-4D6D3857015E}">
  <ds:schemaRefs>
    <ds:schemaRef ds:uri="http://schemas.microsoft.com/sharepoint/events"/>
  </ds:schemaRefs>
</ds:datastoreItem>
</file>

<file path=customXml/itemProps5.xml><?xml version="1.0" encoding="utf-8"?>
<ds:datastoreItem xmlns:ds="http://schemas.openxmlformats.org/officeDocument/2006/customXml" ds:itemID="{0DE3DDB8-6823-4D9E-98E4-BEC4A21ADDC7}">
  <ds:schemaRefs>
    <ds:schemaRef ds:uri="Microsoft.SharePoint.Taxonomy.ContentTypeSyn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1</vt:i4>
      </vt:variant>
    </vt:vector>
  </HeadingPairs>
  <TitlesOfParts>
    <vt:vector size="11" baseType="lpstr">
      <vt:lpstr>Header</vt:lpstr>
      <vt:lpstr>ATD FY25 YTD</vt:lpstr>
      <vt:lpstr>Detention FY25</vt:lpstr>
      <vt:lpstr> ICLOS and Detainees</vt:lpstr>
      <vt:lpstr>Semiannual</vt:lpstr>
      <vt:lpstr>Monthly Bond Statistics</vt:lpstr>
      <vt:lpstr>Facilities FY25</vt:lpstr>
      <vt:lpstr>Monthly Segregation</vt:lpstr>
      <vt:lpstr>Vulnerable &amp; Special Population</vt:lpstr>
      <vt:lpstr>Footnotes</vt:lpstr>
      <vt:lpstr>'Detention FY25'!Print_Area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Black, Tyler M (CTR)</dc:creator>
  <cp:keywords/>
  <dc:description/>
  <cp:lastModifiedBy>Adam James Sawyer</cp:lastModifiedBy>
  <cp:revision/>
  <dcterms:created xsi:type="dcterms:W3CDTF">2020-01-31T18:40:16Z</dcterms:created>
  <dcterms:modified xsi:type="dcterms:W3CDTF">2025-02-27T20:26:25Z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0x010100B2CC6643690C2D4A8E9C51BEFB2BDFED</vt:lpwstr>
  </property>
  <property fmtid="{D5CDD505-2E9C-101B-9397-08002B2CF9AE}" pid="3" name="Workbook id">
    <vt:lpwstr>314fce5b-a83b-4d64-a39b-3066b2b6d662</vt:lpwstr>
  </property>
  <property fmtid="{D5CDD505-2E9C-101B-9397-08002B2CF9AE}" pid="4" name="Workbook type">
    <vt:lpwstr>Custom</vt:lpwstr>
  </property>
  <property fmtid="{D5CDD505-2E9C-101B-9397-08002B2CF9AE}" pid="5" name="Workbook version">
    <vt:lpwstr>Custom</vt:lpwstr>
  </property>
  <property fmtid="{D5CDD505-2E9C-101B-9397-08002B2CF9AE}" pid="6" name="MediaServiceImageTags">
    <vt:lpwstr/>
  </property>
  <property fmtid="{D5CDD505-2E9C-101B-9397-08002B2CF9AE}" pid="7" name="Order">
    <vt:r8>808900</vt:r8>
  </property>
  <property fmtid="{D5CDD505-2E9C-101B-9397-08002B2CF9AE}" pid="8" name="xd_Signature">
    <vt:bool>false</vt:bool>
  </property>
  <property fmtid="{D5CDD505-2E9C-101B-9397-08002B2CF9AE}" pid="9" name="xd_ProgID">
    <vt:lpwstr/>
  </property>
  <property fmtid="{D5CDD505-2E9C-101B-9397-08002B2CF9AE}" pid="10" name="ComplianceAssetId">
    <vt:lpwstr/>
  </property>
  <property fmtid="{D5CDD505-2E9C-101B-9397-08002B2CF9AE}" pid="11" name="TemplateUrl">
    <vt:lpwstr/>
  </property>
  <property fmtid="{D5CDD505-2E9C-101B-9397-08002B2CF9AE}" pid="12" name="_ExtendedDescription">
    <vt:lpwstr/>
  </property>
  <property fmtid="{D5CDD505-2E9C-101B-9397-08002B2CF9AE}" pid="13" name="TriggerFlowInfo">
    <vt:lpwstr/>
  </property>
</Properties>
</file>